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C:\Users\luizv\Downloads\"/>
    </mc:Choice>
  </mc:AlternateContent>
  <xr:revisionPtr revIDLastSave="0" documentId="8_{2F3CA2AE-0E16-46B9-B140-024A625445BA}" xr6:coauthVersionLast="47" xr6:coauthVersionMax="47" xr10:uidLastSave="{00000000-0000-0000-0000-000000000000}"/>
  <bookViews>
    <workbookView xWindow="-108" yWindow="-108" windowWidth="23256" windowHeight="12456" tabRatio="915" firstSheet="32" activeTab="45" xr2:uid="{00000000-000D-0000-FFFF-FFFF00000000}"/>
  </bookViews>
  <sheets>
    <sheet name="TESTES" sheetId="53" r:id="rId1"/>
    <sheet name="OPNIÃO" sheetId="1" r:id="rId2"/>
    <sheet name="VELOCIMETRO" sheetId="2" r:id="rId3"/>
    <sheet name="BASE DE PONTOS V+" sheetId="159" r:id="rId4"/>
    <sheet name="Matriz de Risco" sheetId="3" state="hidden" r:id="rId5"/>
    <sheet name="RESUMO DE PONTOS Original" sheetId="49" state="hidden" r:id="rId6"/>
    <sheet name="RESUMO DE PONTOS" sheetId="4" r:id="rId7"/>
    <sheet name="FREQ. X PONTOS" sheetId="158" r:id="rId8"/>
    <sheet name="Lista Suspensa" sheetId="47" state="hidden" r:id="rId9"/>
    <sheet name="BASE DA MATRIZ DE RISCOS" sheetId="5" r:id="rId10"/>
    <sheet name="GRÁFICOS" sheetId="79" r:id="rId11"/>
    <sheet name="P1" sheetId="6" r:id="rId12"/>
    <sheet name="P2" sheetId="97" r:id="rId13"/>
    <sheet name="P3" sheetId="128" r:id="rId14"/>
    <sheet name="P4" sheetId="129" r:id="rId15"/>
    <sheet name="P5" sheetId="130" r:id="rId16"/>
    <sheet name="P6" sheetId="131" r:id="rId17"/>
    <sheet name="P7" sheetId="132" r:id="rId18"/>
    <sheet name="P8" sheetId="133" r:id="rId19"/>
    <sheet name="P9" sheetId="134" r:id="rId20"/>
    <sheet name="P10" sheetId="135" r:id="rId21"/>
    <sheet name="P11" sheetId="136" r:id="rId22"/>
    <sheet name="P12" sheetId="137" r:id="rId23"/>
    <sheet name="P13" sheetId="138" r:id="rId24"/>
    <sheet name="P14" sheetId="139" r:id="rId25"/>
    <sheet name="P15" sheetId="140" r:id="rId26"/>
    <sheet name="P16" sheetId="141" r:id="rId27"/>
    <sheet name="P17" sheetId="142" r:id="rId28"/>
    <sheet name="P18" sheetId="143" r:id="rId29"/>
    <sheet name="P19" sheetId="144" r:id="rId30"/>
    <sheet name="P20" sheetId="145" r:id="rId31"/>
    <sheet name="P21" sheetId="146" r:id="rId32"/>
    <sheet name="P22" sheetId="147" r:id="rId33"/>
    <sheet name="P23" sheetId="148" r:id="rId34"/>
    <sheet name="P24" sheetId="149" r:id="rId35"/>
    <sheet name="P25" sheetId="150" r:id="rId36"/>
    <sheet name="P26" sheetId="151" r:id="rId37"/>
    <sheet name="P27" sheetId="155" r:id="rId38"/>
    <sheet name="P28" sheetId="156" r:id="rId39"/>
    <sheet name="P31" sheetId="161" state="hidden" r:id="rId40"/>
    <sheet name="P29" sheetId="163" r:id="rId41"/>
    <sheet name="P30" sheetId="162" r:id="rId42"/>
    <sheet name="MATRIZ" sheetId="40" r:id="rId43"/>
    <sheet name="ASSERTIVAS ATIVO" sheetId="41" r:id="rId44"/>
    <sheet name="ASSERTIVAS PASSIVO" sheetId="42" r:id="rId45"/>
    <sheet name="ASSERTIVAS RESULTADO" sheetId="43" r:id="rId46"/>
    <sheet name="OBJETIVOS PASSIVO" sheetId="44" r:id="rId47"/>
    <sheet name="intang" sheetId="45" state="hidden" r:id="rId48"/>
  </sheets>
  <externalReferences>
    <externalReference r:id="rId49"/>
  </externalReferences>
  <definedNames>
    <definedName name="_xlnm._FilterDatabase" localSheetId="3" hidden="1">'BASE DE PONTOS V+'!$B$6:$M$6</definedName>
    <definedName name="_xlnm._FilterDatabase" localSheetId="6" hidden="1">'RESUMO DE PONTOS'!$C$7:$L$38</definedName>
    <definedName name="_xlnm._FilterDatabase" localSheetId="5" hidden="1">'RESUMO DE PONTOS Original'!$B$4:$J$36</definedName>
    <definedName name="_xlnm._FilterDatabase" localSheetId="0" hidden="1">TESTES!$B$6:$M$54</definedName>
    <definedName name="_Hlk102822595" localSheetId="3">'BASE DE PONTOS V+'!#REF!</definedName>
    <definedName name="_Hlk102822605" localSheetId="3">'BASE DE PONTOS V+'!#REF!</definedName>
    <definedName name="_Hlk44932008" localSheetId="4">'Matriz de Risco'!$C$9</definedName>
    <definedName name="_Hlk44932008" localSheetId="6">'RESUMO DE PONTOS'!#REF!</definedName>
    <definedName name="_Hlk44932008" localSheetId="5">'RESUMO DE PONTOS Original'!$C$8</definedName>
    <definedName name="_Hlk44932282" localSheetId="4">'Matriz de Risco'!$C$13</definedName>
    <definedName name="_Hlk44933547" localSheetId="4">'Matriz de Risco'!$C$17</definedName>
    <definedName name="_Hlk44933737" localSheetId="4">'Matriz de Risco'!$C$18</definedName>
    <definedName name="_Toc54348655" localSheetId="9">'BASE DA MATRIZ DE RISCOS'!$C$19</definedName>
    <definedName name="_Toc54348656" localSheetId="9">'BASE DA MATRIZ DE RISCOS'!$C$20</definedName>
    <definedName name="_Toc54348657" localSheetId="9">'BASE DA MATRIZ DE RISCOS'!$C$37</definedName>
    <definedName name="_Toc54348658" localSheetId="9">'BASE DA MATRIZ DE RISCOS'!$C$46</definedName>
    <definedName name="_Toc54348659" localSheetId="9">'BASE DA MATRIZ DE RISCOS'!$C$75</definedName>
    <definedName name="_Toc54348660" localSheetId="9">'BASE DA MATRIZ DE RISCOS'!$C$76</definedName>
    <definedName name="_Toc54348662" localSheetId="9">'BASE DA MATRIZ DE RISCOS'!$C$127</definedName>
    <definedName name="_Toc70060767" localSheetId="0">TESTES!#REF!</definedName>
    <definedName name="_Toc70060768" localSheetId="0">TESTES!#REF!</definedName>
    <definedName name="_Toc70060769" localSheetId="0">TESTES!#REF!</definedName>
    <definedName name="_Toc70060770" localSheetId="0">TESTES!#REF!</definedName>
    <definedName name="_Toc70060771" localSheetId="0">TESTES!#REF!</definedName>
    <definedName name="_Toc70060772" localSheetId="0">TESTES!#REF!</definedName>
    <definedName name="_Toc70060773" localSheetId="0">TESTES!#REF!</definedName>
    <definedName name="_Toc70060774" localSheetId="0">TESTES!#REF!</definedName>
    <definedName name="_Toc70060775" localSheetId="0">TESTES!#REF!</definedName>
    <definedName name="_Toc70060776" localSheetId="0">TESTES!#REF!</definedName>
    <definedName name="_Toc70060777" localSheetId="0">TESTES!#REF!</definedName>
    <definedName name="_Toc70060778" localSheetId="0">TESTES!#REF!</definedName>
    <definedName name="_Toc70060779" localSheetId="0">TESTES!#REF!</definedName>
    <definedName name="_Toc70060780" localSheetId="0">TESTES!#REF!</definedName>
    <definedName name="_Toc70060781" localSheetId="0">TESTES!#REF!</definedName>
    <definedName name="_Toc70060782" localSheetId="0">TESTES!#REF!</definedName>
    <definedName name="_Toc70060783" localSheetId="0">TESTES!#REF!</definedName>
    <definedName name="_Toc70060784" localSheetId="0">TESTES!#REF!</definedName>
    <definedName name="_Toc70060785" localSheetId="0">TESTES!#REF!</definedName>
    <definedName name="_Toc70060786" localSheetId="0">TESTES!#REF!</definedName>
    <definedName name="_Toc70060787" localSheetId="0">TESTES!#REF!</definedName>
    <definedName name="_Toc70060788" localSheetId="0">TESTES!#REF!</definedName>
    <definedName name="_Toc70060789" localSheetId="0">TESTES!#REF!</definedName>
    <definedName name="_Toc70060790" localSheetId="0">TESTES!#REF!</definedName>
    <definedName name="_Toc70060791" localSheetId="0">TESTES!#REF!</definedName>
    <definedName name="_Toc70060792" localSheetId="0">TESTES!#REF!</definedName>
    <definedName name="_Toc70060793" localSheetId="0">TESTES!#REF!</definedName>
    <definedName name="_Toc70060794" localSheetId="0">TESTES!#REF!</definedName>
    <definedName name="_Toc70060795" localSheetId="0">TESTES!#REF!</definedName>
    <definedName name="_Toc70060796" localSheetId="0">TESTES!#REF!</definedName>
    <definedName name="_Toc70060797" localSheetId="0">TESTES!#REF!</definedName>
    <definedName name="_Toc70060798" localSheetId="0">TESTES!#REF!</definedName>
    <definedName name="_Toc70060799" localSheetId="0">TESTES!#REF!</definedName>
    <definedName name="_Toc70060800" localSheetId="0">TESTES!#REF!</definedName>
    <definedName name="_Toc70060801" localSheetId="0">TESTES!#REF!</definedName>
    <definedName name="_Toc70060802" localSheetId="0">TESTES!#REF!</definedName>
    <definedName name="_Toc70060803" localSheetId="0">TESTES!#REF!</definedName>
    <definedName name="_Toc70060804" localSheetId="0">TESTES!#REF!</definedName>
    <definedName name="_Toc70060805" localSheetId="0">TESTES!#REF!</definedName>
    <definedName name="_Toc70060806" localSheetId="0">TESTES!#REF!</definedName>
    <definedName name="_Toc70060807" localSheetId="0">TESTES!#REF!</definedName>
    <definedName name="_Toc70060808" localSheetId="0">TESTES!#REF!</definedName>
    <definedName name="_Toc70060809" localSheetId="0">TESTES!#REF!</definedName>
    <definedName name="_Toc70060810" localSheetId="0">TESTES!#REF!</definedName>
    <definedName name="_Toc70060811" localSheetId="0">TESTES!#REF!</definedName>
    <definedName name="_Toc70060812" localSheetId="0">TESTES!#REF!</definedName>
    <definedName name="_Toc70060813" localSheetId="0">TESTES!#REF!</definedName>
    <definedName name="_Toc70060814" localSheetId="0">TESTES!#REF!</definedName>
    <definedName name="_Toc70060815" localSheetId="0">TESTES!#REF!</definedName>
    <definedName name="_Toc70060816" localSheetId="0">TESTES!#REF!</definedName>
    <definedName name="_Toc70060817" localSheetId="0">TESTES!#REF!</definedName>
    <definedName name="_Toc70060818" localSheetId="0">TESTES!#REF!</definedName>
    <definedName name="_Toc70060819" localSheetId="0">TESTES!#REF!</definedName>
    <definedName name="_Toc70060820" localSheetId="0">TESTES!#REF!</definedName>
    <definedName name="_Toc70060821" localSheetId="0">TESTES!#REF!</definedName>
    <definedName name="_Toc70060822" localSheetId="0">TESTES!#REF!</definedName>
    <definedName name="_Toc70060823" localSheetId="0">TESTES!#REF!</definedName>
    <definedName name="_Toc70060824" localSheetId="0">TESTES!#REF!</definedName>
    <definedName name="_Toc70060825" localSheetId="0">TESTES!#REF!</definedName>
    <definedName name="_Toc70060826" localSheetId="0">TESTES!#REF!</definedName>
    <definedName name="_Toc70060827" localSheetId="0">TESTES!#REF!</definedName>
    <definedName name="_Toc70060828" localSheetId="0">TESTES!#REF!</definedName>
    <definedName name="_Toc70060829" localSheetId="0">TESTES!#REF!</definedName>
    <definedName name="_Toc70060830" localSheetId="0">TESTES!#REF!</definedName>
    <definedName name="_Toc70060831" localSheetId="0">TESTES!#REF!</definedName>
    <definedName name="_Toc70060832" localSheetId="0">TESTES!#REF!</definedName>
    <definedName name="_Toc70060833" localSheetId="0">TESTES!#REF!</definedName>
    <definedName name="_Toc70060834" localSheetId="0">TESTES!#REF!</definedName>
    <definedName name="_Toc70060835" localSheetId="0">TESTES!#REF!</definedName>
    <definedName name="_Toc70060836" localSheetId="0">TESTES!#REF!</definedName>
    <definedName name="_Toc70060837" localSheetId="0">TESTES!#REF!</definedName>
    <definedName name="_Toc70060838" localSheetId="0">TESTES!#REF!</definedName>
    <definedName name="_Toc70060839" localSheetId="0">TESTES!#REF!</definedName>
    <definedName name="_Toc70060840" localSheetId="0">TESTES!#REF!</definedName>
    <definedName name="_Toc70060841" localSheetId="0">TESTES!#REF!</definedName>
    <definedName name="_Toc70060842" localSheetId="0">TESTES!#REF!</definedName>
    <definedName name="_Toc70060843" localSheetId="0">TESTES!#REF!</definedName>
    <definedName name="_Toc70060844" localSheetId="0">TESTES!#REF!</definedName>
    <definedName name="_Toc70060845" localSheetId="0">TESTES!#REF!</definedName>
    <definedName name="_Toc70060846" localSheetId="0">TESTES!#REF!</definedName>
    <definedName name="_Toc70060847" localSheetId="0">TESTES!#REF!</definedName>
    <definedName name="_Toc70060848" localSheetId="0">TESTES!#REF!</definedName>
    <definedName name="_Toc70060849" localSheetId="0">TESTES!#REF!</definedName>
    <definedName name="_Toc70060850" localSheetId="0">TESTES!#REF!</definedName>
    <definedName name="_Toc70060851" localSheetId="0">TESTES!#REF!</definedName>
    <definedName name="_Toc70060852" localSheetId="0">TESTES!#REF!</definedName>
    <definedName name="_Toc70060853" localSheetId="0">TESTES!#REF!</definedName>
    <definedName name="_Toc70060854" localSheetId="0">TESTES!#REF!</definedName>
    <definedName name="_Toc70060855" localSheetId="0">TESTES!#REF!</definedName>
    <definedName name="_Toc70060856" localSheetId="0">TESTES!#REF!</definedName>
    <definedName name="_Toc70060857" localSheetId="0">TESTES!#REF!</definedName>
    <definedName name="_Toc70060858" localSheetId="0">TESTES!#REF!</definedName>
    <definedName name="_Toc70060859" localSheetId="0">TESTES!#REF!</definedName>
    <definedName name="_Toc70060860" localSheetId="0">TESTES!#REF!</definedName>
    <definedName name="_Toc70060861" localSheetId="0">TESTES!#REF!</definedName>
    <definedName name="_Toc70060862" localSheetId="0">TESTES!#REF!</definedName>
    <definedName name="_Toc70060863" localSheetId="0">TESTES!#REF!</definedName>
    <definedName name="_Toc70060864" localSheetId="0">TESTES!#REF!</definedName>
    <definedName name="_Toc70060865" localSheetId="0">TESTES!#REF!</definedName>
    <definedName name="_Toc70060866" localSheetId="0">TESTES!#REF!</definedName>
    <definedName name="_Toc70060867" localSheetId="0">TESTES!#REF!</definedName>
    <definedName name="_Toc70060868" localSheetId="0">TESTES!#REF!</definedName>
    <definedName name="_Toc70060869" localSheetId="0">TESTES!#REF!</definedName>
    <definedName name="_Toc70060870" localSheetId="0">TESTES!#REF!</definedName>
    <definedName name="_Toc70060871" localSheetId="0">TESTES!#REF!</definedName>
    <definedName name="_Toc70060872" localSheetId="0">TESTES!#REF!</definedName>
    <definedName name="_Toc70060873" localSheetId="0">TESTES!#REF!</definedName>
    <definedName name="_Toc70060874" localSheetId="0">TESTES!#REF!</definedName>
    <definedName name="_Toc70060875" localSheetId="0">TESTES!#REF!</definedName>
    <definedName name="_Toc70060876" localSheetId="0">TESTES!#REF!</definedName>
    <definedName name="_Toc70060877" localSheetId="0">TESTES!#REF!</definedName>
    <definedName name="_Toc70060878" localSheetId="0">TESTES!#REF!</definedName>
    <definedName name="_Toc70060879" localSheetId="0">TESTES!#REF!</definedName>
    <definedName name="_Toc70060880" localSheetId="0">TESTES!#REF!</definedName>
    <definedName name="_Toc70060881" localSheetId="0">TESTES!#REF!</definedName>
    <definedName name="_Toc70060882" localSheetId="0">TESTES!#REF!</definedName>
    <definedName name="_Toc70060883" localSheetId="0">TESTES!#REF!</definedName>
    <definedName name="_Toc70060884" localSheetId="0">TESTES!#REF!</definedName>
    <definedName name="aa" localSheetId="0">#REF!</definedName>
    <definedName name="aa">#REF!</definedName>
    <definedName name="aaaa">#REF!</definedName>
    <definedName name="Abr" localSheetId="0">#REF!</definedName>
    <definedName name="Abr">#REF!</definedName>
    <definedName name="ANO">'[1]1. Lançamentos'!$E$57:$E$58,'[1]1. Lançamentos'!$E$111:$E$112,'[1]1. Lançamentos'!$E$170:$E$171,'[1]1. Lançamentos'!$E$173:$E$174,'[1]1. Lançamentos'!$E$189:$E$190,'[1]1. Lançamentos'!$E$474,'[1]1. Lançamentos'!$E$571,'[1]1. Lançamentos'!$E$580,'[1]1. Lançamentos'!$E$584,'[1]1. Lançamentos'!$E$591,'[1]1. Lançamentos'!$E$622,'[1]1. Lançamentos'!$E$672,'[1]1. Lançamentos'!$E$828:$E$829,'[1]1. Lançamentos'!$E$858:$E$863,'[1]1. Lançamentos'!$E$944,'[1]1. Lançamentos'!$E$1031,'[1]1. Lançamentos'!$E$1109,'[1]1. Lançamentos'!$E$1120:$E$1121,'[1]1. Lançamentos'!$E$1135:$E$1136,'[1]1. Lançamentos'!$E$1143,'[1]1. Lançamentos'!$E$1179,'[1]1. Lançamentos'!$E$1186:$E$1187,'[1]1. Lançamentos'!$E$1546</definedName>
    <definedName name="as">#REF!</definedName>
    <definedName name="FAVO">'[1]1. Lançamentos'!$J$57:$J$58,'[1]1. Lançamentos'!$J$111:$J$112,'[1]1. Lançamentos'!$J$170:$J$171,'[1]1. Lançamentos'!$J$173:$J$174,'[1]1. Lançamentos'!$J$189:$J$190,'[1]1. Lançamentos'!$J$474,'[1]1. Lançamentos'!$J$571,'[1]1. Lançamentos'!$J$580,'[1]1. Lançamentos'!$J$584,'[1]1. Lançamentos'!$J$591,'[1]1. Lançamentos'!$J$622,'[1]1. Lançamentos'!$J$672,'[1]1. Lançamentos'!$J$828:$J$829,'[1]1. Lançamentos'!$J$858:$J$863,'[1]1. Lançamentos'!$J$944,'[1]1. Lançamentos'!$J$1031,'[1]1. Lançamentos'!$J$1109,'[1]1. Lançamentos'!$J$1120:$J$1121,'[1]1. Lançamentos'!$J$1135:$J$1136,'[1]1. Lançamentos'!$J$1143,'[1]1. Lançamentos'!$J$1179</definedName>
    <definedName name="Google_Sheet_Link_118826432_451962845" localSheetId="5" hidden="1">'BASE DA MATRIZ DE RISCOS'!_Toc54348655</definedName>
    <definedName name="Google_Sheet_Link_118826432_451962845" localSheetId="0" hidden="1">#N/A</definedName>
    <definedName name="Google_Sheet_Link_118826432_451962845" hidden="1">'BASE DA MATRIZ DE RISCOS'!_Toc54348655</definedName>
    <definedName name="Google_Sheet_Link_1234759920_337008936" localSheetId="5" hidden="1">'Matriz de Risco'!_Hlk44932282</definedName>
    <definedName name="Google_Sheet_Link_1234759920_337008936" localSheetId="0" hidden="1">#N/A</definedName>
    <definedName name="Google_Sheet_Link_1234759920_337008936" hidden="1">'Matriz de Risco'!_Hlk44932282</definedName>
    <definedName name="Google_Sheet_Link_1386150492_337008936" localSheetId="5" hidden="1">'Matriz de Risco'!_Hlk44933737</definedName>
    <definedName name="Google_Sheet_Link_1386150492_337008936" localSheetId="0" hidden="1">#N/A</definedName>
    <definedName name="Google_Sheet_Link_1386150492_337008936" hidden="1">'Matriz de Risco'!_Hlk44933737</definedName>
    <definedName name="Google_Sheet_Link_1416584963_451962845" localSheetId="5" hidden="1">'BASE DA MATRIZ DE RISCOS'!_Toc54348656</definedName>
    <definedName name="Google_Sheet_Link_1416584963_451962845" localSheetId="0" hidden="1">#N/A</definedName>
    <definedName name="Google_Sheet_Link_1416584963_451962845" hidden="1">'BASE DA MATRIZ DE RISCOS'!_Toc54348656</definedName>
    <definedName name="Google_Sheet_Link_214687423_451962845" localSheetId="5" hidden="1">'BASE DA MATRIZ DE RISCOS'!_Toc54348657</definedName>
    <definedName name="Google_Sheet_Link_214687423_451962845" localSheetId="0" hidden="1">#N/A</definedName>
    <definedName name="Google_Sheet_Link_214687423_451962845" hidden="1">'BASE DA MATRIZ DE RISCOS'!_Toc54348657</definedName>
    <definedName name="Google_Sheet_Link_668586770_451962845" localSheetId="5" hidden="1">'BASE DA MATRIZ DE RISCOS'!_Toc54348662</definedName>
    <definedName name="Google_Sheet_Link_668586770_451962845" localSheetId="0" hidden="1">#N/A</definedName>
    <definedName name="Google_Sheet_Link_668586770_451962845" hidden="1">'BASE DA MATRIZ DE RISCOS'!_Toc54348662</definedName>
    <definedName name="Google_Sheet_Link_728925753_451962845" localSheetId="5" hidden="1">'BASE DA MATRIZ DE RISCOS'!_Toc54348659</definedName>
    <definedName name="Google_Sheet_Link_728925753_451962845" localSheetId="0" hidden="1">#N/A</definedName>
    <definedName name="Google_Sheet_Link_728925753_451962845" hidden="1">'BASE DA MATRIZ DE RISCOS'!_Toc54348659</definedName>
    <definedName name="Google_Sheet_Link_80979652_337008936" localSheetId="5" hidden="1">'Matriz de Risco'!_Hlk44932008</definedName>
    <definedName name="Google_Sheet_Link_80979652_337008936" localSheetId="0" hidden="1">#N/A</definedName>
    <definedName name="Google_Sheet_Link_80979652_337008936" hidden="1">'Matriz de Risco'!_Hlk44932008</definedName>
    <definedName name="Google_Sheet_Link_901470867_337008936" localSheetId="5" hidden="1">'Matriz de Risco'!_Hlk44933547</definedName>
    <definedName name="Google_Sheet_Link_901470867_337008936" localSheetId="0" hidden="1">#N/A</definedName>
    <definedName name="Google_Sheet_Link_901470867_337008936" hidden="1">'Matriz de Risco'!_Hlk44933547</definedName>
    <definedName name="Google_Sheet_Link_99338027_451962845" localSheetId="5" hidden="1">'BASE DA MATRIZ DE RISCOS'!_Toc54348660</definedName>
    <definedName name="Google_Sheet_Link_99338027_451962845" localSheetId="0" hidden="1">#N/A</definedName>
    <definedName name="Google_Sheet_Link_99338027_451962845" hidden="1">'BASE DA MATRIZ DE RISCOS'!_Toc54348660</definedName>
    <definedName name="Google_Sheet_Link_997608135_451962845" localSheetId="5" hidden="1">'BASE DA MATRIZ DE RISCOS'!_Toc54348658</definedName>
    <definedName name="Google_Sheet_Link_997608135_451962845" localSheetId="0" hidden="1">#N/A</definedName>
    <definedName name="Google_Sheet_Link_997608135_451962845" hidden="1">'BASE DA MATRIZ DE RISCOS'!_Toc54348658</definedName>
    <definedName name="HOME" localSheetId="0">#REF!</definedName>
    <definedName name="HOME">#REF!</definedName>
    <definedName name="MES">'[1]1. Lançamentos'!$D$57:$D$58,'[1]1. Lançamentos'!$D$111:$D$112,'[1]1. Lançamentos'!$D$170:$D$171,'[1]1. Lançamentos'!$D$173:$D$174,'[1]1. Lançamentos'!$D$189:$D$190,'[1]1. Lançamentos'!$D$474,'[1]1. Lançamentos'!$D$571,'[1]1. Lançamentos'!$D$580,'[1]1. Lançamentos'!$D$584,'[1]1. Lançamentos'!$D$591,'[1]1. Lançamentos'!$D$622,'[1]1. Lançamentos'!$D$672,'[1]1. Lançamentos'!$D$828:$D$829,'[1]1. Lançamentos'!$D$858:$D$863,'[1]1. Lançamentos'!$D$944,'[1]1. Lançamentos'!$D$1031,'[1]1. Lançamentos'!$D$1109,'[1]1. Lançamentos'!$D$1120:$D$1121,'[1]1. Lançamentos'!$D$1135:$D$1136,'[1]1. Lançamentos'!$D$1143,'[1]1. Lançamentos'!$D$1179,'[1]1. Lançamentos'!$D$1186:$D$1187,'[1]1. Lançamentos'!$D$1546</definedName>
    <definedName name="MESDES" localSheetId="0">#REF!</definedName>
    <definedName name="MESDES">#REF!</definedName>
    <definedName name="MESGUIA" localSheetId="0">#REF!</definedName>
    <definedName name="MESGUIA">#REF!</definedName>
    <definedName name="PAGDES" localSheetId="0">#REF!</definedName>
    <definedName name="PAGDES">#REF!</definedName>
    <definedName name="PAGGUIA" localSheetId="0">#REF!</definedName>
    <definedName name="PAGGUIA">#REF!</definedName>
    <definedName name="PLANcon">'[1]1. Lançamentos'!$H$57:$H$58,'[1]1. Lançamentos'!$H$111:$H$112,'[1]1. Lançamentos'!$H$170:$H$171,'[1]1. Lançamentos'!$H$173:$H$174,'[1]1. Lançamentos'!$H$189:$H$190,'[1]1. Lançamentos'!$H$474,'[1]1. Lançamentos'!$H$571,'[1]1. Lançamentos'!$H$580,'[1]1. Lançamentos'!$H$584,'[1]1. Lançamentos'!$H$591,'[1]1. Lançamentos'!$H$622,'[1]1. Lançamentos'!$H$672,'[1]1. Lançamentos'!$H$828:$H$829,'[1]1. Lançamentos'!$H$858:$H$863,'[1]1. Lançamentos'!$H$944,'[1]1. Lançamentos'!$H$1031,'[1]1. Lançamentos'!$H$1109,'[1]1. Lançamentos'!$H$1120:$H$1121,'[1]1. Lançamentos'!$H$1135:$H$1136,'[1]1. Lançamentos'!$H$1143,'[1]1. Lançamentos'!$H$1179,'[1]1. Lançamentos'!$H$1186:$H$1187,'[1]1. Lançamentos'!$H$1546</definedName>
    <definedName name="PONTO1" localSheetId="0">#REF!</definedName>
    <definedName name="PONTO1">#REF!</definedName>
    <definedName name="PONTO2" localSheetId="0">#REF!</definedName>
    <definedName name="PONTO2">#REF!</definedName>
    <definedName name="PONTO3" localSheetId="0">#REF!</definedName>
    <definedName name="PONTO3">#REF!</definedName>
    <definedName name="PONTOGUI" localSheetId="0">#REF!</definedName>
    <definedName name="PONTOGUI">#REF!</definedName>
    <definedName name="VALOR">'[1]1. Lançamentos'!$K$57:$K$58,'[1]1. Lançamentos'!$K$111:$K$112,'[1]1. Lançamentos'!$K$170:$K$171,'[1]1. Lançamentos'!$K$173:$K$174,'[1]1. Lançamentos'!$K$189:$K$190,'[1]1. Lançamentos'!$K$474,'[1]1. Lançamentos'!$K$571,'[1]1. Lançamentos'!$K$580,'[1]1. Lançamentos'!$K$584,'[1]1. Lançamentos'!$K$591,'[1]1. Lançamentos'!$K$622,'[1]1. Lançamentos'!$K$672,'[1]1. Lançamentos'!$K$828:$K$829,'[1]1. Lançamentos'!$K$858:$K$863,'[1]1. Lançamentos'!$K$944,'[1]1. Lançamentos'!$K$1031,'[1]1. Lançamentos'!$K$1109,'[1]1. Lançamentos'!$K$1120:$K$1121,'[1]1. Lançamentos'!$K$1135:$K$1136,'[1]1. Lançamentos'!$K$1143,'[1]1. Lançamentos'!$K$1179</definedName>
    <definedName name="VALORDES" localSheetId="0">#REF!</definedName>
    <definedName name="VALORD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14" i="128" l="1"/>
  <c r="L15" i="128" s="1"/>
  <c r="C92" i="5"/>
  <c r="D92" i="5" s="1"/>
  <c r="J92" i="5"/>
  <c r="M92" i="5"/>
  <c r="N92" i="5"/>
  <c r="C93" i="5"/>
  <c r="M93" i="5" s="1"/>
  <c r="D93" i="5"/>
  <c r="E93" i="5"/>
  <c r="F93" i="5" s="1"/>
  <c r="I93" i="5" s="1"/>
  <c r="E24" i="159"/>
  <c r="B109" i="79"/>
  <c r="F109" i="79"/>
  <c r="B110" i="79"/>
  <c r="F110" i="79"/>
  <c r="B111" i="79"/>
  <c r="F111" i="79"/>
  <c r="B112" i="79"/>
  <c r="F112" i="79"/>
  <c r="B113" i="79"/>
  <c r="F113" i="79"/>
  <c r="B114" i="79"/>
  <c r="F114" i="79"/>
  <c r="B115" i="79"/>
  <c r="F115" i="79"/>
  <c r="B116" i="79"/>
  <c r="F116" i="79"/>
  <c r="B117" i="79"/>
  <c r="F117" i="79"/>
  <c r="B118" i="79"/>
  <c r="F118" i="79"/>
  <c r="B119" i="79"/>
  <c r="F119" i="79"/>
  <c r="B120" i="79"/>
  <c r="F120" i="79"/>
  <c r="B121" i="79"/>
  <c r="F121" i="79"/>
  <c r="B122" i="79"/>
  <c r="F122" i="79"/>
  <c r="B123" i="79"/>
  <c r="F123" i="79"/>
  <c r="B124" i="79"/>
  <c r="F124" i="79"/>
  <c r="B125" i="79"/>
  <c r="F125" i="79"/>
  <c r="B126" i="79"/>
  <c r="F126" i="79"/>
  <c r="B127" i="79"/>
  <c r="F127" i="79"/>
  <c r="B128" i="79"/>
  <c r="F128" i="79"/>
  <c r="B129" i="79"/>
  <c r="F129" i="79"/>
  <c r="B130" i="79"/>
  <c r="F130" i="79"/>
  <c r="B131" i="79"/>
  <c r="F131" i="79"/>
  <c r="B132" i="79"/>
  <c r="F132" i="79"/>
  <c r="B133" i="79"/>
  <c r="F133" i="79"/>
  <c r="B134" i="79"/>
  <c r="F134" i="79"/>
  <c r="B135" i="79"/>
  <c r="F135" i="79"/>
  <c r="B136" i="79"/>
  <c r="F136" i="79"/>
  <c r="B137" i="79"/>
  <c r="F137" i="79"/>
  <c r="B138" i="79"/>
  <c r="F138" i="79"/>
  <c r="B139" i="79"/>
  <c r="F139" i="79"/>
  <c r="B140" i="79"/>
  <c r="F140" i="79"/>
  <c r="B141" i="79"/>
  <c r="F141" i="79"/>
  <c r="B87" i="79"/>
  <c r="B88" i="79"/>
  <c r="B89" i="79"/>
  <c r="B90" i="79"/>
  <c r="B91" i="79"/>
  <c r="B92" i="79"/>
  <c r="B93" i="79"/>
  <c r="B94" i="79"/>
  <c r="B104" i="79"/>
  <c r="B105" i="79"/>
  <c r="B106" i="79"/>
  <c r="B107" i="79"/>
  <c r="B108" i="79"/>
  <c r="F105" i="79"/>
  <c r="F106" i="79"/>
  <c r="F107" i="79"/>
  <c r="F108" i="79"/>
  <c r="L16" i="128" l="1"/>
  <c r="K93" i="5"/>
  <c r="O93" i="5"/>
  <c r="B85" i="79"/>
  <c r="N93" i="5"/>
  <c r="J93" i="5"/>
  <c r="E92" i="5"/>
  <c r="M39" i="4"/>
  <c r="M40" i="4"/>
  <c r="M41" i="4"/>
  <c r="M42" i="4"/>
  <c r="M43" i="4"/>
  <c r="B86" i="79" l="1"/>
  <c r="F92" i="5"/>
  <c r="I92" i="5" s="1"/>
  <c r="B84" i="79"/>
  <c r="C91" i="5"/>
  <c r="N91" i="5" s="1"/>
  <c r="C85" i="5"/>
  <c r="N85" i="5" s="1"/>
  <c r="C86" i="5"/>
  <c r="N86" i="5" s="1"/>
  <c r="C87" i="5"/>
  <c r="N87" i="5" s="1"/>
  <c r="C88" i="5"/>
  <c r="N88" i="5" s="1"/>
  <c r="C89" i="5"/>
  <c r="N89" i="5" s="1"/>
  <c r="C90" i="5"/>
  <c r="N90" i="5" s="1"/>
  <c r="D37" i="4"/>
  <c r="M37" i="4" s="1"/>
  <c r="E37" i="4"/>
  <c r="C14" i="163" s="1"/>
  <c r="F37" i="4"/>
  <c r="C15" i="163" s="1"/>
  <c r="G37" i="4"/>
  <c r="C16" i="163" s="1"/>
  <c r="H37" i="4"/>
  <c r="C17" i="163" s="1"/>
  <c r="I37" i="4"/>
  <c r="J37" i="4"/>
  <c r="K37" i="4"/>
  <c r="L37" i="4"/>
  <c r="D38" i="4"/>
  <c r="M38" i="4" s="1"/>
  <c r="E38" i="4"/>
  <c r="C14" i="162" s="1"/>
  <c r="F38" i="4"/>
  <c r="C15" i="162" s="1"/>
  <c r="G38" i="4"/>
  <c r="C16" i="162" s="1"/>
  <c r="H38" i="4"/>
  <c r="C17" i="162" s="1"/>
  <c r="I38" i="4"/>
  <c r="J38" i="4"/>
  <c r="K38" i="4"/>
  <c r="L38" i="4"/>
  <c r="F100" i="79"/>
  <c r="F101" i="79"/>
  <c r="F102" i="79"/>
  <c r="F103" i="79"/>
  <c r="F104" i="79"/>
  <c r="B100" i="79"/>
  <c r="B101" i="79"/>
  <c r="B102" i="79"/>
  <c r="B103" i="79"/>
  <c r="K92" i="5" l="1"/>
  <c r="O92" i="5"/>
  <c r="F98" i="79"/>
  <c r="C5" i="162"/>
  <c r="C5" i="163"/>
  <c r="L10" i="4"/>
  <c r="L11" i="4"/>
  <c r="L12" i="4"/>
  <c r="L13" i="4"/>
  <c r="L14" i="4"/>
  <c r="L15" i="4"/>
  <c r="L16" i="4"/>
  <c r="M85" i="5" s="1"/>
  <c r="L17" i="4"/>
  <c r="M86" i="5" s="1"/>
  <c r="L18" i="4"/>
  <c r="M87" i="5" s="1"/>
  <c r="L19" i="4"/>
  <c r="M88" i="5" s="1"/>
  <c r="L20" i="4"/>
  <c r="M89" i="5" s="1"/>
  <c r="L21" i="4"/>
  <c r="M90" i="5" s="1"/>
  <c r="L22" i="4"/>
  <c r="M91" i="5" s="1"/>
  <c r="L23" i="4"/>
  <c r="L24" i="4"/>
  <c r="L25" i="4"/>
  <c r="L26" i="4"/>
  <c r="L27" i="4"/>
  <c r="L28" i="4"/>
  <c r="L29" i="4"/>
  <c r="L30" i="4"/>
  <c r="L31" i="4"/>
  <c r="L32" i="4"/>
  <c r="L33" i="4"/>
  <c r="L34" i="4"/>
  <c r="L35" i="4"/>
  <c r="L36" i="4"/>
  <c r="L9" i="4"/>
  <c r="F99" i="79" l="1"/>
  <c r="B99" i="79"/>
  <c r="C9" i="161"/>
  <c r="N41" i="4"/>
  <c r="N42" i="4"/>
  <c r="N43" i="4"/>
  <c r="C14" i="161"/>
  <c r="C15" i="161"/>
  <c r="C16" i="161"/>
  <c r="C17" i="161"/>
  <c r="N40" i="4"/>
  <c r="N39" i="4" l="1"/>
  <c r="C84" i="5" l="1"/>
  <c r="N84" i="5" s="1"/>
  <c r="C82" i="5" l="1"/>
  <c r="C83" i="5"/>
  <c r="N82" i="5" l="1"/>
  <c r="N83" i="5"/>
  <c r="H14" i="4" l="1"/>
  <c r="G14" i="4"/>
  <c r="G15" i="4"/>
  <c r="G16" i="4"/>
  <c r="G17" i="4"/>
  <c r="G18" i="4"/>
  <c r="G19" i="4"/>
  <c r="G20" i="4"/>
  <c r="G21" i="4"/>
  <c r="G22" i="4"/>
  <c r="G23" i="4"/>
  <c r="G24" i="4"/>
  <c r="G25" i="4"/>
  <c r="G10" i="4"/>
  <c r="G11" i="4"/>
  <c r="G12" i="4"/>
  <c r="G13" i="4"/>
  <c r="G9" i="4"/>
  <c r="F12" i="4"/>
  <c r="D23" i="4"/>
  <c r="E23" i="4"/>
  <c r="F23" i="4"/>
  <c r="H23" i="4"/>
  <c r="I23" i="4"/>
  <c r="J23" i="4"/>
  <c r="K23" i="4"/>
  <c r="D24" i="4"/>
  <c r="M24" i="4" s="1"/>
  <c r="E24" i="4"/>
  <c r="F24" i="4"/>
  <c r="H24" i="4"/>
  <c r="I24" i="4"/>
  <c r="J24" i="4"/>
  <c r="K24" i="4"/>
  <c r="D25" i="4"/>
  <c r="M25" i="4" s="1"/>
  <c r="E25" i="4"/>
  <c r="F25" i="4"/>
  <c r="H25" i="4"/>
  <c r="I25" i="4"/>
  <c r="J25" i="4"/>
  <c r="K25" i="4"/>
  <c r="D26" i="4"/>
  <c r="M26" i="4" s="1"/>
  <c r="E26" i="4"/>
  <c r="F26" i="4"/>
  <c r="H26" i="4"/>
  <c r="J26" i="4"/>
  <c r="K26" i="4"/>
  <c r="D27" i="4"/>
  <c r="M27" i="4" s="1"/>
  <c r="E27" i="4"/>
  <c r="F27" i="4"/>
  <c r="H27" i="4"/>
  <c r="J27" i="4"/>
  <c r="K27" i="4"/>
  <c r="D28" i="4"/>
  <c r="M28" i="4" s="1"/>
  <c r="E28" i="4"/>
  <c r="F28" i="4"/>
  <c r="H28" i="4"/>
  <c r="J28" i="4"/>
  <c r="K28" i="4"/>
  <c r="D29" i="4"/>
  <c r="M29" i="4" s="1"/>
  <c r="E29" i="4"/>
  <c r="F29" i="4"/>
  <c r="H29" i="4"/>
  <c r="J29" i="4"/>
  <c r="K29" i="4"/>
  <c r="D30" i="4"/>
  <c r="M30" i="4" s="1"/>
  <c r="E30" i="4"/>
  <c r="F30" i="4"/>
  <c r="H30" i="4"/>
  <c r="J30" i="4"/>
  <c r="K30" i="4"/>
  <c r="D31" i="4"/>
  <c r="M31" i="4" s="1"/>
  <c r="E31" i="4"/>
  <c r="F31" i="4"/>
  <c r="H31" i="4"/>
  <c r="I31" i="4"/>
  <c r="J31" i="4"/>
  <c r="K31" i="4"/>
  <c r="D32" i="4"/>
  <c r="M32" i="4" s="1"/>
  <c r="E32" i="4"/>
  <c r="F32" i="4"/>
  <c r="H32" i="4"/>
  <c r="J32" i="4"/>
  <c r="K32" i="4"/>
  <c r="D33" i="4"/>
  <c r="M33" i="4" s="1"/>
  <c r="E33" i="4"/>
  <c r="F33" i="4"/>
  <c r="H33" i="4"/>
  <c r="J33" i="4"/>
  <c r="K33" i="4"/>
  <c r="D34" i="4"/>
  <c r="M34" i="4" s="1"/>
  <c r="E34" i="4"/>
  <c r="F34" i="4"/>
  <c r="H34" i="4"/>
  <c r="I34" i="4"/>
  <c r="J34" i="4"/>
  <c r="K34" i="4"/>
  <c r="D35" i="4"/>
  <c r="M35" i="4" s="1"/>
  <c r="E35" i="4"/>
  <c r="F35" i="4"/>
  <c r="H35" i="4"/>
  <c r="I35" i="4"/>
  <c r="J35" i="4"/>
  <c r="K35" i="4"/>
  <c r="D36" i="4"/>
  <c r="M36" i="4" s="1"/>
  <c r="E36" i="4"/>
  <c r="F36" i="4"/>
  <c r="H36" i="4"/>
  <c r="I36" i="4"/>
  <c r="J36" i="4"/>
  <c r="K36" i="4"/>
  <c r="M23" i="4" l="1"/>
  <c r="C5" i="140" s="1"/>
  <c r="N35" i="4"/>
  <c r="N24" i="4"/>
  <c r="N38" i="4"/>
  <c r="G36" i="4"/>
  <c r="N36" i="4" s="1"/>
  <c r="G35" i="4"/>
  <c r="G34" i="4"/>
  <c r="I33" i="4"/>
  <c r="G33" i="4"/>
  <c r="I32" i="4"/>
  <c r="G32" i="4"/>
  <c r="G31" i="4"/>
  <c r="N31" i="4" s="1"/>
  <c r="I30" i="4"/>
  <c r="G30" i="4"/>
  <c r="I29" i="4"/>
  <c r="G29" i="4"/>
  <c r="I28" i="4"/>
  <c r="G28" i="4"/>
  <c r="I27" i="4"/>
  <c r="G27" i="4"/>
  <c r="I26" i="4"/>
  <c r="G26" i="4"/>
  <c r="F97" i="79" l="1"/>
  <c r="N33" i="4"/>
  <c r="N30" i="4"/>
  <c r="N32" i="4"/>
  <c r="F85" i="79" l="1"/>
  <c r="F92" i="79"/>
  <c r="F94" i="79"/>
  <c r="F90" i="79"/>
  <c r="F89" i="79"/>
  <c r="F91" i="79"/>
  <c r="F88" i="79"/>
  <c r="K22" i="4"/>
  <c r="J22" i="4"/>
  <c r="J91" i="5" s="1"/>
  <c r="I22" i="4"/>
  <c r="E91" i="5" s="1"/>
  <c r="H22" i="4"/>
  <c r="F22" i="4"/>
  <c r="E22" i="4"/>
  <c r="D22" i="4"/>
  <c r="K21" i="4"/>
  <c r="J21" i="4"/>
  <c r="J90" i="5" s="1"/>
  <c r="I21" i="4"/>
  <c r="E90" i="5" s="1"/>
  <c r="F90" i="5" s="1"/>
  <c r="H21" i="4"/>
  <c r="F21" i="4"/>
  <c r="E21" i="4"/>
  <c r="D21" i="4"/>
  <c r="K20" i="4"/>
  <c r="J20" i="4"/>
  <c r="J89" i="5" s="1"/>
  <c r="I20" i="4"/>
  <c r="E89" i="5" s="1"/>
  <c r="F89" i="5" s="1"/>
  <c r="H20" i="4"/>
  <c r="F20" i="4"/>
  <c r="E20" i="4"/>
  <c r="D20" i="4"/>
  <c r="K19" i="4"/>
  <c r="J19" i="4"/>
  <c r="J88" i="5" s="1"/>
  <c r="I19" i="4"/>
  <c r="E88" i="5" s="1"/>
  <c r="F88" i="5" s="1"/>
  <c r="H19" i="4"/>
  <c r="F19" i="4"/>
  <c r="E19" i="4"/>
  <c r="D19" i="4"/>
  <c r="K18" i="4"/>
  <c r="J18" i="4"/>
  <c r="J87" i="5" s="1"/>
  <c r="I18" i="4"/>
  <c r="E87" i="5" s="1"/>
  <c r="H18" i="4"/>
  <c r="F18" i="4"/>
  <c r="E18" i="4"/>
  <c r="D18" i="4"/>
  <c r="K17" i="4"/>
  <c r="J17" i="4"/>
  <c r="J86" i="5" s="1"/>
  <c r="I17" i="4"/>
  <c r="E86" i="5" s="1"/>
  <c r="F86" i="5" s="1"/>
  <c r="H17" i="4"/>
  <c r="F17" i="4"/>
  <c r="E17" i="4"/>
  <c r="D17" i="4"/>
  <c r="K16" i="4"/>
  <c r="J16" i="4"/>
  <c r="J85" i="5" s="1"/>
  <c r="I16" i="4"/>
  <c r="E85" i="5" s="1"/>
  <c r="H16" i="4"/>
  <c r="F16" i="4"/>
  <c r="E16" i="4"/>
  <c r="D16" i="4"/>
  <c r="K15" i="4"/>
  <c r="J15" i="4"/>
  <c r="J84" i="5" s="1"/>
  <c r="I15" i="4"/>
  <c r="E84" i="5" s="1"/>
  <c r="F84" i="5" s="1"/>
  <c r="H15" i="4"/>
  <c r="F15" i="4"/>
  <c r="E15" i="4"/>
  <c r="D15" i="4"/>
  <c r="K14" i="4"/>
  <c r="J14" i="4"/>
  <c r="J83" i="5" s="1"/>
  <c r="I14" i="4"/>
  <c r="F14" i="4"/>
  <c r="E14" i="4"/>
  <c r="D14" i="4"/>
  <c r="K13" i="4"/>
  <c r="J13" i="4"/>
  <c r="J82" i="5" s="1"/>
  <c r="I13" i="4"/>
  <c r="E82" i="5" s="1"/>
  <c r="F82" i="5" s="1"/>
  <c r="H13" i="4"/>
  <c r="F13" i="4"/>
  <c r="E13" i="4"/>
  <c r="D13" i="4"/>
  <c r="K12" i="4"/>
  <c r="J12" i="4"/>
  <c r="I12" i="4"/>
  <c r="H12" i="4"/>
  <c r="E12" i="4"/>
  <c r="D12" i="4"/>
  <c r="M12" i="4" s="1"/>
  <c r="C5" i="129" s="1"/>
  <c r="K11" i="4"/>
  <c r="J11" i="4"/>
  <c r="I11" i="4"/>
  <c r="H11" i="4"/>
  <c r="F11" i="4"/>
  <c r="E11" i="4"/>
  <c r="D11" i="4"/>
  <c r="M11" i="4" s="1"/>
  <c r="C5" i="128" s="1"/>
  <c r="J10" i="4"/>
  <c r="I10" i="4"/>
  <c r="H10" i="4"/>
  <c r="F10" i="4"/>
  <c r="E10" i="4"/>
  <c r="D10" i="4"/>
  <c r="M10" i="4" s="1"/>
  <c r="C5" i="97" s="1"/>
  <c r="J9" i="4"/>
  <c r="I9" i="4"/>
  <c r="N9" i="4" s="1"/>
  <c r="H9" i="4"/>
  <c r="F9" i="4"/>
  <c r="E9" i="4"/>
  <c r="D9" i="4"/>
  <c r="M9" i="4" s="1"/>
  <c r="C5" i="6" s="1"/>
  <c r="P62" i="5"/>
  <c r="F87" i="5" l="1"/>
  <c r="I87" i="5" s="1"/>
  <c r="F85" i="5"/>
  <c r="I85" i="5" s="1"/>
  <c r="F91" i="5"/>
  <c r="B83" i="79"/>
  <c r="D86" i="5"/>
  <c r="M17" i="4"/>
  <c r="C5" i="134" s="1"/>
  <c r="D87" i="5"/>
  <c r="M18" i="4"/>
  <c r="C5" i="135" s="1"/>
  <c r="D91" i="5"/>
  <c r="M22" i="4"/>
  <c r="C5" i="139" s="1"/>
  <c r="D83" i="5"/>
  <c r="M14" i="4"/>
  <c r="C5" i="131" s="1"/>
  <c r="D90" i="5"/>
  <c r="M21" i="4"/>
  <c r="C5" i="138" s="1"/>
  <c r="D85" i="5"/>
  <c r="M16" i="4"/>
  <c r="C5" i="133" s="1"/>
  <c r="D84" i="5"/>
  <c r="M15" i="4"/>
  <c r="C5" i="132" s="1"/>
  <c r="D82" i="5"/>
  <c r="M13" i="4"/>
  <c r="C5" i="130" s="1"/>
  <c r="D89" i="5"/>
  <c r="M20" i="4"/>
  <c r="C5" i="137" s="1"/>
  <c r="D88" i="5"/>
  <c r="M19" i="4"/>
  <c r="C5" i="136" s="1"/>
  <c r="C5" i="161"/>
  <c r="N19" i="4"/>
  <c r="I88" i="5" s="1"/>
  <c r="N21" i="4"/>
  <c r="I90" i="5" s="1"/>
  <c r="N17" i="4"/>
  <c r="I86" i="5" s="1"/>
  <c r="N22" i="4"/>
  <c r="E83" i="5"/>
  <c r="F83" i="5" s="1"/>
  <c r="F93" i="79"/>
  <c r="F87" i="79"/>
  <c r="B98" i="79"/>
  <c r="C17" i="97"/>
  <c r="C16" i="97"/>
  <c r="C15" i="97"/>
  <c r="C14" i="97"/>
  <c r="C17" i="128"/>
  <c r="C16" i="128"/>
  <c r="C15" i="128"/>
  <c r="C14" i="128"/>
  <c r="C17" i="129"/>
  <c r="C16" i="129"/>
  <c r="C15" i="129"/>
  <c r="C14" i="129"/>
  <c r="C17" i="130"/>
  <c r="C16" i="130"/>
  <c r="C15" i="130"/>
  <c r="C14" i="130"/>
  <c r="C17" i="131"/>
  <c r="C16" i="131"/>
  <c r="C15" i="131"/>
  <c r="C14" i="131"/>
  <c r="C17" i="132"/>
  <c r="C16" i="132"/>
  <c r="C15" i="132"/>
  <c r="C14" i="132"/>
  <c r="C17" i="133"/>
  <c r="C16" i="133"/>
  <c r="C15" i="133"/>
  <c r="C14" i="133"/>
  <c r="C17" i="134"/>
  <c r="C16" i="134"/>
  <c r="C15" i="134"/>
  <c r="C14" i="134"/>
  <c r="C17" i="135"/>
  <c r="C16" i="135"/>
  <c r="C15" i="135"/>
  <c r="C14" i="135"/>
  <c r="C17" i="136"/>
  <c r="C16" i="136"/>
  <c r="C15" i="136"/>
  <c r="C14" i="136"/>
  <c r="C17" i="137"/>
  <c r="C16" i="137"/>
  <c r="C15" i="137"/>
  <c r="C14" i="137"/>
  <c r="C17" i="138"/>
  <c r="C16" i="138"/>
  <c r="C15" i="138"/>
  <c r="C14" i="138"/>
  <c r="C17" i="139"/>
  <c r="C16" i="139"/>
  <c r="C15" i="139"/>
  <c r="C14" i="139"/>
  <c r="C17" i="140"/>
  <c r="C16" i="140"/>
  <c r="C15" i="140"/>
  <c r="C14" i="140"/>
  <c r="C17" i="141"/>
  <c r="C16" i="141"/>
  <c r="C15" i="141"/>
  <c r="C14" i="141"/>
  <c r="C17" i="142"/>
  <c r="C16" i="142"/>
  <c r="C15" i="142"/>
  <c r="C14" i="142"/>
  <c r="C17" i="143"/>
  <c r="C16" i="143"/>
  <c r="C15" i="143"/>
  <c r="C14" i="143"/>
  <c r="C17" i="144"/>
  <c r="C16" i="144"/>
  <c r="C15" i="144"/>
  <c r="C14" i="144"/>
  <c r="C17" i="145"/>
  <c r="C16" i="145"/>
  <c r="C15" i="145"/>
  <c r="C14" i="145"/>
  <c r="C17" i="146"/>
  <c r="C16" i="146"/>
  <c r="C15" i="146"/>
  <c r="C14" i="146"/>
  <c r="C17" i="147"/>
  <c r="C16" i="147"/>
  <c r="C15" i="147"/>
  <c r="C14" i="147"/>
  <c r="C17" i="148"/>
  <c r="C16" i="148"/>
  <c r="C15" i="148"/>
  <c r="C14" i="148"/>
  <c r="C17" i="6"/>
  <c r="C16" i="6"/>
  <c r="C15" i="6"/>
  <c r="C14" i="6"/>
  <c r="I91" i="5" l="1"/>
  <c r="O91" i="5" s="1"/>
  <c r="O85" i="5"/>
  <c r="K85" i="5"/>
  <c r="K87" i="5"/>
  <c r="O87" i="5"/>
  <c r="K86" i="5"/>
  <c r="O86" i="5"/>
  <c r="K88" i="5"/>
  <c r="O88" i="5"/>
  <c r="O90" i="5"/>
  <c r="K90" i="5"/>
  <c r="K49" i="5"/>
  <c r="K48" i="5"/>
  <c r="K47" i="5"/>
  <c r="J49" i="5"/>
  <c r="J48" i="5"/>
  <c r="J47" i="5"/>
  <c r="H49" i="5"/>
  <c r="H48" i="5"/>
  <c r="K91" i="5" l="1"/>
  <c r="O63" i="5"/>
  <c r="L49" i="5"/>
  <c r="F66" i="5" s="1"/>
  <c r="H66" i="5" s="1"/>
  <c r="O59" i="5" s="1"/>
  <c r="L47" i="5"/>
  <c r="H70" i="5"/>
  <c r="O58" i="5" s="1"/>
  <c r="L48" i="5"/>
  <c r="G54" i="5" l="1"/>
  <c r="I54" i="5" s="1"/>
  <c r="P61" i="5" s="1"/>
  <c r="G70" i="5"/>
  <c r="I70" i="5" s="1"/>
  <c r="P58" i="5" s="1"/>
  <c r="G66" i="5"/>
  <c r="I66" i="5" s="1"/>
  <c r="G60" i="5"/>
  <c r="F54" i="5" s="1"/>
  <c r="H54" i="5" s="1"/>
  <c r="O61" i="5" s="1"/>
  <c r="F50" i="5" l="1"/>
  <c r="H50" i="5" s="1"/>
  <c r="O62" i="5" s="1"/>
  <c r="N25" i="4" s="1"/>
  <c r="I60" i="5"/>
  <c r="P60" i="5" s="1"/>
  <c r="F60" i="5"/>
  <c r="H60" i="5" s="1"/>
  <c r="O60" i="5" s="1"/>
  <c r="P59" i="5"/>
  <c r="N15" i="4" l="1"/>
  <c r="I84" i="5" s="1"/>
  <c r="N14" i="4"/>
  <c r="F86" i="79"/>
  <c r="N26" i="4"/>
  <c r="N18" i="4"/>
  <c r="N29" i="4"/>
  <c r="N27" i="4"/>
  <c r="N28" i="4"/>
  <c r="N20" i="4"/>
  <c r="I89" i="5" s="1"/>
  <c r="N11" i="4"/>
  <c r="N37" i="4"/>
  <c r="N13" i="4"/>
  <c r="N16" i="4"/>
  <c r="N34" i="4"/>
  <c r="N23" i="4"/>
  <c r="N10" i="4"/>
  <c r="N12" i="4"/>
  <c r="J110" i="5"/>
  <c r="C9" i="150"/>
  <c r="C17" i="156"/>
  <c r="C16" i="156"/>
  <c r="C15" i="156"/>
  <c r="C14" i="156"/>
  <c r="C17" i="155"/>
  <c r="C16" i="155"/>
  <c r="C15" i="155"/>
  <c r="C14" i="155"/>
  <c r="C9" i="155"/>
  <c r="C17" i="151"/>
  <c r="C16" i="151"/>
  <c r="C15" i="151"/>
  <c r="C14" i="151"/>
  <c r="C17" i="150"/>
  <c r="C16" i="150"/>
  <c r="C15" i="150"/>
  <c r="C14" i="150"/>
  <c r="C17" i="149"/>
  <c r="C16" i="149"/>
  <c r="C15" i="149"/>
  <c r="C14" i="149"/>
  <c r="K89" i="5" l="1"/>
  <c r="O89" i="5"/>
  <c r="K84" i="5"/>
  <c r="O84" i="5"/>
  <c r="I83" i="5"/>
  <c r="I82" i="5"/>
  <c r="C79" i="5"/>
  <c r="C80" i="5"/>
  <c r="C81" i="5"/>
  <c r="D81" i="5" s="1"/>
  <c r="C78" i="5"/>
  <c r="D80" i="5" l="1"/>
  <c r="C10" i="163"/>
  <c r="C13" i="162"/>
  <c r="C13" i="163"/>
  <c r="C11" i="163"/>
  <c r="C7" i="162"/>
  <c r="C11" i="162"/>
  <c r="C7" i="163"/>
  <c r="C10" i="162"/>
  <c r="C8" i="163"/>
  <c r="C9" i="163" s="1"/>
  <c r="C8" i="162"/>
  <c r="C9" i="162" s="1"/>
  <c r="C13" i="161"/>
  <c r="C11" i="161"/>
  <c r="C7" i="161"/>
  <c r="C10" i="161"/>
  <c r="C11" i="128"/>
  <c r="C11" i="97"/>
  <c r="C11" i="129"/>
  <c r="C11" i="6"/>
  <c r="C10" i="131"/>
  <c r="C9" i="130"/>
  <c r="C10" i="130"/>
  <c r="C9" i="131"/>
  <c r="C11" i="130"/>
  <c r="C11" i="131"/>
  <c r="O83" i="5"/>
  <c r="K83" i="5"/>
  <c r="O82" i="5"/>
  <c r="K82" i="5"/>
  <c r="C11" i="145"/>
  <c r="C11" i="133"/>
  <c r="C11" i="135"/>
  <c r="C11" i="137"/>
  <c r="C11" i="139"/>
  <c r="C11" i="141"/>
  <c r="C10" i="146"/>
  <c r="C11" i="132"/>
  <c r="C11" i="136"/>
  <c r="C10" i="132"/>
  <c r="C10" i="138"/>
  <c r="C10" i="142"/>
  <c r="C10" i="133"/>
  <c r="C10" i="135"/>
  <c r="C10" i="137"/>
  <c r="C10" i="139"/>
  <c r="C10" i="141"/>
  <c r="C10" i="143"/>
  <c r="C10" i="147"/>
  <c r="C11" i="134"/>
  <c r="C11" i="138"/>
  <c r="C11" i="140"/>
  <c r="C10" i="148"/>
  <c r="C10" i="136"/>
  <c r="C10" i="145"/>
  <c r="C10" i="144"/>
  <c r="C10" i="134"/>
  <c r="C10" i="140"/>
  <c r="C11" i="147"/>
  <c r="C7" i="146"/>
  <c r="C11" i="146"/>
  <c r="C11" i="148"/>
  <c r="D79" i="5"/>
  <c r="E79" i="5"/>
  <c r="F79" i="5" s="1"/>
  <c r="B74" i="79"/>
  <c r="C13" i="130"/>
  <c r="C13" i="135"/>
  <c r="C13" i="145"/>
  <c r="J81" i="5"/>
  <c r="C13" i="129" s="1"/>
  <c r="E81" i="5"/>
  <c r="F81" i="5" s="1"/>
  <c r="B96" i="79"/>
  <c r="C13" i="142"/>
  <c r="C13" i="144"/>
  <c r="C8" i="144"/>
  <c r="J80" i="5"/>
  <c r="C13" i="128" s="1"/>
  <c r="E80" i="5"/>
  <c r="F80" i="5" s="1"/>
  <c r="B95" i="79"/>
  <c r="C13" i="141"/>
  <c r="B97" i="79"/>
  <c r="C13" i="143"/>
  <c r="C13" i="134"/>
  <c r="C13" i="139"/>
  <c r="C13" i="150"/>
  <c r="B77" i="79"/>
  <c r="C13" i="133"/>
  <c r="C7" i="138"/>
  <c r="B82" i="79"/>
  <c r="C13" i="138"/>
  <c r="C7" i="145"/>
  <c r="C7" i="149"/>
  <c r="C13" i="149"/>
  <c r="N78" i="5"/>
  <c r="E78" i="5"/>
  <c r="F78" i="5" s="1"/>
  <c r="C11" i="156"/>
  <c r="C11" i="155"/>
  <c r="C11" i="149"/>
  <c r="C10" i="149"/>
  <c r="C11" i="150"/>
  <c r="C11" i="151"/>
  <c r="C10" i="150"/>
  <c r="C7" i="140"/>
  <c r="C13" i="140"/>
  <c r="C7" i="132"/>
  <c r="B76" i="79"/>
  <c r="C13" i="132"/>
  <c r="C13" i="137"/>
  <c r="B81" i="79"/>
  <c r="C7" i="139"/>
  <c r="C13" i="148"/>
  <c r="B75" i="79"/>
  <c r="C13" i="131"/>
  <c r="C13" i="136"/>
  <c r="B80" i="79"/>
  <c r="C13" i="146"/>
  <c r="C13" i="147"/>
  <c r="C7" i="150"/>
  <c r="C7" i="147"/>
  <c r="N81" i="5"/>
  <c r="C7" i="136"/>
  <c r="C7" i="144"/>
  <c r="C7" i="148"/>
  <c r="N80" i="5"/>
  <c r="N79" i="5"/>
  <c r="C7" i="130"/>
  <c r="C7" i="134"/>
  <c r="C7" i="137"/>
  <c r="C7" i="133"/>
  <c r="C7" i="135"/>
  <c r="C7" i="131"/>
  <c r="J79" i="5"/>
  <c r="C13" i="97" s="1"/>
  <c r="D78" i="5"/>
  <c r="G78" i="5" s="1"/>
  <c r="C12" i="163" l="1"/>
  <c r="C4" i="163" s="1"/>
  <c r="C12" i="161"/>
  <c r="C4" i="161" s="1"/>
  <c r="C12" i="162"/>
  <c r="C4" i="162" s="1"/>
  <c r="B73" i="79"/>
  <c r="C9" i="129"/>
  <c r="B72" i="79"/>
  <c r="C9" i="128"/>
  <c r="C5" i="143"/>
  <c r="C5" i="146"/>
  <c r="C5" i="142"/>
  <c r="C5" i="145"/>
  <c r="C5" i="150"/>
  <c r="C5" i="155"/>
  <c r="C5" i="148"/>
  <c r="C5" i="156"/>
  <c r="M84" i="5"/>
  <c r="C5" i="149"/>
  <c r="C5" i="147"/>
  <c r="C5" i="144"/>
  <c r="C5" i="141"/>
  <c r="C5" i="151"/>
  <c r="M82" i="5"/>
  <c r="M83" i="5"/>
  <c r="C7" i="97"/>
  <c r="C10" i="97"/>
  <c r="C7" i="129"/>
  <c r="C10" i="129"/>
  <c r="C7" i="128"/>
  <c r="C10" i="128"/>
  <c r="C7" i="6"/>
  <c r="C10" i="6"/>
  <c r="C9" i="6"/>
  <c r="B71" i="79"/>
  <c r="C8" i="97"/>
  <c r="B78" i="79"/>
  <c r="C8" i="6"/>
  <c r="B70" i="79"/>
  <c r="B79" i="79"/>
  <c r="C8" i="140"/>
  <c r="C9" i="140" s="1"/>
  <c r="C12" i="140" s="1"/>
  <c r="C4" i="140" s="1"/>
  <c r="C7" i="143"/>
  <c r="C10" i="156"/>
  <c r="C7" i="141"/>
  <c r="C10" i="151"/>
  <c r="C7" i="142"/>
  <c r="C10" i="155"/>
  <c r="C12" i="155" s="1"/>
  <c r="C4" i="155" s="1"/>
  <c r="C13" i="151"/>
  <c r="C7" i="155"/>
  <c r="C13" i="155"/>
  <c r="C7" i="151"/>
  <c r="C13" i="156"/>
  <c r="C7" i="156"/>
  <c r="C8" i="147"/>
  <c r="C9" i="147" s="1"/>
  <c r="C12" i="147" s="1"/>
  <c r="C4" i="147" s="1"/>
  <c r="C8" i="136"/>
  <c r="C9" i="136" s="1"/>
  <c r="C12" i="136" s="1"/>
  <c r="C4" i="136" s="1"/>
  <c r="C8" i="131"/>
  <c r="C12" i="131" s="1"/>
  <c r="C4" i="131" s="1"/>
  <c r="C8" i="139"/>
  <c r="C9" i="139" s="1"/>
  <c r="C12" i="139" s="1"/>
  <c r="C4" i="139" s="1"/>
  <c r="F81" i="79"/>
  <c r="C8" i="137"/>
  <c r="C9" i="137" s="1"/>
  <c r="C12" i="137" s="1"/>
  <c r="C4" i="137" s="1"/>
  <c r="C8" i="132"/>
  <c r="C9" i="132" s="1"/>
  <c r="C12" i="132" s="1"/>
  <c r="C4" i="132" s="1"/>
  <c r="C8" i="133"/>
  <c r="C9" i="133" s="1"/>
  <c r="C12" i="133" s="1"/>
  <c r="C4" i="133" s="1"/>
  <c r="C8" i="141"/>
  <c r="C9" i="141" s="1"/>
  <c r="C12" i="141" s="1"/>
  <c r="C4" i="141" s="1"/>
  <c r="C8" i="129"/>
  <c r="C8" i="130"/>
  <c r="C12" i="130" s="1"/>
  <c r="C4" i="130" s="1"/>
  <c r="C8" i="148"/>
  <c r="C9" i="148" s="1"/>
  <c r="C12" i="148" s="1"/>
  <c r="C4" i="148" s="1"/>
  <c r="C8" i="138"/>
  <c r="C9" i="138" s="1"/>
  <c r="C12" i="138" s="1"/>
  <c r="C4" i="138" s="1"/>
  <c r="C8" i="143"/>
  <c r="C9" i="143" s="1"/>
  <c r="C8" i="145"/>
  <c r="C9" i="145" s="1"/>
  <c r="C12" i="145" s="1"/>
  <c r="C4" i="145" s="1"/>
  <c r="C8" i="135"/>
  <c r="C9" i="135" s="1"/>
  <c r="C12" i="135" s="1"/>
  <c r="C4" i="135" s="1"/>
  <c r="C9" i="97"/>
  <c r="C8" i="146"/>
  <c r="C9" i="146" s="1"/>
  <c r="C12" i="146" s="1"/>
  <c r="C4" i="146" s="1"/>
  <c r="C8" i="134"/>
  <c r="C9" i="134" s="1"/>
  <c r="C12" i="134" s="1"/>
  <c r="C4" i="134" s="1"/>
  <c r="C8" i="128"/>
  <c r="C8" i="142"/>
  <c r="C9" i="142" s="1"/>
  <c r="C8" i="149"/>
  <c r="C9" i="149" s="1"/>
  <c r="C12" i="149" s="1"/>
  <c r="C4" i="149" s="1"/>
  <c r="C9" i="144"/>
  <c r="I31" i="5"/>
  <c r="I32" i="5"/>
  <c r="I35" i="5"/>
  <c r="I30" i="5"/>
  <c r="I33" i="5"/>
  <c r="I34" i="5"/>
  <c r="C8" i="156"/>
  <c r="C9" i="156" s="1"/>
  <c r="C8" i="151"/>
  <c r="C9" i="151" s="1"/>
  <c r="C12" i="150"/>
  <c r="C4" i="150" s="1"/>
  <c r="C12" i="97" l="1"/>
  <c r="C4" i="97" s="1"/>
  <c r="I78" i="5"/>
  <c r="C12" i="6"/>
  <c r="C12" i="128"/>
  <c r="C4" i="128" s="1"/>
  <c r="C12" i="129"/>
  <c r="C4" i="129" s="1"/>
  <c r="D71" i="79"/>
  <c r="D73" i="79"/>
  <c r="D74" i="79"/>
  <c r="D72" i="79"/>
  <c r="C12" i="151"/>
  <c r="C4" i="151" s="1"/>
  <c r="C12" i="156"/>
  <c r="C4" i="156" s="1"/>
  <c r="F82" i="79"/>
  <c r="F83" i="79"/>
  <c r="F84" i="79"/>
  <c r="I81" i="5"/>
  <c r="O81" i="5" s="1"/>
  <c r="I80" i="5"/>
  <c r="O80" i="5" s="1"/>
  <c r="I79" i="5"/>
  <c r="O79" i="5" s="1"/>
  <c r="F95" i="79" l="1"/>
  <c r="F80" i="79"/>
  <c r="K80" i="5"/>
  <c r="F77" i="79"/>
  <c r="F76" i="79"/>
  <c r="K81" i="5"/>
  <c r="F74" i="79"/>
  <c r="F78" i="79"/>
  <c r="F79" i="79"/>
  <c r="F75" i="79"/>
  <c r="O78" i="5"/>
  <c r="K79" i="5"/>
  <c r="J23" i="2"/>
  <c r="J22" i="2"/>
  <c r="J21" i="2"/>
  <c r="K10" i="2"/>
  <c r="L9" i="2" s="1"/>
  <c r="I10" i="2"/>
  <c r="J7" i="2" s="1"/>
  <c r="G10" i="2"/>
  <c r="H9" i="2" s="1"/>
  <c r="E10" i="2"/>
  <c r="L7" i="2"/>
  <c r="H7" i="2"/>
  <c r="E2" i="2"/>
  <c r="E1" i="2"/>
  <c r="F3" i="2" s="1"/>
  <c r="F73" i="79" l="1"/>
  <c r="F71" i="79"/>
  <c r="F72" i="79"/>
  <c r="K78" i="5"/>
  <c r="K23" i="2"/>
  <c r="F7" i="2" s="1"/>
  <c r="K22" i="2"/>
  <c r="F4" i="2"/>
  <c r="F2" i="2"/>
  <c r="J8" i="2"/>
  <c r="J10" i="2" s="1"/>
  <c r="J9" i="2"/>
  <c r="J24" i="2"/>
  <c r="K21" i="2" s="1"/>
  <c r="L8" i="2"/>
  <c r="L10" i="2" s="1"/>
  <c r="C4" i="6"/>
  <c r="H8" i="2"/>
  <c r="H10" i="2" s="1"/>
  <c r="M80" i="5" l="1"/>
  <c r="M81" i="5"/>
  <c r="M79" i="5"/>
  <c r="F70" i="79"/>
  <c r="C11" i="144"/>
  <c r="C12" i="144" s="1"/>
  <c r="C4" i="144" s="1"/>
  <c r="C11" i="142"/>
  <c r="C12" i="142" s="1"/>
  <c r="C4" i="142" s="1"/>
  <c r="C11" i="143"/>
  <c r="C12" i="143" s="1"/>
  <c r="C4" i="143" s="1"/>
  <c r="K10" i="4"/>
  <c r="J78" i="5"/>
  <c r="C13" i="6" s="1"/>
  <c r="K9" i="4"/>
  <c r="K24" i="2"/>
  <c r="F9" i="2"/>
  <c r="F10" i="2"/>
  <c r="J36" i="5"/>
  <c r="H35" i="5" s="1"/>
  <c r="M78" i="5" l="1"/>
  <c r="F96" i="79"/>
  <c r="I70" i="79" s="1"/>
  <c r="H30" i="5"/>
  <c r="H34" i="5"/>
  <c r="H32" i="5"/>
  <c r="H31" i="5"/>
  <c r="H33" i="5"/>
  <c r="I69" i="79" l="1"/>
  <c r="I71" i="79"/>
  <c r="I36" i="5"/>
  <c r="I72" i="79" l="1"/>
  <c r="J71" i="79" s="1"/>
  <c r="R7" i="53"/>
  <c r="J69" i="79" l="1"/>
  <c r="J70" i="79"/>
  <c r="R8" i="53"/>
  <c r="R9" i="53"/>
  <c r="R10" i="5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Marcelle</author>
  </authors>
  <commentList>
    <comment ref="D6" authorId="0" shapeId="0" xr:uid="{B2345D72-10B1-47BE-B965-C05982180B8F}">
      <text>
        <r>
          <rPr>
            <b/>
            <sz val="9"/>
            <color indexed="81"/>
            <rFont val="Segoe UI"/>
            <family val="2"/>
          </rPr>
          <t>Marcelle:</t>
        </r>
        <r>
          <rPr>
            <sz val="9"/>
            <color indexed="81"/>
            <rFont val="Segoe UI"/>
            <family val="2"/>
          </rPr>
          <t xml:space="preserve">
Caso a empresa escolha fornecedor por edital registra-se o mapa apresentado. São eles:
-Cotação (Mínimo 3 empresas)
-Justificativa (Serviço de necessidade imediata)
-Contrato (normalmente não são apresentados o mapa a cada pagamento)
-N/A (Item como impostos, frete e fundo fixo)
-NÃO (Itens q deveriam ter algum Mapa, mas não tem)</t>
        </r>
      </text>
    </comment>
  </commentList>
</comments>
</file>

<file path=xl/sharedStrings.xml><?xml version="1.0" encoding="utf-8"?>
<sst xmlns="http://schemas.openxmlformats.org/spreadsheetml/2006/main" count="2874" uniqueCount="1037">
  <si>
    <t>Condomínios</t>
  </si>
  <si>
    <t>APROVA</t>
  </si>
  <si>
    <t>RELATÓRIO COM OPINIÃO SEM RESSALVA</t>
  </si>
  <si>
    <t>O relatório sem ressalva é emitido quando o auditor está convencido sobre todos os aspectos relevantes dos assuntos tratados no item 4 deste Pronunciamento. O relatório do auditor independente deve expressar essa convicção de forma clara e objetiva.</t>
  </si>
  <si>
    <t>O relatório sem ressalva implica afirmação de que, em tendo havido alterações em princípios contábeis ou no método de sua aplicação, o fato e os efeitos dele decorrentes foram adequadamente determinados e revelados nas demonstrações contábeis e/ou nas notas explicativas.</t>
  </si>
  <si>
    <t>O auditor não deve emitir um relatório sem ressalva quando existirem quaisquer das circunstâncias seguintes, que, na sua opinião, tenham efeitos relevantes para as demonstrações contábeis.</t>
  </si>
  <si>
    <t>APROVA COM RESSALVA</t>
  </si>
  <si>
    <t>RELATÓRIO COM OPINIÃO COM RESSALVA</t>
  </si>
  <si>
    <t>O relatório com ressalva é emitido quando o auditor conclui que o efeito de qualquer discordância ou restrição na extensão de um trabalho não é de tal magnitude que requeira relatório adverso ou abstenção de opinião.</t>
  </si>
  <si>
    <t>O relatório com ressalva deve obedecer ao modelo do relatório sem ressalva, com a utilização das expressões "exceto por", "exceto quanto" ou "com exceção de", referindo-se aos efeitos do assunto objeto da ressalva. Não é aceitável nenhuma outra expressão na redação desse tipo de relatório.</t>
  </si>
  <si>
    <t>Não APROVA</t>
  </si>
  <si>
    <t>RELATÓRIO COM OPINIÃO ADVERSO</t>
  </si>
  <si>
    <t>O auditor deve emitir relatório adverso quando verificar que as demonstrações contábeis estão incorretas ou incompletas, em tal magnitude que impossibilite a emissão do relatório com  ressalvas.</t>
  </si>
  <si>
    <t>Assim, relatório adverso é o que exprime a opinião de que as demonstrações contábeis não representam adequadamente a posição patrimonial e financeira, nem o resultado das operações, e/ou as mutações do patrimônio líquido, e/ou as origens e aplicações de recursos de acordo com os Princípios Fundamentais de Contabilidade.</t>
  </si>
  <si>
    <t>O auditor deve, portanto, emitir relatório adverso quando verificar efeitos que, em sua opinião, comprometam em tal magnitude das demonstrações contábeis examinadas a ponto de não ser suficiente a simples ressalva no relatório. Nessas circunstâncias, uma ressalva não é considerada apropriada, uma vez que o auditor possui informações suficientes para declarar que as demonstrações contábeis não estão adequadamente apresentadas.</t>
  </si>
  <si>
    <t>RELATÓRIO COM ABSTENÇÃO DE OPINIÃO</t>
  </si>
  <si>
    <t>O relatório com abstenção de opinião é emitido quando houver uma limitação significativa na extensão de seus exames que impossibilite o auditor expressar opinião sobre as demonstrações contábeis por não ter obtido comprovação suficiente para fundamentá-la.
Abstenção de opinião por limitação da extensão</t>
  </si>
  <si>
    <t>Nos casos de limitações significativas, o auditor deve, no parágrafo da extensão, indicar claramente os procedimentos omitidos e suas circunstâncias ou fazer uma referência a um parágrafo intermediário específico do relatório que descreva tal limitação. Em quaisquer desses casos, em parágrafo final do relatório, o auditor deve mencionar claramente que o exame não foi suficiente para permitir emissão de opinião sobre as demonstrações contábeis tomadas em conjunto. A abstenção de opinião não elimina a responsabilidade do auditor em mencionar, no relatório, qualquer desvio relevante que possa influenciar a decisão do usuário dessas informações.</t>
  </si>
  <si>
    <r>
      <rPr>
        <b/>
        <sz val="8"/>
        <color rgb="FF333333"/>
        <rFont val="Georgia"/>
        <family val="1"/>
      </rPr>
      <t>Análise:</t>
    </r>
    <r>
      <rPr>
        <sz val="8"/>
        <color rgb="FF333333"/>
        <rFont val="Georgia"/>
        <family val="1"/>
      </rPr>
      <t> Quando houver distorção relevante ou não identificação de evidências de que as demonstrações não apresentam distorções relevantes, o auditor deverá modificar sua opinião, entre: opinião com ressalva, adversa ou com abstenção de opinião.</t>
    </r>
  </si>
  <si>
    <t>Nessas ocasiões, deve-se atentar para as seguintes palavras-chave:</t>
  </si>
  <si>
    <r>
      <rPr>
        <b/>
        <sz val="8"/>
        <color rgb="FF333333"/>
        <rFont val="Georgia"/>
        <family val="1"/>
      </rPr>
      <t>RELEVANTE + NÃO GENERALIZADA (com ou sem evidências):</t>
    </r>
    <r>
      <rPr>
        <sz val="8"/>
        <color rgb="FF333333"/>
        <rFont val="Georgia"/>
        <family val="1"/>
      </rPr>
      <t> Opinião com ressalva;</t>
    </r>
  </si>
  <si>
    <r>
      <rPr>
        <b/>
        <sz val="8"/>
        <color rgb="FF333333"/>
        <rFont val="Georgia"/>
        <family val="1"/>
      </rPr>
      <t>RELEVANTE + GENERALIZADA (com evidência):</t>
    </r>
    <r>
      <rPr>
        <sz val="8"/>
        <color rgb="FF333333"/>
        <rFont val="Georgia"/>
        <family val="1"/>
      </rPr>
      <t> Opinião Adversa;</t>
    </r>
  </si>
  <si>
    <r>
      <rPr>
        <b/>
        <sz val="8"/>
        <color rgb="FF333333"/>
        <rFont val="Georgia"/>
        <family val="1"/>
      </rPr>
      <t>RELEVANTE + GENERALIZADA (sem evidência):</t>
    </r>
    <r>
      <rPr>
        <sz val="8"/>
        <color rgb="FF333333"/>
        <rFont val="Georgia"/>
        <family val="1"/>
      </rPr>
      <t> Abstenção de Opinião.</t>
    </r>
  </si>
  <si>
    <t>Tipos de Opinião do Auditor</t>
  </si>
  <si>
    <t>1.      Opinião com ressalva</t>
  </si>
  <si>
    <t>O auditor deve expressar uma “Opinião com ressalva” quando:</t>
  </si>
  <si>
    <r>
      <rPr>
        <sz val="8"/>
        <color rgb="FF333333"/>
        <rFont val="Georgia"/>
        <family val="1"/>
      </rPr>
      <t>ele, tendo obtido evidência de auditoria apropriada e suficiente, conclui que as distorções, individualmente ou em conjunto, são relevantes, mas </t>
    </r>
    <r>
      <rPr>
        <b/>
        <sz val="8"/>
        <color rgb="FF333333"/>
        <rFont val="Georgia"/>
        <family val="1"/>
      </rPr>
      <t>Não Generalizadas</t>
    </r>
    <r>
      <rPr>
        <sz val="8"/>
        <color rgb="FF333333"/>
        <rFont val="Georgia"/>
        <family val="1"/>
      </rPr>
      <t> nas demonstrações contábeis; ou</t>
    </r>
  </si>
  <si>
    <r>
      <rPr>
        <sz val="8"/>
        <color rgb="FF333333"/>
        <rFont val="Georgia"/>
        <family val="1"/>
      </rPr>
      <t>não é possível para ele obter evidência apropriada e suficiente de auditoria para fundamentar sua opinião, mas ele conclui que os possíveis efeitos de distorções não detectadas sobre as demonstrações contábeis, se houver, poderiam ser relevantes, </t>
    </r>
    <r>
      <rPr>
        <b/>
        <sz val="8"/>
        <color rgb="FF333333"/>
        <rFont val="Georgia"/>
        <family val="1"/>
      </rPr>
      <t>MAS NÃO GENERALIZADOS</t>
    </r>
    <r>
      <rPr>
        <sz val="8"/>
        <color rgb="FF333333"/>
        <rFont val="Georgia"/>
        <family val="1"/>
      </rPr>
      <t>.</t>
    </r>
  </si>
  <si>
    <t>2.      Opinião adversa</t>
  </si>
  <si>
    <t>3.      Abstenção de opinião</t>
  </si>
  <si>
    <t>Não Aprova</t>
  </si>
  <si>
    <t>Aprova c/Ressalva</t>
  </si>
  <si>
    <t>Aprova</t>
  </si>
  <si>
    <t>Aprova c/ Ressalva</t>
  </si>
  <si>
    <t>Total de Pontos de baixo Impacto</t>
  </si>
  <si>
    <t>Ponteiro</t>
  </si>
  <si>
    <t>Total de Pontos de alto Impacto</t>
  </si>
  <si>
    <t>0% - 50%</t>
  </si>
  <si>
    <t>Se, pelo menos 75% dos pontos forem de baixo impacto e não houver nenhum ponto de Alto impacto crítico o bastante para reprovar as contas</t>
  </si>
  <si>
    <t>51% - 75%</t>
  </si>
  <si>
    <t>Se a maioria dos pontos forem de Média e Baixo Impacto e houverem pouco s pontos de alto impacto ( pelo menos 75% forem de pontos de médio e baixo impacto e nos pontos de alto impacto não haver nenhum ponto crítico o bastante para reprovar as contas.</t>
  </si>
  <si>
    <t>75% - 90%</t>
  </si>
  <si>
    <t>Se a maioria dos pontos forem de alto Impacto e houverem poucos pontos de baixo e médio impacto ( pelo menos 75% forem de pontos de alto impacto e nos pontos de alto impacto não haver nenhum ponto crítico o bastante para reprovar as contas.</t>
  </si>
  <si>
    <t>Crítico ( 100% )</t>
  </si>
  <si>
    <t>Se houver algum ponto crítico o bastante que a auditoria julgue que seja impactante o suficiente para não permitir a aprovação das contas ou haja limitação de escopo que não permita que a auditoria seja realizada.</t>
  </si>
  <si>
    <t>Ponto</t>
  </si>
  <si>
    <t>Tipo</t>
  </si>
  <si>
    <t>Quantidade</t>
  </si>
  <si>
    <t>P01</t>
  </si>
  <si>
    <t>ALTO</t>
  </si>
  <si>
    <t>Alto</t>
  </si>
  <si>
    <t>P02</t>
  </si>
  <si>
    <t>Médio</t>
  </si>
  <si>
    <t>P03</t>
  </si>
  <si>
    <t>Baixo</t>
  </si>
  <si>
    <t>P04</t>
  </si>
  <si>
    <t>P05</t>
  </si>
  <si>
    <t>P06</t>
  </si>
  <si>
    <t>P07</t>
  </si>
  <si>
    <t>MÉDIO</t>
  </si>
  <si>
    <t>P08</t>
  </si>
  <si>
    <t>BAIXO</t>
  </si>
  <si>
    <t>P09</t>
  </si>
  <si>
    <t>P10</t>
  </si>
  <si>
    <t>P11</t>
  </si>
  <si>
    <t>P12</t>
  </si>
  <si>
    <t>P13</t>
  </si>
  <si>
    <t>P14</t>
  </si>
  <si>
    <t>P15</t>
  </si>
  <si>
    <t>P16</t>
  </si>
  <si>
    <t>P17</t>
  </si>
  <si>
    <t>P18</t>
  </si>
  <si>
    <t>P19</t>
  </si>
  <si>
    <t>P20</t>
  </si>
  <si>
    <t>P21</t>
  </si>
  <si>
    <t>P22</t>
  </si>
  <si>
    <t>P23</t>
  </si>
  <si>
    <t>P24</t>
  </si>
  <si>
    <t>P25</t>
  </si>
  <si>
    <t>P26</t>
  </si>
  <si>
    <t>x</t>
  </si>
  <si>
    <t>BASE DA MATRIZ</t>
  </si>
  <si>
    <t>[P01]</t>
  </si>
  <si>
    <r>
      <rPr>
        <b/>
        <sz val="11"/>
        <color rgb="FF000000"/>
        <rFont val="Times New Roman"/>
        <family val="1"/>
      </rPr>
      <t xml:space="preserve">Não foi estabelecida a confiança nos controles que estão implementados no </t>
    </r>
    <r>
      <rPr>
        <b/>
        <sz val="12"/>
        <color rgb="FF000000"/>
        <rFont val="Times New Roman"/>
        <family val="1"/>
      </rPr>
      <t>Condomínio Le Parc Residential Resort</t>
    </r>
    <r>
      <rPr>
        <b/>
        <sz val="11"/>
        <color rgb="FF000000"/>
        <rFont val="Times New Roman"/>
        <family val="1"/>
      </rPr>
      <t>.</t>
    </r>
  </si>
  <si>
    <t>Alto Impacto</t>
  </si>
  <si>
    <t>Operação Administrativa do Condomínio</t>
  </si>
  <si>
    <r>
      <rPr>
        <b/>
        <sz val="11"/>
        <color theme="1"/>
        <rFont val="Times New Roman"/>
        <family val="1"/>
      </rPr>
      <t>[P</t>
    </r>
    <r>
      <rPr>
        <b/>
        <sz val="11"/>
        <color rgb="FF000000"/>
        <rFont val="Times New Roman"/>
        <family val="1"/>
      </rPr>
      <t>02]</t>
    </r>
  </si>
  <si>
    <t>Ausência de manual de normas e procedimentos</t>
  </si>
  <si>
    <t>Manual de normas e procedimentos</t>
  </si>
  <si>
    <r>
      <rPr>
        <b/>
        <sz val="11"/>
        <color theme="1"/>
        <rFont val="Times New Roman"/>
        <family val="1"/>
      </rPr>
      <t>[P0</t>
    </r>
    <r>
      <rPr>
        <b/>
        <sz val="11"/>
        <color rgb="FF000000"/>
        <rFont val="Times New Roman"/>
        <family val="1"/>
      </rPr>
      <t>3]</t>
    </r>
  </si>
  <si>
    <t>Diferenças entre: Favorecido do documento X Beneficiário do pagamento</t>
  </si>
  <si>
    <t>Inspeção Documental - Gastos</t>
  </si>
  <si>
    <r>
      <rPr>
        <b/>
        <sz val="11"/>
        <color theme="1"/>
        <rFont val="Times New Roman"/>
        <family val="1"/>
      </rPr>
      <t>[P0</t>
    </r>
    <r>
      <rPr>
        <b/>
        <sz val="11"/>
        <color rgb="FF000000"/>
        <rFont val="Times New Roman"/>
        <family val="1"/>
      </rPr>
      <t>4]</t>
    </r>
  </si>
  <si>
    <t>Pagamentos realizados sem os respectivos comprovantes de pagamento anexados</t>
  </si>
  <si>
    <r>
      <rPr>
        <b/>
        <sz val="11"/>
        <color theme="1"/>
        <rFont val="Times New Roman"/>
        <family val="1"/>
      </rPr>
      <t>[P05</t>
    </r>
    <r>
      <rPr>
        <b/>
        <sz val="11"/>
        <color rgb="FF000000"/>
        <rFont val="Times New Roman"/>
        <family val="1"/>
      </rPr>
      <t>]</t>
    </r>
  </si>
  <si>
    <t>Diferenças entre: Valor do comprovante de pagamento X Valor da documentação suporte.</t>
  </si>
  <si>
    <r>
      <rPr>
        <b/>
        <sz val="11"/>
        <color theme="1"/>
        <rFont val="Times New Roman"/>
        <family val="1"/>
      </rPr>
      <t>[P</t>
    </r>
    <r>
      <rPr>
        <b/>
        <sz val="11"/>
        <color rgb="FF000000"/>
        <rFont val="Times New Roman"/>
        <family val="1"/>
      </rPr>
      <t>06]</t>
    </r>
  </si>
  <si>
    <t>Inexistência de rotina de inventário físico do ativo imobilizado.</t>
  </si>
  <si>
    <t>Imobilizado</t>
  </si>
  <si>
    <r>
      <rPr>
        <b/>
        <sz val="11"/>
        <color theme="1"/>
        <rFont val="Times New Roman"/>
        <family val="1"/>
      </rPr>
      <t>[P</t>
    </r>
    <r>
      <rPr>
        <b/>
        <sz val="11"/>
        <color rgb="FF000000"/>
        <rFont val="Times New Roman"/>
        <family val="1"/>
      </rPr>
      <t>07]</t>
    </r>
  </si>
  <si>
    <t>Definição de vida útil do ativo imobilizado</t>
  </si>
  <si>
    <t>Médio Impacto</t>
  </si>
  <si>
    <r>
      <rPr>
        <b/>
        <sz val="11"/>
        <color theme="1"/>
        <rFont val="Times New Roman"/>
        <family val="1"/>
      </rPr>
      <t>[P</t>
    </r>
    <r>
      <rPr>
        <b/>
        <sz val="11"/>
        <color rgb="FF000000"/>
        <rFont val="Times New Roman"/>
        <family val="1"/>
      </rPr>
      <t>08]</t>
    </r>
  </si>
  <si>
    <t>Páginas não numeradas ou numeradas de forma incorreta.</t>
  </si>
  <si>
    <t>Baixo Impacto</t>
  </si>
  <si>
    <t>Controle Interno</t>
  </si>
  <si>
    <r>
      <rPr>
        <b/>
        <sz val="11"/>
        <color theme="1"/>
        <rFont val="Times New Roman"/>
        <family val="1"/>
      </rPr>
      <t>[P</t>
    </r>
    <r>
      <rPr>
        <b/>
        <sz val="11"/>
        <color rgb="FF000000"/>
        <rFont val="Times New Roman"/>
        <family val="1"/>
      </rPr>
      <t>09]</t>
    </r>
  </si>
  <si>
    <r>
      <rPr>
        <b/>
        <sz val="11"/>
        <color rgb="FF000000"/>
        <rFont val="Times New Roman"/>
        <family val="1"/>
      </rPr>
      <t xml:space="preserve">Registro da Convenção do </t>
    </r>
    <r>
      <rPr>
        <b/>
        <sz val="12"/>
        <color rgb="FF000000"/>
        <rFont val="Times New Roman"/>
        <family val="1"/>
      </rPr>
      <t>Condomínio Le Parc Residential Resort</t>
    </r>
    <r>
      <rPr>
        <b/>
        <sz val="11"/>
        <color rgb="FF000000"/>
        <rFont val="Times New Roman"/>
        <family val="1"/>
      </rPr>
      <t xml:space="preserve"> em cartório.</t>
    </r>
  </si>
  <si>
    <t>Convenção</t>
  </si>
  <si>
    <r>
      <rPr>
        <b/>
        <sz val="11"/>
        <color theme="1"/>
        <rFont val="Times New Roman"/>
        <family val="1"/>
      </rPr>
      <t>[P</t>
    </r>
    <r>
      <rPr>
        <b/>
        <sz val="11"/>
        <color rgb="FF000000"/>
        <rFont val="Times New Roman"/>
        <family val="1"/>
      </rPr>
      <t>10]</t>
    </r>
  </si>
  <si>
    <r>
      <rPr>
        <b/>
        <sz val="11"/>
        <color rgb="FF000000"/>
        <rFont val="Times New Roman"/>
        <family val="1"/>
      </rPr>
      <t xml:space="preserve">Registro do Regimento do </t>
    </r>
    <r>
      <rPr>
        <b/>
        <sz val="12"/>
        <color rgb="FF000000"/>
        <rFont val="Times New Roman"/>
        <family val="1"/>
      </rPr>
      <t>Condomínio Le Parc Residential Resort</t>
    </r>
    <r>
      <rPr>
        <b/>
        <sz val="11"/>
        <color rgb="FF000000"/>
        <rFont val="Times New Roman"/>
        <family val="1"/>
      </rPr>
      <t xml:space="preserve"> em cartório.</t>
    </r>
  </si>
  <si>
    <t>Regimento do Condomínio</t>
  </si>
  <si>
    <r>
      <rPr>
        <b/>
        <sz val="11"/>
        <color theme="1"/>
        <rFont val="Times New Roman"/>
        <family val="1"/>
      </rPr>
      <t>[P</t>
    </r>
    <r>
      <rPr>
        <b/>
        <sz val="11"/>
        <color rgb="FF000000"/>
        <rFont val="Times New Roman"/>
        <family val="1"/>
      </rPr>
      <t>11]</t>
    </r>
  </si>
  <si>
    <t>Não há classificação de expectativa de ganho para algumas causas ativas e de perda para as passivas.</t>
  </si>
  <si>
    <t>Contingências</t>
  </si>
  <si>
    <r>
      <rPr>
        <b/>
        <sz val="11"/>
        <color theme="1"/>
        <rFont val="Times New Roman"/>
        <family val="1"/>
      </rPr>
      <t>[P</t>
    </r>
    <r>
      <rPr>
        <b/>
        <sz val="11"/>
        <color rgb="FF000000"/>
        <rFont val="Times New Roman"/>
        <family val="1"/>
      </rPr>
      <t>12]</t>
    </r>
  </si>
  <si>
    <t>Inexistência de padronização dos relatórios mensais de contingência</t>
  </si>
  <si>
    <r>
      <rPr>
        <b/>
        <sz val="11"/>
        <color theme="1"/>
        <rFont val="Times New Roman"/>
        <family val="1"/>
      </rPr>
      <t>[P</t>
    </r>
    <r>
      <rPr>
        <b/>
        <sz val="11"/>
        <color rgb="FF000000"/>
        <rFont val="Times New Roman"/>
        <family val="1"/>
      </rPr>
      <t>13]</t>
    </r>
  </si>
  <si>
    <t>Relatório de encaminhamento aos órgãos de proteção ao crédito.</t>
  </si>
  <si>
    <t>Avaliação da soma das NFs Identificadas</t>
  </si>
  <si>
    <t>Leilane ajustar</t>
  </si>
  <si>
    <t>JULGAMENTO PROFISSIONAL</t>
  </si>
  <si>
    <t>Utilizar essa estrutura no Status</t>
  </si>
  <si>
    <t>Status</t>
  </si>
  <si>
    <t>Estrutura</t>
  </si>
  <si>
    <t>Descrição Resumida</t>
  </si>
  <si>
    <t>Descrição do Ponto</t>
  </si>
  <si>
    <t>Riscos e Implicações</t>
  </si>
  <si>
    <t>Impacto Financeiro</t>
  </si>
  <si>
    <t>Recomendações</t>
  </si>
  <si>
    <t>Tipo de Teste</t>
  </si>
  <si>
    <t>[P1]</t>
  </si>
  <si>
    <t>Pagamento sem nota fiscal</t>
  </si>
  <si>
    <t>Verificamos que ocorreram gastos sem a respectiva emissão de nota fiscal pelos fornecedores e prestadores de serviços.</t>
  </si>
  <si>
    <t>Pagamento sem os respectivos Fornecedores/ Prestadores de serviços não é permitido pela legislação brasileira assim como Convenção e Regimento Interno do Condomínio.</t>
  </si>
  <si>
    <t>N/A</t>
  </si>
  <si>
    <t>Sugerimos que seja solicitado aos respectivos Fornecedores/ Prestadores de serviços ou fornecedores a nota fiscal pelo fornecimento de material ou de prestação de serviços.</t>
  </si>
  <si>
    <t>Estratégico</t>
  </si>
  <si>
    <t>MÉDIO IMPACTO</t>
  </si>
  <si>
    <t>•	31/12/2020
•	Recorrente
■	Vorcon Auditoria &amp; Consultoria
■	22 de abril de 2021</t>
  </si>
  <si>
    <t>•	[Data base do relatório]
•	Ponto Novo ou Recorrente???
■	Empresa que Identificou o Ponto
■	22 de abril de 2021 [Data do relatório]</t>
  </si>
  <si>
    <r>
      <rPr>
        <b/>
        <sz val="11"/>
        <color theme="1"/>
        <rFont val="Times New Roman"/>
        <family val="1"/>
      </rPr>
      <t>[P</t>
    </r>
    <r>
      <rPr>
        <b/>
        <sz val="11"/>
        <color rgb="FF000000"/>
        <rFont val="Times New Roman"/>
        <family val="1"/>
      </rPr>
      <t>2]</t>
    </r>
  </si>
  <si>
    <t>O fornecedor apresentado no comprovante de pagamento não é o mesmo da Nota Fiscal.</t>
  </si>
  <si>
    <t>Pagamento sem as respectivas notas fiscais não é permitido pela legislação brasileira assim como Convenção e Regimento Interno do Condomínio.</t>
  </si>
  <si>
    <t>Sugerimos que seja solicitado aos respectivos prestadores de serviço ou fornecedores a nota fiscal pelo fornecimento de material ou de prestação de serviços.</t>
  </si>
  <si>
    <t>Operacional</t>
  </si>
  <si>
    <t>BAIXO IMPACTO</t>
  </si>
  <si>
    <t>•	31/12/2020
■	Vorcon Auditoria &amp; Consultoria
■	22 de abril de 2021</t>
  </si>
  <si>
    <r>
      <rPr>
        <b/>
        <sz val="11"/>
        <color theme="1"/>
        <rFont val="Times New Roman"/>
        <family val="1"/>
      </rPr>
      <t>[P</t>
    </r>
    <r>
      <rPr>
        <b/>
        <sz val="11"/>
        <color rgb="FF000000"/>
        <rFont val="Times New Roman"/>
        <family val="1"/>
      </rPr>
      <t>3]</t>
    </r>
  </si>
  <si>
    <t>Verificamos que alguns pagamentos foram realizados sem que fossem anexados os respectivos comprovantes de pagamentos ou documentos equivalentes dando a respectiva quitação.</t>
  </si>
  <si>
    <t>Pagamento duplicado dos valores, ou caso haja a solicitação do comprovante de pagamento o Condomínio não os possua.</t>
  </si>
  <si>
    <t>Sugerimos que sejam criados processos para que os comprovantes de pagamentos estejam anexados ao processo de pagamentos.</t>
  </si>
  <si>
    <t>ALTO IMPACTO</t>
  </si>
  <si>
    <r>
      <rPr>
        <b/>
        <sz val="11"/>
        <color theme="1"/>
        <rFont val="Times New Roman"/>
        <family val="1"/>
      </rPr>
      <t>[P</t>
    </r>
    <r>
      <rPr>
        <b/>
        <sz val="11"/>
        <color rgb="FF000000"/>
        <rFont val="Times New Roman"/>
        <family val="1"/>
      </rPr>
      <t>4]</t>
    </r>
  </si>
  <si>
    <t>Pagamento de impostos sem identificação do prestador de serviços</t>
  </si>
  <si>
    <t>Não identificamos documentação suporte que indique a origem dos impostos e os respectivos prestadores de serviço.</t>
  </si>
  <si>
    <t>Possíveis pagamentos duplicado dos valores, ou caso haja a solicitação do comprovante de pagamento o Condomínio não os possua</t>
  </si>
  <si>
    <t>Sugerimos que sejam criados processos para que todos os documentos estejam anexados ao processo de prestação de contas no demonstrativo financeiros.</t>
  </si>
  <si>
    <t>Inspeção Documental - Receitas</t>
  </si>
  <si>
    <r>
      <rPr>
        <b/>
        <sz val="11"/>
        <color theme="1"/>
        <rFont val="Times New Roman"/>
        <family val="1"/>
      </rPr>
      <t>[P</t>
    </r>
    <r>
      <rPr>
        <b/>
        <sz val="11"/>
        <color rgb="FF000000"/>
        <rFont val="Times New Roman"/>
        <family val="1"/>
      </rPr>
      <t>5]</t>
    </r>
  </si>
  <si>
    <t>Conjunto de documentos sem apresentação de mapa de orçamentos.</t>
  </si>
  <si>
    <t>Verificamos que muitas das compras realizadas não estavam anexados os mapas de orçamento.</t>
  </si>
  <si>
    <t>Agindo dessa forma, não estão em conformidade com as normas do estatuto vigente do condomínio.</t>
  </si>
  <si>
    <t>Seja realizada a conferência na pré-compra, se estão observando as normas do mapa do orçamento</t>
  </si>
  <si>
    <r>
      <rPr>
        <b/>
        <sz val="11"/>
        <color theme="1"/>
        <rFont val="Times New Roman"/>
        <family val="1"/>
      </rPr>
      <t>[P</t>
    </r>
    <r>
      <rPr>
        <b/>
        <sz val="11"/>
        <color rgb="FF000000"/>
        <rFont val="Times New Roman"/>
        <family val="1"/>
      </rPr>
      <t>6]</t>
    </r>
  </si>
  <si>
    <t>Inexistência de tempestividade na prestação de contas do fundo fixo</t>
  </si>
  <si>
    <t>Verificamos que o fundo fixo do Condomínio, por diversas vezes, possui valores retirados onde existe a prestação de contas nos meses não referentes.</t>
  </si>
  <si>
    <t>Não sendo apresentadas tempestivamentes as apresentações das contas do fundo fixo, afetará diretamente o fluxo de caixa e o controle do fundo fixo do condomínio.</t>
  </si>
  <si>
    <t>Seja elaborada uma periodicidade fixa para apresentação das contas do fundo fixo, e que seja realizado as prestações dos períodos correspondentes as despesas.</t>
  </si>
  <si>
    <r>
      <rPr>
        <b/>
        <sz val="11"/>
        <color theme="1"/>
        <rFont val="Times New Roman"/>
        <family val="1"/>
      </rPr>
      <t>[P</t>
    </r>
    <r>
      <rPr>
        <b/>
        <sz val="11"/>
        <color rgb="FF000000"/>
        <rFont val="Times New Roman"/>
        <family val="1"/>
      </rPr>
      <t>7]</t>
    </r>
  </si>
  <si>
    <t>Inconsistência na apresentação da atividade da empresa</t>
  </si>
  <si>
    <t>O serviço/produto adquirido não condiz com a atividade econômica apresentada no CNPJ da empresa.</t>
  </si>
  <si>
    <t>Afeta diretamente nos cálculos de retenções de impostos do condomínio, se a empresa prestadora de serviço siga a legislação que não à apresentada.</t>
  </si>
  <si>
    <t>Criação de um passo a passo na empresa contratada na intenção de verificar a sua atividade perante a forma de tributação.</t>
  </si>
  <si>
    <t>Regimento</t>
  </si>
  <si>
    <r>
      <rPr>
        <b/>
        <sz val="11"/>
        <color theme="1"/>
        <rFont val="Times New Roman"/>
        <family val="1"/>
      </rPr>
      <t>[P</t>
    </r>
    <r>
      <rPr>
        <b/>
        <sz val="11"/>
        <color rgb="FF000000"/>
        <rFont val="Times New Roman"/>
        <family val="1"/>
      </rPr>
      <t>8]</t>
    </r>
  </si>
  <si>
    <t>Negligência na gestão dos Documentos que compõe os Demonstrativos</t>
  </si>
  <si>
    <t>Verificamos que alguns comprovantes não estão sendo arquivados com os cuidados necessários, com isso alguns estão ilegíveis.</t>
  </si>
  <si>
    <t>Dificuldade na visualização dos gastos e impossibilidade e dúvidas quanto a possíveis consultas no futuro em função do estado dos documentos.</t>
  </si>
  <si>
    <t>Sugerimos que sejam criados processos para que os comprovantes sejam de responsabilidade de quem incorre no gasto sendo de responsabilidade do financeiro tirar cópia dos comprovantes ou digitaliza-los assim que os receber.</t>
  </si>
  <si>
    <r>
      <rPr>
        <b/>
        <sz val="11"/>
        <color theme="1"/>
        <rFont val="Times New Roman"/>
        <family val="1"/>
      </rPr>
      <t>[P</t>
    </r>
    <r>
      <rPr>
        <b/>
        <sz val="11"/>
        <color rgb="FF000000"/>
        <rFont val="Times New Roman"/>
        <family val="1"/>
      </rPr>
      <t>9]</t>
    </r>
  </si>
  <si>
    <t>Conjunto de documentos sem composição clara do valor pago</t>
  </si>
  <si>
    <t>Verificamos que existe apresentação de despesa sem os respectivos comprovantes de pagamentos.</t>
  </si>
  <si>
    <t>Pagamento sem os respectivos comprovante de pagamento não é permitido pela Convenção e Regimento Interno do Condomínio.</t>
  </si>
  <si>
    <t xml:space="preserve">Criação de um passo a passo para verificação nos comprovantes de pagamentos das despesas do condomínios. </t>
  </si>
  <si>
    <r>
      <rPr>
        <b/>
        <sz val="11"/>
        <color theme="1"/>
        <rFont val="Times New Roman"/>
        <family val="1"/>
      </rPr>
      <t>[P1</t>
    </r>
    <r>
      <rPr>
        <b/>
        <sz val="11"/>
        <color rgb="FF000000"/>
        <rFont val="Times New Roman"/>
        <family val="1"/>
      </rPr>
      <t>0]</t>
    </r>
  </si>
  <si>
    <t>Páginas não numeradas ou numeradas de forma incorreta</t>
  </si>
  <si>
    <t>Verificamos que algumas páginas do Demonstrativo Financeiro não estão sendo numeradas ou não seguem uma ordem sequencial.</t>
  </si>
  <si>
    <t>Falhas na padronização implica em perda de eficiência na conferência das prestações de contas.</t>
  </si>
  <si>
    <t>Sugerimos que seja criada rotina de revisão da padronização dos Demonstrativos Financeiros mensais, pois isso mitigará possivéis falhas.</t>
  </si>
  <si>
    <r>
      <rPr>
        <b/>
        <sz val="11"/>
        <color theme="1"/>
        <rFont val="Times New Roman"/>
        <family val="1"/>
      </rPr>
      <t>[P1</t>
    </r>
    <r>
      <rPr>
        <b/>
        <sz val="11"/>
        <color rgb="FF000000"/>
        <rFont val="Times New Roman"/>
        <family val="1"/>
      </rPr>
      <t>1]</t>
    </r>
  </si>
  <si>
    <t>Pagamento de tarifa bancária.</t>
  </si>
  <si>
    <t>Verificamos que ocorreram pagamento de fornecedores e prestadores de serviços por meio de transferência bancária.</t>
  </si>
  <si>
    <t>Pagamento de encargos financeiros que deveriam ser de responsabilidade dos Fornecedores/Prestadores de serviços.</t>
  </si>
  <si>
    <t>Sugerimos que seja solicitado boleto para pagamento de todos os Fornecedores/Prestadores de serviços e em caso de negativa o valor dos encargos financeiros deve ser subtraído do pagamento.</t>
  </si>
  <si>
    <t>Financeiro</t>
  </si>
  <si>
    <r>
      <rPr>
        <b/>
        <sz val="11"/>
        <color theme="1"/>
        <rFont val="Times New Roman"/>
        <family val="1"/>
      </rPr>
      <t>[P1</t>
    </r>
    <r>
      <rPr>
        <b/>
        <sz val="11"/>
        <color rgb="FF000000"/>
        <rFont val="Times New Roman"/>
        <family val="1"/>
      </rPr>
      <t>2]</t>
    </r>
  </si>
  <si>
    <t>Conjunto de documentos anexados fora do mês correspondente.</t>
  </si>
  <si>
    <t>Desorganização da documentação suporte dificultam a análise de todas as
partes envolvidas.</t>
  </si>
  <si>
    <t>Não sendo apresentadas tempestivamentes as apresentações das contas, afetará diretamente o fluxo de caixa e o controle do financeiro do condomínio.</t>
  </si>
  <si>
    <t>Seja elaborada uma periodicidade fixa para apresentação das despesas, e que seja realizado as prestações dos períodos correspondentes as despesas.</t>
  </si>
  <si>
    <r>
      <rPr>
        <b/>
        <sz val="11"/>
        <color theme="1"/>
        <rFont val="Times New Roman"/>
        <family val="1"/>
      </rPr>
      <t>[P1</t>
    </r>
    <r>
      <rPr>
        <b/>
        <sz val="11"/>
        <color rgb="FF000000"/>
        <rFont val="Times New Roman"/>
        <family val="1"/>
      </rPr>
      <t>3]</t>
    </r>
  </si>
  <si>
    <t>Conjunto de documentos anexados no balancete sem o mesmo constarem nos demonstrativos financeiros mensais de gastos.</t>
  </si>
  <si>
    <t>Ausência de transparência na prestação de contas e aumento do risco de pagamentos indevidos.</t>
  </si>
  <si>
    <t>A apresentação no balancetes sem os respectivos comprovantes do demonstrativos financeiros não é permitido pela legislação brasileira e pela Convenção e Regimento Interno do Condomínio.</t>
  </si>
  <si>
    <t>Seja elaborada uma periodicidade fixa para apresentação dos respectivos comprovantes nos balancetes e que seja realizado as prestações dos períodos correspondentes as despesas.</t>
  </si>
  <si>
    <r>
      <rPr>
        <b/>
        <sz val="11"/>
        <color theme="1"/>
        <rFont val="Times New Roman"/>
        <family val="1"/>
      </rPr>
      <t>[P</t>
    </r>
    <r>
      <rPr>
        <b/>
        <sz val="11"/>
        <color rgb="FF000000"/>
        <rFont val="Times New Roman"/>
        <family val="1"/>
      </rPr>
      <t>14]</t>
    </r>
  </si>
  <si>
    <t>•	Recorrente.
•	Vorcon Auditoria &amp; Consultoria.
•	Identificado inicialmente no Diagnóstico dos Procedimentos Manual de Contratação e Anticorrupção – Contratos (Diagnóstico), do Condomínio Le Parc Residential Resort do 3º ITR de 2019, datado em 17 de janeiro de 2020.</t>
  </si>
  <si>
    <r>
      <rPr>
        <b/>
        <sz val="11"/>
        <color theme="1"/>
        <rFont val="Times New Roman"/>
        <family val="1"/>
      </rPr>
      <t>[P</t>
    </r>
    <r>
      <rPr>
        <b/>
        <sz val="11"/>
        <color rgb="FF000000"/>
        <rFont val="Times New Roman"/>
        <family val="1"/>
      </rPr>
      <t>15]</t>
    </r>
  </si>
  <si>
    <t>Verificamos que há diferença entre os valores apresentados,não justificada por parcelamento ou multa.</t>
  </si>
  <si>
    <t>Pagamentos realizados com valores incorretos.</t>
  </si>
  <si>
    <t>Sugerimos que os pagamentos sejam realizados com os valores que constam no documento auxiliar.</t>
  </si>
  <si>
    <t>•	Recorrente.
•	Vorcon Auditoria &amp; Consultoria.
•	Identificado inicialmente no Diagnóstico dos Procedimentos: Contratação de Fornecedores e Prestadores de Serviços, do Condomínio Le Parc Residential Resort de 2019.
•	19 de agosto de 2020.</t>
  </si>
  <si>
    <r>
      <rPr>
        <b/>
        <sz val="11"/>
        <color theme="1"/>
        <rFont val="Times New Roman"/>
        <family val="1"/>
      </rPr>
      <t>[P</t>
    </r>
    <r>
      <rPr>
        <b/>
        <sz val="11"/>
        <color rgb="FF000000"/>
        <rFont val="Times New Roman"/>
        <family val="1"/>
      </rPr>
      <t>16]</t>
    </r>
  </si>
  <si>
    <t>Pagamento realizado em duplicidade.</t>
  </si>
  <si>
    <t>Verificamos a existência de saidas no extrato duplicadas e pagamentos de despesas já encerradas.</t>
  </si>
  <si>
    <t>Gastos desnecessários acarretando a um défict orçamentário e prejudicando ao fluxo de caixa do condomínio</t>
  </si>
  <si>
    <t>•	Novo
•	31/12/2020
•	Vorcon Auditoria &amp; Consultoria.</t>
  </si>
  <si>
    <t>[P20]</t>
  </si>
  <si>
    <t>Valor do realizado difere dos balancetes</t>
  </si>
  <si>
    <t>Realizamos a comparação entre os valores de pagamentos que constam da planilha de planejamento orçamentário e os valores no balancetes, e verificamos que  alguns dos valores divergem.</t>
  </si>
  <si>
    <t>Impede a visualização do real valor  gastos pelo condomínio.</t>
  </si>
  <si>
    <t xml:space="preserve">Atentar para os valores gastos sejam lançados corretamente no planejamento orçamentário. </t>
  </si>
  <si>
    <t>[P21]</t>
  </si>
  <si>
    <t>Orçamento ultrapassado</t>
  </si>
  <si>
    <t>O valor orçado foi ultrapassado pelas despesas do período.</t>
  </si>
  <si>
    <t>Possibilidade de gerar uma quantidade de despesas, as quais o condomínio não está apto a pagar</t>
  </si>
  <si>
    <t>Atentar para os valores orçados e gastos permitidos</t>
  </si>
  <si>
    <t>[P22]</t>
  </si>
  <si>
    <t>Estrutura e Formalização das Atas encontram-se incorretas</t>
  </si>
  <si>
    <t>Identificamos que grande parte das atas estão formalizadas apenas por email, sem possuir um documento próprio, além disso, apresentam falhas em sua estutruta como ausência de horário e local.</t>
  </si>
  <si>
    <t>Possível questionamento dos Condôminos e/ou Terceiros.</t>
  </si>
  <si>
    <t>Sugerimos que a Administração adote a formalização das reuniões, e siga uma estrutura mais completa.</t>
  </si>
  <si>
    <t>[P23]</t>
  </si>
  <si>
    <t>Atas com ausência de assinatura</t>
  </si>
  <si>
    <t>Não há evidência de assinatura nas atas</t>
  </si>
  <si>
    <t>Incerteza quanto ao resultado dos procedimentos realizados para estas atas.</t>
  </si>
  <si>
    <t>Sugerimos que todas as atas sejam assinadas conforme requerindo em convenção e regimento interno do condomínio.</t>
  </si>
  <si>
    <t>[P24]</t>
  </si>
  <si>
    <t>Atas sem resumo</t>
  </si>
  <si>
    <t>Foi apresentada pelo condomíno, na resposta de carta de Atas, uma ata ocorrida no dia 21/08/2020 contudo no documento encaminhado referente a essa data mostra apenas a intenção do condomínio em realizar uma reúnião, não ficando claro se de fato ocorreu, resumo do foi tratado, quem estaria presente, bem como dia e local.</t>
  </si>
  <si>
    <t>Incerteza quanto os temas abordados, bem como as possiveis aprovações do conselho.</t>
  </si>
  <si>
    <t>Salentamos a importancia da elaboração de Atas para toda e qualquer reunião que seja realizada  e Sugerimos que um atenção maior ao realizar o arquivamento do documentos, para que venham completos e em bom estado.</t>
  </si>
  <si>
    <t>[P25]</t>
  </si>
  <si>
    <t>Acesso as Atas do condomínio</t>
  </si>
  <si>
    <t>Verificamos que o Condomínio possui um site, contudo não disponibiliza as atas nele.</t>
  </si>
  <si>
    <t>Incerteza quanto ao fácil acesso das informações do Condomínio aos  condôminos.</t>
  </si>
  <si>
    <t>Sugerimos que o Condomínio contate a sua equipe de TI e verifique a possibilidade de inserir as Atas no site do Condomínio.</t>
  </si>
  <si>
    <t>[P26]</t>
  </si>
  <si>
    <t>Relevancia de serviços prestados/fornecidos.</t>
  </si>
  <si>
    <t>Como parte dos procedimentos de auditoria o Time de Auditoria solicitou a Administração do Condomínio Le Parc Residential Resort uma carta de representação contemplando os fornecedores e prestadores de serviços mais relevantes para o Condomínio, contudo nessa carta não constavam os fornecedores e prestadores de serviços com alta incidencia em sua rotina.</t>
  </si>
  <si>
    <t>A Administração deve possuir uma definição clara e coesa dos prestadores de serviços e fornecedores relevantes para o Condomínio, pois a partir dessa informação possíveis falhas podem ser mitigadas a partir da relevância.</t>
  </si>
  <si>
    <t>Recomendamos que sejam tomadas as medidas necessárias para a atualização do manual de contratação de fornecedores e prestadores de serviços. O manual deve conter passos claros e objetivos antecedendo todas as fases do processo.</t>
  </si>
  <si>
    <t>[P27]</t>
  </si>
  <si>
    <t>Indisponibilidade de contratos e aditivos</t>
  </si>
  <si>
    <t>Como parte dos procedimentos de auditoria o Time de Auditoria solicitou a Administração do Condomínio Thome de Souza o aditivo de alguns contratos que foram firmados, contudo até emissão deste Diagnóstico eles não haviam sido disponibilizados.</t>
  </si>
  <si>
    <t>Ausência de informações relevantes para entendimento dos respectivos contratos.</t>
  </si>
  <si>
    <t>Recomendamos que sejam tomadas as medidas necessárias para que haja uma gestão melhor dos documentos de forma que os documentos estejam de fácil acesso e que todos os arquivos necessários façam parte do processo.</t>
  </si>
  <si>
    <t>[P28]</t>
  </si>
  <si>
    <t>Fornecedores citados na resposta de circulação indevidamente</t>
  </si>
  <si>
    <t>Em resposta na carta de circularização foram citados os seguintes fornecedores: Grupo Contínua  - 07.536.483/0001-92, Ecowash  - 11.877.873/0001-01, Elemidia  - 03.616.039/0001-26, Izar Park - 18.021.222/0001-56, Posto Mataripe - 13.578.265/0001-13, LA Construções - 20.726.309/0001-70, Softdados - 17.869.823/0001-50, Grupo Solução - 23.105.423/0001-71 e Coopcicla  - 01.397.759/0001-12, contudo não houveram pagamentos no período em que a auditoria está sendo realizada, informação confirmada posteriormente pela Administração.</t>
  </si>
  <si>
    <t>Dificuldade quanto ao rastreamentos dos contratos e incerteza quanto a informação apresentada.</t>
  </si>
  <si>
    <t>Recomendamos que sejam tomadas as medidas necessárias para que haja um padrão sobre apresentação das informações do contrato e sejam apresentadas conforme solicitado.</t>
  </si>
  <si>
    <t>[P29]</t>
  </si>
  <si>
    <t>Não há controle de recolhimento do FGTS das empresas terceirizadas</t>
  </si>
  <si>
    <t>Não nos foi encaminhado um controle de recolhimento a respeito do recolhimento do FGTS dos funcionários que trabalham de forma terceirizada no condomínio. Esse controle é necessário tendo em vista que o condomínio é subsidiariamente responsável pelos recolhimentos tributários e trabalhistas assim como legisla a Súmula 331, IV, do TST</t>
  </si>
  <si>
    <t>Recolhimento do FGTS sobre os funcinonarios contratados de forma terceirizados.</t>
  </si>
  <si>
    <t>Recomendamos ter um controle de recolhimentos dos funcionários contratados de forma terceirizado.</t>
  </si>
  <si>
    <t>[P30]</t>
  </si>
  <si>
    <t>Inexistência de atualização dos Relatórios Jurídicos</t>
  </si>
  <si>
    <t>Solicitamos a Administração os relatórios jurídicos para o período do trabalho realizado, contudo após a relaização dos testes verificamos que os relatórios disponibilizados apesar de serem de meses diferentes não possuem diferença. Dessa forma há dúvidas se os mesmos estão sendo atualizados ou não.</t>
  </si>
  <si>
    <t>Possível risco de informações desatualizadas que podem gerar saídas de caixa não programadas para o Condomínio.</t>
  </si>
  <si>
    <t>Sugerimso que os relatórios sejam atualizados mensalmente com a expectativa real do valores e ações. Conforme atualização dos processos.</t>
  </si>
  <si>
    <t>[P31]</t>
  </si>
  <si>
    <t>Inexistência de expectativa de Ganho e Perda para os Relatórios Jurídicos.</t>
  </si>
  <si>
    <t>Os relatórios jurídicos apresentados pela Administração não possuem a expectativa de perda ou ganho dos mesmos, conforme prática usual dos assesores jurídicos.</t>
  </si>
  <si>
    <t>A inêxistência da classificação quanto a possiveis perdas faz com que a Adiministração não possa planejar possiveis saídas de caixas futuras, e além disso tal prática não contempla as melhores práticas de mercado.</t>
  </si>
  <si>
    <t>Sugiro que a Administração solicite aos seus Assessores jurídicos que mensalmente os relatórios sejam classificados tanto para perda ou para ganho como:
 Remota: Prognóstico de perda deve ser menos do que 25%
 Possível: Prognóstico de perda desde que o risco não seja remoto
 Provável: Prognóstico de perda deve ser mais do que 50%</t>
  </si>
  <si>
    <t>[P32]</t>
  </si>
  <si>
    <t>Inexistência de politica de acompanhamento das principais certidões.</t>
  </si>
  <si>
    <t>A Administração não possui como rotina o acompanhamento das principais certidões: Municipal; Estaduas; Federal e; Serviço de proteção de Crédito.</t>
  </si>
  <si>
    <t>A inexistência do acompanhamento de forma preventiva das certidões pode vir a gerar desembolsados não esperados assim como possíveis bloqueios que podem vir a afetar a rotina do Condomínio.</t>
  </si>
  <si>
    <t>Sugerimos que a Administração avalie adicionar em sua rotina, pelo menos trimestral, a emissão dessas certidões como forma de mitigar possíveis problemas.</t>
  </si>
  <si>
    <t>Legal</t>
  </si>
  <si>
    <t>[P33]</t>
  </si>
  <si>
    <t>Limitação de escopo</t>
  </si>
  <si>
    <t xml:space="preserve">A administração não possui acompanhamento para a rotina de cobrança feita aos condominos inadimplentes </t>
  </si>
  <si>
    <t>A não entrega de documentos ou evidencias solicitadas impedem que processos possam ser avaliados no decorrer da auditoria</t>
  </si>
  <si>
    <t xml:space="preserve">Se faz necessário que a administração do condominio possua uma rotina ou sistema de cobrança de inadimplentes </t>
  </si>
  <si>
    <t>Item</t>
  </si>
  <si>
    <t>Descrição</t>
  </si>
  <si>
    <t>Impacto</t>
  </si>
  <si>
    <t>Explicação se é um ponto novo ou recorrente e quem identificou o ponto e/ou quando.</t>
  </si>
  <si>
    <t>Código</t>
  </si>
  <si>
    <r>
      <rPr>
        <b/>
        <sz val="12"/>
        <color rgb="FFC00000"/>
        <rFont val="Times New Roman"/>
        <family val="1"/>
      </rPr>
      <t xml:space="preserve">[PX] </t>
    </r>
    <r>
      <rPr>
        <sz val="12"/>
        <color rgb="FF000000"/>
        <rFont val="Times New Roman"/>
        <family val="1"/>
      </rPr>
      <t>Representa a numeração sequencial do Ponto de Controle;</t>
    </r>
    <r>
      <rPr>
        <b/>
        <sz val="12"/>
        <color rgb="FFC00000"/>
        <rFont val="Times New Roman"/>
        <family val="1"/>
      </rPr>
      <t xml:space="preserve"> </t>
    </r>
  </si>
  <si>
    <t>Título</t>
  </si>
  <si>
    <t>Explicação sintética e ideia central do Ponto de Controle;</t>
  </si>
  <si>
    <t>Cada Ponto de Controle é enquadrado em um tipo que implicará em um peso para o cálculo da exposição a risco;</t>
  </si>
  <si>
    <t>Probabilidade</t>
  </si>
  <si>
    <t>Frequência associada ao procedimento levantado no Ponto de Controle;</t>
  </si>
  <si>
    <t>Mensuração do impacto causado em cada ocasião de acontecimento do Ponto de Controle;</t>
  </si>
  <si>
    <t>Exposição</t>
  </si>
  <si>
    <t>Exposição = (PesoTipo*Probabilidade*Impacto);</t>
  </si>
  <si>
    <t>Setor</t>
  </si>
  <si>
    <t>A área da Empresa a qual o Ponto de Controle implica;</t>
  </si>
  <si>
    <t>Detalhamento conceitual do Ponto de Contole;</t>
  </si>
  <si>
    <t>Consequências da não resolução do Ponto de Controle; usada também como base de mensuração para o Impacto;</t>
  </si>
  <si>
    <t>Recomendações gerais da Auditoria/Consultoria para solução do Ponto de Controle.</t>
  </si>
  <si>
    <t>Comentários da Administração</t>
  </si>
  <si>
    <t>Resposta da Administração sobre o ponto identificado e sobre as ações de melhoria sugeridas e; eventualmente; esclarecimento das prioridades recomendadas.</t>
  </si>
  <si>
    <t>Ações a serem Implementadas pela Administração</t>
  </si>
  <si>
    <r>
      <rPr>
        <sz val="11"/>
        <color rgb="FF000000"/>
        <rFont val="Calibri"/>
        <family val="2"/>
      </rPr>
      <t xml:space="preserve">Ações definidas pela Administração do </t>
    </r>
    <r>
      <rPr>
        <b/>
        <sz val="11"/>
        <color rgb="FF000000"/>
        <rFont val="Calibri"/>
        <family val="2"/>
      </rPr>
      <t>Condomínio Le Parc Residential Resort</t>
    </r>
    <r>
      <rPr>
        <sz val="11"/>
        <color rgb="FF000000"/>
        <rFont val="Calibri"/>
        <family val="2"/>
      </rPr>
      <t xml:space="preserve"> para resolução do ponto identificado.</t>
    </r>
  </si>
  <si>
    <t>Data Limite para Resolução do Ponto Identificado</t>
  </si>
  <si>
    <r>
      <rPr>
        <sz val="11"/>
        <color rgb="FF000000"/>
        <rFont val="Calibri"/>
        <family val="2"/>
      </rPr>
      <t xml:space="preserve">Prazo estipulado pela Administração do </t>
    </r>
    <r>
      <rPr>
        <b/>
        <sz val="11"/>
        <color rgb="FF000000"/>
        <rFont val="Calibri"/>
        <family val="2"/>
      </rPr>
      <t>Condomínio Le Parc Residential Resort</t>
    </r>
    <r>
      <rPr>
        <sz val="11"/>
        <color rgb="FF000000"/>
        <rFont val="Calibri"/>
        <family val="2"/>
      </rPr>
      <t xml:space="preserve"> para que o ponto identificado deixe de existir.</t>
    </r>
  </si>
  <si>
    <t>Critérios e Classificações dos Pontos de Controle</t>
  </si>
  <si>
    <t>Tipos de Pontos de Controle</t>
  </si>
  <si>
    <t>Peso</t>
  </si>
  <si>
    <t>Inerentes às ações de longo prazo que visam a perpetuidade e transparência das operações;</t>
  </si>
  <si>
    <t>Quando se tem risco de impacto financerio e/ou contingências financeiras evidentes;</t>
  </si>
  <si>
    <t>Riscos quanto a procedimentos executados no dia a dia para a prestação dos serviços;</t>
  </si>
  <si>
    <t>Relativos a riscos e impactos jurídicos;</t>
  </si>
  <si>
    <t>Tecnologia</t>
  </si>
  <si>
    <t>Relativos a integração de sistema e LGPD;</t>
  </si>
  <si>
    <t>Imagem</t>
  </si>
  <si>
    <t>Referente a riscos de provável perda de credibilidade e desgaste da instituição.</t>
  </si>
  <si>
    <t>%</t>
  </si>
  <si>
    <t>Probabilidade dos Pontos de Controle</t>
  </si>
  <si>
    <t>Frequencia</t>
  </si>
  <si>
    <t>Muito frequente</t>
  </si>
  <si>
    <t>Frequente</t>
  </si>
  <si>
    <t>Eventual</t>
  </si>
  <si>
    <t>Raro</t>
  </si>
  <si>
    <t>Raríssimo</t>
  </si>
  <si>
    <t>WP – Work Papers (Papéis de Trabalho)</t>
  </si>
  <si>
    <t>Impacto dos Pontos de Controle</t>
  </si>
  <si>
    <t>Mensuração</t>
  </si>
  <si>
    <t>Perdas graves</t>
  </si>
  <si>
    <t>- Riscos quanto a perpetuidade da operação;</t>
  </si>
  <si>
    <t>- Riscos críticos operacionais ligados à prestação do serviço;</t>
  </si>
  <si>
    <t>- Risco de morte/invalidez/doenças.</t>
  </si>
  <si>
    <t>Perdas grandes</t>
  </si>
  <si>
    <t>- Necessidade de contingências de 5;00% ou mais do faturamento;</t>
  </si>
  <si>
    <t>- Riscos operacionais ligados à prestação do serviço;</t>
  </si>
  <si>
    <t>- Riscos críticos gerenciais;</t>
  </si>
  <si>
    <t>- Riscos críticos de imagem;</t>
  </si>
  <si>
    <t>- Riscos críticos de clima organizacional.</t>
  </si>
  <si>
    <t>Perdas médias</t>
  </si>
  <si>
    <t>- Necessidade de contingências de 1;00% a 4;99% do faturamento;</t>
  </si>
  <si>
    <t>- Riscos leves operacionais ligados à prestação do serviço;</t>
  </si>
  <si>
    <t>- Riscos gerenciais.</t>
  </si>
  <si>
    <t>- Riscos de clima organizacional</t>
  </si>
  <si>
    <t>- Riscos de imagem.</t>
  </si>
  <si>
    <t>Perdas moderadas</t>
  </si>
  <si>
    <t>- Riscos leves gerenciais;</t>
  </si>
  <si>
    <t>- Riscos leves de imagem;</t>
  </si>
  <si>
    <t>- Riscos leves de clima organizacional</t>
  </si>
  <si>
    <t>Perdas pequenas</t>
  </si>
  <si>
    <t>- Falhas técnicas e/ou humanas em procedimentos que não irão impactar diretamente a qualidade dos dados.</t>
  </si>
  <si>
    <r>
      <rPr>
        <b/>
        <sz val="16"/>
        <color rgb="FF002060"/>
        <rFont val="Times New Roman"/>
        <family val="1"/>
      </rPr>
      <t>3 – Pontos</t>
    </r>
    <r>
      <rPr>
        <sz val="8"/>
        <color rgb="FF002060"/>
        <rFont val="Calibri"/>
        <family val="2"/>
      </rPr>
      <t>  </t>
    </r>
    <r>
      <rPr>
        <b/>
        <sz val="16"/>
        <color rgb="FF002060"/>
        <rFont val="Times New Roman"/>
        <family val="1"/>
      </rPr>
      <t xml:space="preserve"> de Controle</t>
    </r>
  </si>
  <si>
    <t>PRIORIDADE</t>
  </si>
  <si>
    <t>Sumário de Pontos</t>
  </si>
  <si>
    <t>Fórmula</t>
  </si>
  <si>
    <t>Avaliar</t>
  </si>
  <si>
    <t xml:space="preserve">Avaliação </t>
  </si>
  <si>
    <t>Link</t>
  </si>
  <si>
    <t>Ponto de Controle</t>
  </si>
  <si>
    <t>Perdas/
Impacto</t>
  </si>
  <si>
    <t>Classificação por Pontuação</t>
  </si>
  <si>
    <t>Classificação Por Julgamento</t>
  </si>
  <si>
    <t>[P2]</t>
  </si>
  <si>
    <t>[P3]</t>
  </si>
  <si>
    <t>[P4]</t>
  </si>
  <si>
    <t>[P5]</t>
  </si>
  <si>
    <t>[P6]</t>
  </si>
  <si>
    <t>[P7]</t>
  </si>
  <si>
    <t>[P8]</t>
  </si>
  <si>
    <t>[P9]</t>
  </si>
  <si>
    <t>[P10]</t>
  </si>
  <si>
    <t>[P11]</t>
  </si>
  <si>
    <t>[P12]</t>
  </si>
  <si>
    <t>Pontos de Controle</t>
  </si>
  <si>
    <r>
      <rPr>
        <sz val="11"/>
        <color theme="1"/>
        <rFont val="Calibri"/>
        <family val="2"/>
      </rPr>
      <t xml:space="preserve">&lt;&lt;&lt;&lt;&lt;&lt; </t>
    </r>
    <r>
      <rPr>
        <b/>
        <sz val="11"/>
        <color theme="1"/>
        <rFont val="Calibri"/>
        <family val="2"/>
      </rPr>
      <t>Automático</t>
    </r>
    <r>
      <rPr>
        <sz val="11"/>
        <color theme="1"/>
        <rFont val="Calibri"/>
        <family val="2"/>
      </rPr>
      <t xml:space="preserve"> conforme Metodologia e baseado no grau de exposição</t>
    </r>
  </si>
  <si>
    <t>&lt;&lt;&lt;&lt;&lt;&lt; Lista Suspensa (Selecionar)</t>
  </si>
  <si>
    <r>
      <rPr>
        <sz val="11"/>
        <color theme="1"/>
        <rFont val="Calibri"/>
        <family val="2"/>
      </rPr>
      <t xml:space="preserve">&lt;&lt;&lt;&lt;&lt;&lt; </t>
    </r>
    <r>
      <rPr>
        <b/>
        <sz val="11"/>
        <color theme="1"/>
        <rFont val="Calibri"/>
        <family val="2"/>
      </rPr>
      <t>Automático</t>
    </r>
    <r>
      <rPr>
        <sz val="11"/>
        <color theme="1"/>
        <rFont val="Calibri"/>
        <family val="2"/>
      </rPr>
      <t xml:space="preserve"> - Valores de 1 a 5 conforme metodologia</t>
    </r>
  </si>
  <si>
    <t>&lt;&lt;&lt;&lt;&lt;&lt; Valores de 1 a 5 conforme metodologia</t>
  </si>
  <si>
    <t>&lt;&lt;&lt;&lt;&lt;&lt; Calculado</t>
  </si>
  <si>
    <t>Testes/Áreas</t>
  </si>
  <si>
    <r>
      <rPr>
        <sz val="11"/>
        <color theme="1"/>
        <rFont val="Calibri"/>
        <family val="2"/>
      </rPr>
      <t xml:space="preserve">&lt;&lt;&lt;&lt;&lt;&lt; </t>
    </r>
    <r>
      <rPr>
        <b/>
        <sz val="11"/>
        <color theme="1"/>
        <rFont val="Calibri"/>
        <family val="2"/>
      </rPr>
      <t>Automático</t>
    </r>
    <r>
      <rPr>
        <sz val="11"/>
        <color theme="1"/>
        <rFont val="Calibri"/>
        <family val="2"/>
      </rPr>
      <t xml:space="preserve"> - conforme Matriz de Risco</t>
    </r>
  </si>
  <si>
    <r>
      <rPr>
        <sz val="11"/>
        <color theme="1"/>
        <rFont val="Times New Roman"/>
        <family val="1"/>
      </rPr>
      <t xml:space="preserve">Resposta da </t>
    </r>
    <r>
      <rPr>
        <b/>
        <sz val="11"/>
        <color theme="1"/>
        <rFont val="Times New Roman"/>
        <family val="1"/>
      </rPr>
      <t>Administração</t>
    </r>
    <r>
      <rPr>
        <sz val="11"/>
        <color theme="1"/>
        <rFont val="Times New Roman"/>
        <family val="1"/>
      </rPr>
      <t xml:space="preserve"> sobre o ponto identificado e sobre as ações de melhoria sugeridas e, eventualmente, esclarecimento das prioridades recomendadas.
</t>
    </r>
  </si>
  <si>
    <r>
      <rPr>
        <sz val="11"/>
        <color rgb="FF000000"/>
        <rFont val="Times New Roman"/>
        <family val="1"/>
      </rPr>
      <t xml:space="preserve">Ações definidas pela </t>
    </r>
    <r>
      <rPr>
        <b/>
        <sz val="11"/>
        <color rgb="FF000000"/>
        <rFont val="Times New Roman"/>
        <family val="1"/>
      </rPr>
      <t>Administração</t>
    </r>
    <r>
      <rPr>
        <sz val="11"/>
        <color rgb="FF000000"/>
        <rFont val="Calibri"/>
        <family val="2"/>
      </rPr>
      <t xml:space="preserve"> para resolução do ponto identificado.</t>
    </r>
  </si>
  <si>
    <r>
      <rPr>
        <sz val="11"/>
        <color theme="1"/>
        <rFont val="Times New Roman"/>
        <family val="1"/>
      </rPr>
      <t xml:space="preserve">Prazo estipulado pela </t>
    </r>
    <r>
      <rPr>
        <b/>
        <sz val="11"/>
        <color theme="1"/>
        <rFont val="Times New Roman"/>
        <family val="1"/>
      </rPr>
      <t>Administração</t>
    </r>
    <r>
      <rPr>
        <sz val="11"/>
        <color rgb="FF000000"/>
        <rFont val="Calibri"/>
        <family val="2"/>
      </rPr>
      <t xml:space="preserve"> para que o ponto identificado deixe de existir.</t>
    </r>
  </si>
  <si>
    <t>Área</t>
  </si>
  <si>
    <t>Assertivas Testadas</t>
  </si>
  <si>
    <t>Objetivos de Auditoria</t>
  </si>
  <si>
    <t>Exemplos de Testes Substantivos de Auditoria para Alcançar os Ojbetivos de Auditoria</t>
  </si>
  <si>
    <t>Caixa e Bancos</t>
  </si>
  <si>
    <t>Existência
D&amp;O
Integridade</t>
  </si>
  <si>
    <t>1. Os saldos de Caixa representam todos e somente itens de caixa, em mãos, em trânsito ou em instituições financeiras e estão corretamente registrados</t>
  </si>
  <si>
    <t>*Confirmação de saldos bancários
*Testes de reconciliação
*Revisão de Transferências interbancos e intrabancos
*Procedimentos Analíticos</t>
  </si>
  <si>
    <t>Apresentação e Divulgação</t>
  </si>
  <si>
    <t>2. Os saldos em Caixa estão corretamente descritos e classificados, e as devidas divulgações quanto a fundos restritos ou comprometidos e os saldos não sujeitos a saque imediato estão feitas (exemplo: depósitos a prazo e depósitos em países estrangeiros sujeitos a controle cambial etc.)</t>
  </si>
  <si>
    <t>*Revisão das Demonstrações Financeiras e comparação das divulgações feitas com os requisitos dos princípios de contabilidade
*Pesquisa de restrições sobre disponibilidade
*Confirmação de restrições sobre valores de Caixa e Bancos</t>
  </si>
  <si>
    <t>Contas a Receber</t>
  </si>
  <si>
    <t xml:space="preserve">Existência
D&amp;O
</t>
  </si>
  <si>
    <t>1. O Contas a Receber representam direitos válidos da companhia e foram corretamente registradas</t>
  </si>
  <si>
    <t>Integridade</t>
  </si>
  <si>
    <t>2. As Contas a Receber incluem todos os valores devidos à Companhia na data do balanço</t>
  </si>
  <si>
    <t>*Procedimentos analíticos
*Circularização de contas a receber ou procedimentos alternativos</t>
  </si>
  <si>
    <t>Valorização</t>
  </si>
  <si>
    <t>3. As provições para PCLD, devoluções, abatimentos e descontos são adequadas, mas não excessivas</t>
  </si>
  <si>
    <t>*Testes de corte de vendas e outras receitas e recebimentos de caixa (recebimento subsequente).
*Procedimentos analíticos
*Avaliação de provisões de valorização</t>
  </si>
  <si>
    <t>4. As Contas a Receber estão corretamente descritas e classificadas, e as devidas divulgações relativas a esses valores (incluindo divulgação de valores que tenham sido caucionados, descontados, cedidos, ou vendidos com direito de regresso, ou então, em poder de partes relacionadas), foram feitas.</t>
  </si>
  <si>
    <t>*Revisão das Demonstrações Financeiras e comparação das divulgações feitas com os requisitos dos princípios de contabilidade
*Confirmação dos principais termos de venda e outros acordos.</t>
  </si>
  <si>
    <t>Estoques</t>
  </si>
  <si>
    <t>1. Os saldos de Estoque representam todos e somente itens que existem fisicamente e são mantidos para venda dentro do ciclo normal de operações e estão corretamente registrados</t>
  </si>
  <si>
    <t>*Observação de contagens físicas dos estoques.
*Confirmação de estoque em poder de terceiros.
*Procedimentos analíticos.</t>
  </si>
  <si>
    <t>2. A listagem do inventário incluem todos os itens de estoque que são de propriedade da entidade,estão corretamente compilados, e os totais estão corretamente incluídos nas contas de estoque.</t>
  </si>
  <si>
    <t>*Confronto de contagem física de estoque com as listagens de inventário.
*Testes de somas e cálculos das listagens de inventário.
*Anotações de corte de inventário,feitas durante as contagens físicas de estoque, são confrontadas com os registros contábeis para determinar o devido corte.
*Controle de todas as etiquetas de inventário e as folhas de contagem usadas no inventário físico.</t>
  </si>
  <si>
    <t>3. O inventário final foi determinado, no que se refere a quantidades, preços, cálculos, materiais em excesso etc., em uma base consistente.</t>
  </si>
  <si>
    <t>* Revisão dos métodos usados para determinar o inventário final, no que se refere à consistência de aplicação</t>
  </si>
  <si>
    <t>4. O estoque está demonstrado ao valor de custo ou mercado, dos dois o menor, e itens excessivos, obsoletos e de movimentação morosa foram reduzidos aos valores líquidos realizáveis, em bases consistentes.</t>
  </si>
  <si>
    <t>*Testes de custos registrados e comparação com os valores de mercado.
*Procedimentos analíticos</t>
  </si>
  <si>
    <t>5. O estoque está corretamente descrito e classificado, e as devidas divulgações(incluindo divulgação de valores que tenham sido caucionados e compromissos de compra) relativas a esses valores foram feitas.</t>
  </si>
  <si>
    <t>*Revisão das Demonstrações Financeiras e comparação das divulgações feitas com os requisitos dos princípios de contabilidade
*Confirmação de estoques caucionados e compromissos de compra (cláusulas contratuais)
*Pesquisa de estoques caucionados e compromissos de compra
*Revisão de contratos de empréstimo</t>
  </si>
  <si>
    <t xml:space="preserve">Imobilizado
</t>
  </si>
  <si>
    <t>1. O Ativo Imobilizado representa todos os ativos tangíveispouuídos, usados nas operações da entidade e/ ou em construção, e está corretamente registrado ao custo (mais correção monetária) em uma base consistente.</t>
  </si>
  <si>
    <t>*Revisar as normas e procedimentos da entidade relativos ao ativo imobilizado, e as correspondentes transações.
*Procedimentos analíticos
*Testes de Existência e Propriedade.
*Teste Global de correção monetária.</t>
  </si>
  <si>
    <t>2. Adições do ativo imobilizado durante o período auditado são itens apropriadamente capitalizáveis e representam itens fisicamente instalados ou em construção.</t>
  </si>
  <si>
    <t>*Análise de Contas
*Procedimentos Analíticos
*Testes de existência e propriedade</t>
  </si>
  <si>
    <t>3. Os custos e respectivas depreciação, amortização e exaustão, aplicáveis a todos os itens retirados, abandonados, fora de uso e vendidos, foram corretamente removidos das contas.</t>
  </si>
  <si>
    <t xml:space="preserve">*Análise de Contas
*Procedimentos Analíticos
</t>
  </si>
  <si>
    <t>4. As contas de depreciação, amortização e exaustão acumuladas são razoáveis, considerando-se a expectativa de seus valores líquidos de realização ao final do período de vida útil.</t>
  </si>
  <si>
    <t>*Análise de contas de depreciação acumuladas e exaustão
*Procedimentos analíticos</t>
  </si>
  <si>
    <t>5. A expectativa de recuperação do investimento líquido registrado no ativo imobilizado é razoável.</t>
  </si>
  <si>
    <t>*pesquisa quanto a mudanças em condições econômicas ou outros fatores que possam ter impacto na realização, ou recuperação do investimento líquido registrado no ativo imobilizado.</t>
  </si>
  <si>
    <t>6. O Ativo Imobilizado e respectivas contas de depreciação, amortização e exaustão acumuladas estão corretamente descritos e classificados e as devidas divulgações (incluindo divulgações quanto a hipotecas e outros ônus) relativas a esses valores foram feitas.</t>
  </si>
  <si>
    <t>*Revisão das Demonstrações Financeiras e comparação das divulgações feitas com os requisitos dos princípios de contabilidade
*Confirmação dos termos de contratos de hipotecas e outros ônus.
*Pesquisas relacionadas a  hipotecas e outros ônus.</t>
  </si>
  <si>
    <t>Depreciação, Exaustão e Amortização</t>
  </si>
  <si>
    <t>Existência
Integridade
Alocação</t>
  </si>
  <si>
    <t>1. A despesa de depreciação, amortização e exaustão do ativo imobilizado foram corretamente registradas em uma base consistente.</t>
  </si>
  <si>
    <t>*Recálculo ou testes preditivos da despesa de depreciação, amortização e exaustão.</t>
  </si>
  <si>
    <t>Integridade
Alocação</t>
  </si>
  <si>
    <t>2. Ganhos ou perdas relacionados com a baixa de ativo imobilizado forem corretamente registrados.</t>
  </si>
  <si>
    <t>*Análises de contas.
* Procedimentos Analíticos</t>
  </si>
  <si>
    <t>3. A despesa de depreciação, amortização e exaustão e os ganhos ou perdas originados de baixas do ativo fixo estão corretamente descritos e classificados, e as devidas divulgações, relativas a esses valores foram feitas.</t>
  </si>
  <si>
    <t xml:space="preserve">*Revisão das Demonstrações Financeiras e comparação das divulgações feitas com os requisitos dos princípios de contabilidade
</t>
  </si>
  <si>
    <t xml:space="preserve">Investimentos e Outros Ativos
</t>
  </si>
  <si>
    <t>Existência
D&amp;O
Valorização
Integridade</t>
  </si>
  <si>
    <t>1. Os investimentos e outros ativos representam débitos apropriados ou valores cuja realização possa ser razoavelmente esperada através de operações ou de outro modo, e estão corretamente registrados.</t>
  </si>
  <si>
    <t>*Análise de contas
*Contagem física de investimentos
*Confirmação da propriedade de investimentos em poder de terceiros
*Revisão de contratos relacionados
*Procedimentos Analíticos
*Avaliação de ajustes ao valor de mercado ou para registro da equivalência patrimonial</t>
  </si>
  <si>
    <t>2. a amortização acumulada reflete o total da amortização debitada a Resultados do Exercício, aplicada em uma base consistente.</t>
  </si>
  <si>
    <t>*Revisão da razoabilidade das contas de amortização
*Análise de contas</t>
  </si>
  <si>
    <t>Alocação</t>
  </si>
  <si>
    <t>3. Amortização de outros ativos foi corretamente registrada.</t>
  </si>
  <si>
    <t xml:space="preserve">*Recálculo das amortizações
</t>
  </si>
  <si>
    <t>Ocorrência
Integridade</t>
  </si>
  <si>
    <t>4. Receitas, Despesas e Ganhos e Perdas associados com investimentos foram contabilizados corretamente em uma base consistente.</t>
  </si>
  <si>
    <t>*Análise de contas
*Revisão de informações financeiras das empresas investidas</t>
  </si>
  <si>
    <t>Valorização
Alocação</t>
  </si>
  <si>
    <t>5. Qualquer diminuição não temporária no valor dos investimentos e outros ativos foi reconhecida como um débito a Resultados do Exercício.</t>
  </si>
  <si>
    <t>*pesquisa quanto a mudanças em condições econômicas ou outros fatores que são atribuíveis à diminuição de valor.</t>
  </si>
  <si>
    <t>6. Os investimentos e outros ativos estão corretamente descritos e classificados, e as devidas divulgações (incluindo valores caucionados) relativas a esses valores foram feitas.</t>
  </si>
  <si>
    <t>Contas a Pagar</t>
  </si>
  <si>
    <t>1. As contas a pagar representam passivos relacionados à aquisição de materiais e serviços, são obrigações válidas da entidade e foram corretamente registradas.</t>
  </si>
  <si>
    <t>*Circularização de fornecedores
*Análise de contas</t>
  </si>
  <si>
    <t>2. As contas a pagar incluem todas as importências a pagar correntemente pela entidade pela aquisição de materiais e serviços, na data do balanço.</t>
  </si>
  <si>
    <r>
      <rPr>
        <sz val="11"/>
        <color theme="1"/>
        <rFont val="Calibri"/>
        <family val="2"/>
      </rPr>
      <t>*Circularização de fornecedores
*Análise de contas
*Testes de corte (</t>
    </r>
    <r>
      <rPr>
        <i/>
        <sz val="11"/>
        <color theme="1"/>
        <rFont val="Calibri"/>
        <family val="2"/>
      </rPr>
      <t>Cut-Off) de compras
*</t>
    </r>
    <r>
      <rPr>
        <sz val="11"/>
        <color theme="1"/>
        <rFont val="Calibri"/>
        <family val="2"/>
      </rPr>
      <t>Testes de desembolsos subsequente</t>
    </r>
  </si>
  <si>
    <t>3. As contas a pagar estão corretamente descritas e classificadas, e as devidas divulgações relativas a esses valores foram feitas.</t>
  </si>
  <si>
    <t>Passivos Acumulados</t>
  </si>
  <si>
    <t>1. Os passivos acumulados representam obrigações por recursos e serviços adquiridos até a data do balanço, e foram corretamente registrados.</t>
  </si>
  <si>
    <t>*Procedimentos analíticos
*Análise se contas</t>
  </si>
  <si>
    <t>Integridade
Valorização</t>
  </si>
  <si>
    <t>2. Os passivos acumulados incluem todas as importâncias devidas pela entidade, por recursos e serviços adquiridos na data do balanço.</t>
  </si>
  <si>
    <t>*Procedimentos analíticos
*Análise se contas
*Recálculos e testes de exatidão aritmética
*Testes de desembolsos subsequentes.</t>
  </si>
  <si>
    <t>3. Os passivos acumulados estão corretamente descritas e classificadas, e as devidas divulgações relativas a esses valores foram feitas.</t>
  </si>
  <si>
    <t>Empréstimos e Outras Dívidas</t>
  </si>
  <si>
    <t>1. Os empréstimos e outras dívidas representam passivos válidos da entidade e foram corretamente registrados.</t>
  </si>
  <si>
    <t>*Confirmação de importências devidas
* Análise de Contas</t>
  </si>
  <si>
    <t>2. Todas as importências devidas por empréstimos e outras dívidas estão incluídas nas contas , na data do balanço.</t>
  </si>
  <si>
    <t>Existência e Integridade</t>
  </si>
  <si>
    <r>
      <rPr>
        <sz val="11"/>
        <color theme="1"/>
        <rFont val="Calibri"/>
        <family val="2"/>
      </rPr>
      <t>3. Todas as cláusulas contratuais e obrigações "extrabalanço" foram identificadas e consideradas (por exemplo: índice de lucro operacional, índice de capital de giro, índice de dívida versus patrimônio, exigibilidade imediata(</t>
    </r>
    <r>
      <rPr>
        <i/>
        <sz val="11"/>
        <color theme="1"/>
        <rFont val="Calibri"/>
        <family val="2"/>
      </rPr>
      <t>covenants</t>
    </r>
    <r>
      <rPr>
        <sz val="11"/>
        <color theme="1"/>
        <rFont val="Calibri"/>
        <family val="2"/>
      </rPr>
      <t>), nível de cobertura de seguro.</t>
    </r>
  </si>
  <si>
    <t>*Revisão de cláusulas contratuais ou acordos
*Confirmação de cláusulas contratuais ou acordos.</t>
  </si>
  <si>
    <t>4. Émpréstimos e outras dívidas estão corretamente descritos e classificados, e as devidas divulgações relacionadas a garantias de obrigações contratuais e condições de pagamento) relativas a esses valores e divulgações relativas a obrigações "extrabalanço" foram feitas.</t>
  </si>
  <si>
    <t>*Revisão das Demonstrações Financeiras e comparação das divulgações feitas com os requisitos dos princípios de contabilidade
*Confirmação de cláusulas contratuais ou outros acordos.
*Revisão para determinar o cumprimento das obrigações contratuais.</t>
  </si>
  <si>
    <t>Imposto de Renda</t>
  </si>
  <si>
    <t xml:space="preserve">Existência
D&amp;O
Valorização
</t>
  </si>
  <si>
    <t>1. As obrigações(Ativos) registradas, relativas a IR representam impostos a pagar (pagos antecipadamente ou a recuperar), e foram corretamente registradas.</t>
  </si>
  <si>
    <t>*Procedimentos Analíticos
*Teste de comparação do passivo(ou ativo) registrado com uma estimativa da provável obrigação(ou crédito)
*Análises das contas</t>
  </si>
  <si>
    <t>2. IR inclui todos os impostos a pagar(pagos antecipadamente ou a recuperar), na data do balanço.</t>
  </si>
  <si>
    <t>*Teste de comparação do passivo(ou ativo) registrado com uma estimativa da provável obrigação(ou crédito)
*Recálculo e teste para determinar exatidão aritmética.</t>
  </si>
  <si>
    <t>Ocorrência
Valorização</t>
  </si>
  <si>
    <t>3. A provisão (crédito) para IR relativas a impostos pagos corretamente ou a pagar (ou a recuperar) é adequada, mas não excessiva.</t>
  </si>
  <si>
    <t>*Teste preditivo da taxa efetiva de imposto
*Teste preditivo dos passivos corrente e diferido
*Procedimentos analíticos
*Análises de contas</t>
  </si>
  <si>
    <t>4. A alocação de imposto entre períodos, se necessária, foi corretamente registrada na data do balanço.</t>
  </si>
  <si>
    <t>*Teste preditivo do IR diferido Acumulado</t>
  </si>
  <si>
    <t>5. As importâncias relativas a IR estão corretamente descritas e classificadas nas demonstrações financeiras, e as devidas divulgações relativas a esses valores foram feitas.</t>
  </si>
  <si>
    <t>*Revisão das Demonstrações Financeiras e comparação das divulgações feitas com os requisitos dos princípios de contabilidade
*Procedimentos Analíticos</t>
  </si>
  <si>
    <t>PL - CAPITAL e Outros Itens Patrimoniais</t>
  </si>
  <si>
    <t xml:space="preserve">Existência
D&amp;O
Integridade
</t>
  </si>
  <si>
    <t>1. O Capital e outros itens Patrimoniais representam valores pagos na subscrição de ações ordinárias e/ou preferenciais, valores pagos preferenciais, valores pagos como prêmio (ágio) na subscrição de ações, lucros não distribuídos, inclusive reservas e valores pagos pela sociedade pela compra de suas próprias ações.</t>
  </si>
  <si>
    <t>*Confirmação do Capital Social com Atas da Assembéia Geral dos Acionistas, registro de acionistas e agente fiduciário, se for o caso.
*Confirmação do prêmio (ágio) de subscrição com Atas da Assembléia Geral dos Acionistas
*Análises de Contas</t>
  </si>
  <si>
    <t>Existência
D&amp;O</t>
  </si>
  <si>
    <t>2. A importância das contas de capital e outros itens patrimoniais estão de acordo com requisitos dos estatutos da sociedade, resoluções dos acionistas e disposições legais aplicáveis, e estão corretamente registrados.</t>
  </si>
  <si>
    <t>*Confirmação das Ações Emitidas com os registros de controle da sociedade ou com o agente fiduciário, se for o caso.
*Análises de contas
*Revisão quanto ao atendimento às disposições legais</t>
  </si>
  <si>
    <t>3. Todas as transações nas contas de Capital e Outros Itens Patrimoniais durante o período auditado estão devidamente autorizadas e corretamente registradas.</t>
  </si>
  <si>
    <t>*Conrimação das Ações emitidas com o agente fiduciário, se for o caso
*Exame dos registros de acionistas
*Leitura de Atas de Assembléia geral dos Acionistas
*Confirmação dos Dividendos pagos com a instituição bancária autorizada ou com os registros da sociedade
*Procedimentos analíticos
*Análises de contas</t>
  </si>
  <si>
    <t>4. O Capital e Outros Itens Patrimoniais estão corretamente descritos e classificadas nas demonstrações financeiras, e as devidas divulgações relativas a esses valores foram feitas.</t>
  </si>
  <si>
    <t>Fornecedores</t>
  </si>
  <si>
    <t>1.Verificar se todas as aquisições foram contabilizadas</t>
  </si>
  <si>
    <t>*Obter relações de fornecedores, notas fiscais e duplicatas, em seu grupo</t>
  </si>
  <si>
    <t>2.Verificar se as obrigações foram reconhecidas mediante a passagem de propriedade do bem, ou seja, em seu recebimento.</t>
  </si>
  <si>
    <t>*Obter conformiação de saldo dos fornecedores por meio de circularizações</t>
  </si>
  <si>
    <t>3.Verificar se todas as dívidas com fornecedores foram registradas em sua integridade.</t>
  </si>
  <si>
    <t>*Verificar se o valor da Notas Fiscal confere com o valor do Pedido</t>
  </si>
  <si>
    <t>4. Verificar as contas do razão e comparar com a data do reconhecimento da obrigação.</t>
  </si>
  <si>
    <t>-</t>
  </si>
  <si>
    <t>1. Verificar se a despesa com o IR foi contabilizada no exercício social em que a empresa gerou lucro.</t>
  </si>
  <si>
    <t>*Preparar um Papel de Trabalho com o Saldo do Imposto de Renda no início do período e no fim do período e comparar o saldo com os papéis de trabalho do ano anterior.</t>
  </si>
  <si>
    <t>2. Verificar se o percentual de destinação do IR para fins fiscais está de acordo com a legislação vigente.</t>
  </si>
  <si>
    <t>*Conferir os saldos do razão geral com as demonstrações financeiras</t>
  </si>
  <si>
    <t>Outros impostos</t>
  </si>
  <si>
    <t>1. Verificar se outros impostos: ICMS, IPI, impostos que não são acumulativos, assim foram calculados, ou seja, se a empresa tenha apegas pago sobre razão; a diferença entre o preço de custo de aquisição da matéria-prima e o preço de venda.</t>
  </si>
  <si>
    <t>*Analisar a composição dos saldos das contas
*Conferir a análise com o saldo do razão
*Confrontar os valores a pagar com os livros fiscais</t>
  </si>
  <si>
    <t>Salários a Pagar</t>
  </si>
  <si>
    <t>1. Verificar se no grupo salários a pagar estão registrados apenas os rendimentos líquidos a pagar aos empregados.</t>
  </si>
  <si>
    <t>*Analisar os saldos das Contas
*Conferir a análise dos saldos das contas com o razão geral da contabilidade</t>
  </si>
  <si>
    <t>Descontos e Encargos</t>
  </si>
  <si>
    <t>1. Verificar se no grupo Descontos estão registradas as quantias que são deduzidas dos rendimentos brutos dos funcionários.
2. Verificar se no grupo Encargos Sociais foram contabilizadas todas as obrigações trabalhistas que incidam sobre os rendimentos dos funcionários como INSS, FGTS e Imposto de Renda.
3. Verificar se os descontos e encargos foram registrados no mês em que o funcionário trabalhou.</t>
  </si>
  <si>
    <t>*Confrontar os valores das folhas de registro dos empregados</t>
  </si>
  <si>
    <t>Outras Obrigações</t>
  </si>
  <si>
    <t>1.Verificar se as outras contas registradas no passivo circulante realmente devem estar ali registradas e não em outro grupo, e não como Passivo Não Circulante.</t>
  </si>
  <si>
    <t>*Verificar a exatidão dos saldos do razão e confrontar com a análise que deve ser feita nessas contas</t>
  </si>
  <si>
    <t>Provisões</t>
  </si>
  <si>
    <t>1. Verificar se as provisões foram feitas de acordo com a legislação vigente.</t>
  </si>
  <si>
    <t>*Conferir o cálculo para construir cada provisão</t>
  </si>
  <si>
    <t>1. Verificar se as provisões foram debitadas quando da liquidação da dívida e, por conseguinte, se se deve fechá-las.</t>
  </si>
  <si>
    <t>*Conferir a natureza destas
*Cruzar os saldos do razão com a apuração do resultado do exercício
*Inspecionara documentação com os pagamentos efetuados</t>
  </si>
  <si>
    <t>Ativo Intangível</t>
  </si>
  <si>
    <t>Fase/Natureza do Gasto</t>
  </si>
  <si>
    <t>Tratamento Contábil</t>
  </si>
  <si>
    <t>Planejamento</t>
  </si>
  <si>
    <r>
      <rPr>
        <sz val="11"/>
        <color theme="1"/>
        <rFont val="Calibri"/>
        <family val="2"/>
      </rPr>
      <t xml:space="preserve">*Realização dos estudos de viabilidade
*Definição de especificações de </t>
    </r>
    <r>
      <rPr>
        <i/>
        <sz val="11"/>
        <color theme="1"/>
        <rFont val="Calibri"/>
        <family val="2"/>
      </rPr>
      <t xml:space="preserve">hardware </t>
    </r>
    <r>
      <rPr>
        <sz val="11"/>
        <color theme="1"/>
        <rFont val="Calibri"/>
        <family val="2"/>
      </rPr>
      <t xml:space="preserve">e de </t>
    </r>
    <r>
      <rPr>
        <i/>
        <sz val="11"/>
        <color theme="1"/>
        <rFont val="Calibri"/>
        <family val="2"/>
      </rPr>
      <t>software</t>
    </r>
    <r>
      <rPr>
        <sz val="11"/>
        <color theme="1"/>
        <rFont val="Calibri"/>
        <family val="2"/>
      </rPr>
      <t xml:space="preserve">
* Avaliação de produtos e fornecedores alternativos
*Seleção de preferências</t>
    </r>
  </si>
  <si>
    <t xml:space="preserve">*Reconhecer como despesa quando incorrido de acordo com o item 54 da NBV TG 04.
</t>
  </si>
  <si>
    <t>Desenvolvimento de aplicações e da infraestrutura</t>
  </si>
  <si>
    <r>
      <rPr>
        <sz val="11"/>
        <color theme="1"/>
        <rFont val="Calibri"/>
        <family val="2"/>
      </rPr>
      <t xml:space="preserve">*Compra ou desenvolvimento de </t>
    </r>
    <r>
      <rPr>
        <i/>
        <sz val="11"/>
        <color theme="1"/>
        <rFont val="Calibri"/>
        <family val="2"/>
      </rPr>
      <t>hardware</t>
    </r>
  </si>
  <si>
    <t xml:space="preserve">*Aplicar o requerimento da NBC TG 27 - Ativo Imobilizado
</t>
  </si>
  <si>
    <t>*Obtenção de um nome de domínio</t>
  </si>
  <si>
    <r>
      <rPr>
        <sz val="11"/>
        <color theme="1"/>
        <rFont val="Calibri"/>
        <family val="2"/>
      </rPr>
      <t xml:space="preserve">*Reconhecer como despesa quando incorrido, a menos que o dispêndio possa ser diretamente atribuído à preparação de </t>
    </r>
    <r>
      <rPr>
        <i/>
        <sz val="11"/>
        <color theme="1"/>
        <rFont val="Calibri"/>
        <family val="2"/>
      </rPr>
      <t xml:space="preserve">website
</t>
    </r>
    <r>
      <rPr>
        <sz val="11"/>
        <color theme="1"/>
        <rFont val="Calibri"/>
        <family val="2"/>
      </rPr>
      <t xml:space="preserve">par funcionar da forma pretendida pela administração, e que o </t>
    </r>
    <r>
      <rPr>
        <i/>
        <sz val="11"/>
        <color theme="1"/>
        <rFont val="Calibri"/>
        <family val="2"/>
      </rPr>
      <t xml:space="preserve">website </t>
    </r>
    <r>
      <rPr>
        <sz val="11"/>
        <color theme="1"/>
        <rFont val="Calibri"/>
        <family val="2"/>
      </rPr>
      <t>satisfaça os critérios de reconhecimento dos itens 21 e 57 da NBC TG 04*.</t>
    </r>
  </si>
  <si>
    <t>TESTES</t>
  </si>
  <si>
    <t>Legenda</t>
  </si>
  <si>
    <t>a</t>
  </si>
  <si>
    <t>Feito</t>
  </si>
  <si>
    <t>02.1.2 STC - Voucher documental</t>
  </si>
  <si>
    <t>r</t>
  </si>
  <si>
    <t>Pendente</t>
  </si>
  <si>
    <t>s</t>
  </si>
  <si>
    <t>02.1.3 STC - Voucher documental + voucher nos extratos</t>
  </si>
  <si>
    <t>Dúvida</t>
  </si>
  <si>
    <t>Ponto de escopo</t>
  </si>
  <si>
    <t>02.1.6 STC - Carta de Representação de Atas</t>
  </si>
  <si>
    <t>02.1.7 STC - Resumo Atas</t>
  </si>
  <si>
    <t>02.1.8 STC - Analise do resumo de atas e verificação das despesas aprovadas</t>
  </si>
  <si>
    <t>02.2.9 STC - Validação da carta de representação de contratos</t>
  </si>
  <si>
    <t>02.3.3 STC - Recalculo individual de Colaboradores (Validar quantidade com o gestor do projeto)</t>
  </si>
  <si>
    <t>02.3.4 STC - Certidões</t>
  </si>
  <si>
    <t>02.3.6 STC - Validação da Carta de Representação de Assessores Jurídicos</t>
  </si>
  <si>
    <t>02.2.10 STC - Walkthrough de Contratos</t>
  </si>
  <si>
    <t>02.2.5 STC - Walkthrough de Receita</t>
  </si>
  <si>
    <t>•	31/12/2020
•	Novo
■	Vorcon Auditoria &amp; Consultoria
■	22 de abril de 2021</t>
  </si>
  <si>
    <r>
      <t>O auditor deve expressar uma “Opinião adversa” quando, tendo obtido evidência de auditoria apropriada e suficiente, conclui que as distorções, individualmente ou em conjunto, são </t>
    </r>
    <r>
      <rPr>
        <b/>
        <sz val="8"/>
        <color rgb="FF333333"/>
        <rFont val="Georgia"/>
        <family val="1"/>
      </rPr>
      <t>RELEVANTES E GENERALIZADAS</t>
    </r>
    <r>
      <rPr>
        <sz val="8"/>
        <color rgb="FF333333"/>
        <rFont val="Georgia"/>
        <family val="1"/>
      </rPr>
      <t> para as demonstrações contábeis.</t>
    </r>
  </si>
  <si>
    <r>
      <t xml:space="preserve">O auditor deve se abster de expressar uma opinião quando </t>
    </r>
    <r>
      <rPr>
        <b/>
        <sz val="8"/>
        <color rgb="FF333333"/>
        <rFont val="Georgia"/>
        <family val="1"/>
      </rPr>
      <t xml:space="preserve">não consegue obter evidência de auditoria apropriada e suficiente para fundamentar sua opinião e ele concluir que os possíveis efeitos de distorções não detectadas </t>
    </r>
    <r>
      <rPr>
        <sz val="8"/>
        <color rgb="FF333333"/>
        <rFont val="Georgia"/>
        <family val="1"/>
      </rPr>
      <t>sobre as demonstrações contábeis, se houver, poderiam ser relevantes e generalizados.</t>
    </r>
  </si>
  <si>
    <t>Análise do Contrato   - Auditoria conforme a NBC TA 800</t>
  </si>
  <si>
    <t>Responsável</t>
  </si>
  <si>
    <t>Código Vorcon</t>
  </si>
  <si>
    <t xml:space="preserve">Cliente </t>
  </si>
  <si>
    <t>Testes e Procedimentos de Auditoria realizados</t>
  </si>
  <si>
    <t>Código do Teste</t>
  </si>
  <si>
    <t>Pedido de análise</t>
  </si>
  <si>
    <t xml:space="preserve">Planejamento </t>
  </si>
  <si>
    <t>Confirmação de Independência</t>
  </si>
  <si>
    <t>Cálculo da Materialidade</t>
  </si>
  <si>
    <t>Preparação</t>
  </si>
  <si>
    <t xml:space="preserve"> Voucher documental</t>
  </si>
  <si>
    <t xml:space="preserve"> Teste de voucher (inspeção das guias e confronto dos saldos demonstrativos)</t>
  </si>
  <si>
    <t xml:space="preserve"> Carta de Representação de Atas</t>
  </si>
  <si>
    <t xml:space="preserve"> Resumo Atas</t>
  </si>
  <si>
    <t>Execução</t>
  </si>
  <si>
    <t xml:space="preserve"> Seguros</t>
  </si>
  <si>
    <t xml:space="preserve"> Orçado X Realizado</t>
  </si>
  <si>
    <t xml:space="preserve"> Revisão analitica de demonstrativos</t>
  </si>
  <si>
    <t xml:space="preserve"> Carta de Representação de Instituições Financeiras</t>
  </si>
  <si>
    <t xml:space="preserve"> Validação da Carta de Representação de Instituições Financeiras</t>
  </si>
  <si>
    <t>Emitir Cartas de Circularização aos Bancos</t>
  </si>
  <si>
    <t xml:space="preserve"> Resumo do Manual Operacional de Receitas</t>
  </si>
  <si>
    <t xml:space="preserve"> Walkthrough de Receita</t>
  </si>
  <si>
    <t xml:space="preserve"> Validação de Inadimplentes</t>
  </si>
  <si>
    <t xml:space="preserve"> TOD + TOE de Receita</t>
  </si>
  <si>
    <t xml:space="preserve"> Carta de Representação de Prestadores de Serviços (Detalhar os principais)</t>
  </si>
  <si>
    <t xml:space="preserve"> Resumo do Manual de Contratação</t>
  </si>
  <si>
    <t xml:space="preserve"> Validação da carta de representação de contratos</t>
  </si>
  <si>
    <t xml:space="preserve"> Walkthrough de Contratos</t>
  </si>
  <si>
    <t xml:space="preserve"> TOD + TOE de Contratos</t>
  </si>
  <si>
    <t xml:space="preserve"> Resumo do Manual de Obrigações Trabalhistas</t>
  </si>
  <si>
    <t xml:space="preserve"> TOD + TOE de cobrança de encargos</t>
  </si>
  <si>
    <t xml:space="preserve"> Indagação e obtençao de evidencias da entrega das obrigações acessorias</t>
  </si>
  <si>
    <t xml:space="preserve"> Inspeção estatística dos itens do Imobilizado ( Itens individualmente significantes)</t>
  </si>
  <si>
    <t xml:space="preserve"> Checklist de Prestadores de Serviços</t>
  </si>
  <si>
    <t xml:space="preserve"> Certidões</t>
  </si>
  <si>
    <t xml:space="preserve"> Carta de Representação de Assessores Jurídicos</t>
  </si>
  <si>
    <t xml:space="preserve"> Validação da Carta de Representação de Assessores Jurídicos</t>
  </si>
  <si>
    <t xml:space="preserve"> Teste de Contingências + Circularização de assessor jurídico </t>
  </si>
  <si>
    <t xml:space="preserve"> Constituição e operação do Condomínio</t>
  </si>
  <si>
    <t xml:space="preserve"> Consolidação de pontos (baseado no novo modelo com matriz de risco.)</t>
  </si>
  <si>
    <t xml:space="preserve"> Minuta da Auditoria NBC TA 800</t>
  </si>
  <si>
    <t xml:space="preserve"> Minuta da Apresentação da Auditoria NBC TA 800</t>
  </si>
  <si>
    <t xml:space="preserve"> Carta de Representação da Administração</t>
  </si>
  <si>
    <t xml:space="preserve"> Relatório Final da Auditoria NBC TA 800</t>
  </si>
  <si>
    <t xml:space="preserve"> Resumo Regimento</t>
  </si>
  <si>
    <t xml:space="preserve"> Resumo Convenção </t>
  </si>
  <si>
    <t>Não Aplicável</t>
  </si>
  <si>
    <t>Descrição no Pedido de Análise</t>
  </si>
  <si>
    <t>Etapas</t>
  </si>
  <si>
    <t>Status pedido de análise</t>
  </si>
  <si>
    <t>Status testes</t>
  </si>
  <si>
    <t>OK</t>
  </si>
  <si>
    <t>Exemplos de Testes Substantivos de Auditoria para Alcançar os Objetivos de Auditoria</t>
  </si>
  <si>
    <t>Observações</t>
  </si>
  <si>
    <t xml:space="preserve">Responsável </t>
  </si>
  <si>
    <t>q</t>
  </si>
  <si>
    <t>Em Andamento</t>
  </si>
  <si>
    <r>
      <t>[P4</t>
    </r>
    <r>
      <rPr>
        <b/>
        <sz val="11"/>
        <color rgb="FF000000"/>
        <rFont val="Times New Roman"/>
        <family val="1"/>
      </rPr>
      <t>]</t>
    </r>
  </si>
  <si>
    <r>
      <t>[P5</t>
    </r>
    <r>
      <rPr>
        <b/>
        <sz val="11"/>
        <color rgb="FF000000"/>
        <rFont val="Times New Roman"/>
        <family val="1"/>
      </rPr>
      <t>]</t>
    </r>
  </si>
  <si>
    <t>Pagamento realizados após data de vencimento com incidência de multa e juros.</t>
  </si>
  <si>
    <t>Verificamos que alguns pagamentos foram realizados após a data de vencimento acarretando em gastos adicionais.</t>
  </si>
  <si>
    <t>Pagamentos realizados antes da emissão da nota fiscal.</t>
  </si>
  <si>
    <t>Verificamos que ocorreram pagamentos com documentação fiscal com emissão posterior a data em que a transação bancária foi realizada.</t>
  </si>
  <si>
    <t>[P13]</t>
  </si>
  <si>
    <t>[P14]</t>
  </si>
  <si>
    <t>[P15]</t>
  </si>
  <si>
    <t>[P16]</t>
  </si>
  <si>
    <t>[P17]</t>
  </si>
  <si>
    <t>[P18]</t>
  </si>
  <si>
    <t>[P19]</t>
  </si>
  <si>
    <t>Materialidade</t>
  </si>
  <si>
    <t>PM</t>
  </si>
  <si>
    <t>AMPT</t>
  </si>
  <si>
    <t>Total da Receita</t>
  </si>
  <si>
    <t>- Impactos financeiros diretos de até o nosso AMPT;</t>
  </si>
  <si>
    <t>- Impactos financeiros diretos de entre o nosso AMPT e 75% do PM</t>
  </si>
  <si>
    <t>- Impactos financeiros diretos de até 75% do PM até o PM;</t>
  </si>
  <si>
    <t>- Impactos financeiros diretos do PM até a M;</t>
  </si>
  <si>
    <t>- Impactos financeiros diretos superiores a M ( Materiality);</t>
  </si>
  <si>
    <t>Perdas/Impacto</t>
  </si>
  <si>
    <t>Natureza do assunto que gerou a modificação</t>
  </si>
  <si>
    <t>Julgamento do auditor sobre a disseminação de forma generalizada dos efeitos ou possíveis efeitos sobre as DFs</t>
  </si>
  <si>
    <t>Não Generalizado</t>
  </si>
  <si>
    <t>Generalizado</t>
  </si>
  <si>
    <t>Opinião Adversa</t>
  </si>
  <si>
    <t>Abstenção de Opinião</t>
  </si>
  <si>
    <t>Opinião com Ressalva</t>
  </si>
  <si>
    <t>DFs apresentam Distorsões Relevantes</t>
  </si>
  <si>
    <t>Impossibilidade de se Obter Evidência de Auditoria Apropriada e Suficiente</t>
  </si>
  <si>
    <t>Pontos</t>
  </si>
  <si>
    <t>Ponto de forma resumida</t>
  </si>
  <si>
    <t>Descrição do ponto:</t>
  </si>
  <si>
    <t>Frequência</t>
  </si>
  <si>
    <t/>
  </si>
  <si>
    <t>Frequencia de pontos incidentes em mais de 30% dos itens analisados</t>
  </si>
  <si>
    <t>Frequencia de pontos incidentes entre 20% e 30% analisados</t>
  </si>
  <si>
    <t>Frequencia de pontos incidentes entre 10% e 20% analisados</t>
  </si>
  <si>
    <t>Frequencia de pontos incidentes entre 5% e 10% analisados</t>
  </si>
  <si>
    <t>Frequencia de pontos incidentes menor de 5%</t>
  </si>
  <si>
    <t>Desorganização da documentação suporte dificultam a análise de todas as partes envolvidas.</t>
  </si>
  <si>
    <t>Total</t>
  </si>
  <si>
    <t>02.1.6 - CRA -  Voucher documental + voucher nos extratos</t>
  </si>
  <si>
    <t>02.1.1 - CRA -  Follow Up CCI</t>
  </si>
  <si>
    <t>02.1.2 - CRA - Confirmação de Independência</t>
  </si>
  <si>
    <t>02.1.3 - CRA - Cálculo da Materialidade</t>
  </si>
  <si>
    <t>02.1.4 - CRA - Planejamento dos testes e das contas Significativas conforme MATERIALIDADE</t>
  </si>
  <si>
    <t>02.1.5 - CRA -  Voucher documental</t>
  </si>
  <si>
    <t>02.1.7 - CRA -  Teste de voucher (inspeção das guias e confronto dos saldos demonstrativos)</t>
  </si>
  <si>
    <t>02.1.9 - CRA -  Resumo Regimento</t>
  </si>
  <si>
    <t xml:space="preserve">02.1.10 - CRA -  Resumo Convenção </t>
  </si>
  <si>
    <t>02.1.11 - CRA -  Carta de Representação de Atas</t>
  </si>
  <si>
    <t>02.1.12 - CRA -  Resumo Atas</t>
  </si>
  <si>
    <t>02.1.13 - CRA -  Analise do resumo de atas e verificação das despesas aprovadas</t>
  </si>
  <si>
    <t>02.1.14 - CRA -  Seguros</t>
  </si>
  <si>
    <t>02.1.15 - CRA -  Orçado X Realizado</t>
  </si>
  <si>
    <t>02.1.16 - CRA -  Revisão analitica de demonstrativos</t>
  </si>
  <si>
    <t>02.1.17 - CRA -  Procedimentos de revisão analitica e entendimento junto ao condominio</t>
  </si>
  <si>
    <t>02.1.18 - CRA -  Quando aplicavel procedimentos de revisao analitica</t>
  </si>
  <si>
    <t>02.1.19 - CRA -  Revisão da Base + Demonstrativos Financeiros</t>
  </si>
  <si>
    <t>02.1.20 - CRA -  Elaboração dos quadros e testes 100% demonstrativos financeiro X saldos bancarios</t>
  </si>
  <si>
    <t>02.2.1 - CRA -  Carta de Representação de Instituições Financeiras</t>
  </si>
  <si>
    <t>02.2.2 - CRA -  Validação da Carta de Representação de Instituições Financeiras</t>
  </si>
  <si>
    <t>02.2.3 - CRA - Emitir Cartas de Circularização aos Bancos</t>
  </si>
  <si>
    <t>02.2.4 - CRA -  Resumo do Manual Operacional de Receitas</t>
  </si>
  <si>
    <t>02.2.5 - CRA -  Seleção de amostragem e validação da receita</t>
  </si>
  <si>
    <t>02.2.6 - CRA -  Walkthrough de Receita</t>
  </si>
  <si>
    <t>02.2.7 - CRA -  Validação de Inadimplentes</t>
  </si>
  <si>
    <t>02.2.8 - CRA -  TOD + TOE de Receita</t>
  </si>
  <si>
    <t>02.2.9 - CRA -  Carta de Representação de Prestadores de Serviços (Detalhar os principais)</t>
  </si>
  <si>
    <t>02.2.10 - CRA -  Resumo do Manual de Contratação</t>
  </si>
  <si>
    <t>02.2.11 - CRA -  Validação da carta de representação de contratos</t>
  </si>
  <si>
    <t>02.2.12 - CRA -  Walkthrough de Contratos</t>
  </si>
  <si>
    <t>02.2.13 - CRA -  TOD + TOE de Contratos</t>
  </si>
  <si>
    <t>02.2.14 - CRA -  Resumo do Manual de Obrigações Trabalhistas</t>
  </si>
  <si>
    <t>02.2.15 - CRA -  Walkthrough de cobrança de encargos</t>
  </si>
  <si>
    <t>02.2.16 - CRA -  TOD + TOE de cobrança de encargos</t>
  </si>
  <si>
    <t xml:space="preserve">02.2.17 - CRA -  Teste do pagamento no extrato com base na folha + Recalculo individual de Colaboradores </t>
  </si>
  <si>
    <t>02.2.18 - CRA -  Incluir no teste de folha uma analise indireta dos impostos sobre a remuneração do sindico</t>
  </si>
  <si>
    <t>02.2.19 - CRA -  Indagação e obtençao de evidencias da entrega das obrigações acessorias</t>
  </si>
  <si>
    <t>02.2.20 - CRA -  Inspeção estatística dos itens do Imobilizado ( Itens individualmente significantes)</t>
  </si>
  <si>
    <t>02.2.21 - CRA -  Checklist de Prestadores de Serviços</t>
  </si>
  <si>
    <t>02.3.1 - CRA -  Recalculo individual de Colaboradores (10% da base total de colaboradores)</t>
  </si>
  <si>
    <t>02.3.2 - CRA -  Certidões</t>
  </si>
  <si>
    <t>02.3.3 - CRA -  Carta de Representação de Assessores Jurídicos</t>
  </si>
  <si>
    <t>02.3.4 - CRA -  Validação da Carta de Representação de Assessores Jurídicos</t>
  </si>
  <si>
    <t xml:space="preserve">02.3.5 - CRA -  Teste de Contingências + Circularização de assessor jurídico </t>
  </si>
  <si>
    <t>02.3.6 - CRA -  Procedimentos de Circularização</t>
  </si>
  <si>
    <t>02.3.7 - CRA -  Voucher + assertivas de direitos e obrigações + analise de aprovação</t>
  </si>
  <si>
    <t xml:space="preserve">02.3.8 - CRA - Procedimentos de revisão analitica e entendimento junto ao condominio </t>
  </si>
  <si>
    <t>02.3.9 - CRA - Quando aplicavel fazer o entendimento e teste da destinação dos fundos</t>
  </si>
  <si>
    <t>02.4.1 - CRA -  Constituição e operação do Condomínio</t>
  </si>
  <si>
    <t>02.4.2 - CRA -  Consolidação de pontos (baseado no novo modelo com matriz de risco.)</t>
  </si>
  <si>
    <t>02.4.3 - CRA -  Minuta da Auditoria NBC TA 800</t>
  </si>
  <si>
    <t>02.4.4 - CRA -  Minuta da Apresentação da Auditoria NBC TA 800</t>
  </si>
  <si>
    <t>02.4.5 - CRA -  Carta de Representação da Administração</t>
  </si>
  <si>
    <t>02.4.6 - CRA -  Relatório Final da Auditoria NBC TA 800</t>
  </si>
  <si>
    <t>02.4.7 - CRA -  Relatório Final da Apresentação da Auditoria NBC TA 800</t>
  </si>
  <si>
    <t xml:space="preserve">02.4.8 - CRA -  Relatório Final da Auditoria </t>
  </si>
  <si>
    <t xml:space="preserve">02.4.9 - CRA -  Relatório Final da Apresentação da Auditoria </t>
  </si>
  <si>
    <t xml:space="preserve">02.1.8 - CRA -  Consolidação dos saldos </t>
  </si>
  <si>
    <t>V07</t>
  </si>
  <si>
    <t>V01</t>
  </si>
  <si>
    <t>V02</t>
  </si>
  <si>
    <t>V03</t>
  </si>
  <si>
    <t>V04</t>
  </si>
  <si>
    <t>V05</t>
  </si>
  <si>
    <t>V06</t>
  </si>
  <si>
    <t>Riscos e Impactos</t>
  </si>
  <si>
    <t>Recomendação</t>
  </si>
  <si>
    <t>Ausência de apresentação de mapa de orçamentos</t>
  </si>
  <si>
    <t>Informações apresentado fora do mês correspondente na demonstração financeira.</t>
  </si>
  <si>
    <t>Verificamos que há desorganização das informações na demonstração financeira que dificultam na análise de todas as partes envolvidas.</t>
  </si>
  <si>
    <t>Julgamento Profissional</t>
  </si>
  <si>
    <t>COD</t>
  </si>
  <si>
    <t>Simbolo</t>
  </si>
  <si>
    <t>Conclusão</t>
  </si>
  <si>
    <t>Impacto Faturamento</t>
  </si>
  <si>
    <t>Isaias</t>
  </si>
  <si>
    <t>David</t>
  </si>
  <si>
    <t>Time Vorcon</t>
  </si>
  <si>
    <t>Ponto V+</t>
  </si>
  <si>
    <t>Testes e Procedimentos da Auditoira Condominial</t>
  </si>
  <si>
    <t>Data base: 01/01/2019 à 31/12/2021</t>
  </si>
  <si>
    <t>Revisão</t>
  </si>
  <si>
    <t>01.1.1</t>
  </si>
  <si>
    <t>01.1.2</t>
  </si>
  <si>
    <t>01.1.3</t>
  </si>
  <si>
    <t>01.1.4</t>
  </si>
  <si>
    <t>01.1.5</t>
  </si>
  <si>
    <t>01.1.6</t>
  </si>
  <si>
    <t>01.1.7</t>
  </si>
  <si>
    <t>01.1.8</t>
  </si>
  <si>
    <t>01.1.9</t>
  </si>
  <si>
    <t>01.1.10</t>
  </si>
  <si>
    <t>01.1.11</t>
  </si>
  <si>
    <t>01.1.12</t>
  </si>
  <si>
    <t>01.1.13</t>
  </si>
  <si>
    <t>01.1.14</t>
  </si>
  <si>
    <t>01.1.15</t>
  </si>
  <si>
    <t>01.1.16</t>
  </si>
  <si>
    <t>01.1.17</t>
  </si>
  <si>
    <t>01.1.18</t>
  </si>
  <si>
    <t>01.1.19</t>
  </si>
  <si>
    <t>01.1.20</t>
  </si>
  <si>
    <t>01.1.21</t>
  </si>
  <si>
    <t>01.1.22</t>
  </si>
  <si>
    <t>01.1.23</t>
  </si>
  <si>
    <t>01.1.23.1</t>
  </si>
  <si>
    <t>01.1.24</t>
  </si>
  <si>
    <t>01.1.25</t>
  </si>
  <si>
    <t>01.1.26</t>
  </si>
  <si>
    <t>01.1.27</t>
  </si>
  <si>
    <t>01.1.28</t>
  </si>
  <si>
    <t>01.1.29</t>
  </si>
  <si>
    <t>01.1.30</t>
  </si>
  <si>
    <t>01.1.31</t>
  </si>
  <si>
    <t>01.1.32</t>
  </si>
  <si>
    <t>01.1.33</t>
  </si>
  <si>
    <t>01.1.34</t>
  </si>
  <si>
    <t>01.1.35</t>
  </si>
  <si>
    <t>01.1.36</t>
  </si>
  <si>
    <t>01.1.37</t>
  </si>
  <si>
    <t>01.1.38</t>
  </si>
  <si>
    <t>01.1.39</t>
  </si>
  <si>
    <t>01.1.40</t>
  </si>
  <si>
    <t>01.1.41</t>
  </si>
  <si>
    <t>01.1.42</t>
  </si>
  <si>
    <t>01.1.43</t>
  </si>
  <si>
    <t>01.1.44</t>
  </si>
  <si>
    <t>01.1.45</t>
  </si>
  <si>
    <t>01.1.46</t>
  </si>
  <si>
    <t>01.1.47</t>
  </si>
  <si>
    <t>CRP</t>
  </si>
  <si>
    <t>Pedido de Análise</t>
  </si>
  <si>
    <t>Follow Up CCI</t>
  </si>
  <si>
    <t xml:space="preserve"> Consolidação dos saldos dos demonstrativos financeiro + Voucher Documental </t>
  </si>
  <si>
    <t>Demonstrativo Financeiro + voucher nos extratos</t>
  </si>
  <si>
    <t>Conciliação Bancária + Elaboração dos quadros dos Demonstrativos Financeiros</t>
  </si>
  <si>
    <t>Revisão do Fundo de Reserva</t>
  </si>
  <si>
    <t xml:space="preserve"> Walkthrough de recolhimento de encargos</t>
  </si>
  <si>
    <t>Recalculo individual de Colaboradores + Análise dos Síndicos</t>
  </si>
  <si>
    <t xml:space="preserve"> Procedimentos de Circularização de assessor jurídico</t>
  </si>
  <si>
    <t>Entrevista para entendimento dos controles internos do condomínio  (Inquiries)</t>
  </si>
  <si>
    <t>01.1.1 - CRP - Confirmação de Independência</t>
  </si>
  <si>
    <t>01.1.2 - CRP - Pedido de Análise</t>
  </si>
  <si>
    <t xml:space="preserve">01.1.3 - CRP - Entrevista para entendimento dos controles internos do condomínio </t>
  </si>
  <si>
    <t>01.1.4 - CRP - Cálculo da Materialidade</t>
  </si>
  <si>
    <t>01.1.5 - CRP - Follow Up CCI</t>
  </si>
  <si>
    <t>01.1.6 - CRP -  Voucher documental</t>
  </si>
  <si>
    <t>01.1.7 - CRP -  Constituição e operação do Condomínio</t>
  </si>
  <si>
    <t>01.1.8 - CRP -  Resumo Regimento</t>
  </si>
  <si>
    <t xml:space="preserve">01.1.9 - CRP -  Resumo Convenção </t>
  </si>
  <si>
    <t>01.1.10 - CRP -  Resumo do Manual de Obrigações Trabalhistas</t>
  </si>
  <si>
    <t>01.1.11 - CRP -  Resumo do Manual Operacional de Receitas</t>
  </si>
  <si>
    <t>01.1.12 - CRP -  Resumo do Manual de Contratação</t>
  </si>
  <si>
    <t>01.1.13 - CRP -  Carta de Representação de Atas</t>
  </si>
  <si>
    <t>01.1.14 - CRP -  Resumo Atas</t>
  </si>
  <si>
    <t>01.1.15 - CRP -  Teste de voucher (inspeção das guias e confronto dos saldos demonstrativos)</t>
  </si>
  <si>
    <t xml:space="preserve">01.1.16 - CRP -  Consolidação dos saldos dos demonstrativos financeiro + Voucher Documental </t>
  </si>
  <si>
    <t>01.1.17 - CRP - Emitir Cartas de Circularização aos Bancos</t>
  </si>
  <si>
    <t>01.1.18 - CRP -  Carta de Representação de Instituições Financeiras</t>
  </si>
  <si>
    <t>01.1.19 - CRP -  Validação da Carta de Representação de Instituições Financeiras</t>
  </si>
  <si>
    <t>01.1.20 - CRP - Demonstrativo Financeiro + voucher nos extratos</t>
  </si>
  <si>
    <t>01.1.21 - CRP - Conciliação Bancária + Elaboração dos quadros dos Demonstrativos Financeiros</t>
  </si>
  <si>
    <t>01.1.22 - CRP -  Orçado X Realizado</t>
  </si>
  <si>
    <t>01.1.23 - CRP -  Revisão analitica de demonstrativos</t>
  </si>
  <si>
    <t>01.1.23.1 - CRP - Revisão do Fundo de Reserva</t>
  </si>
  <si>
    <t>01.1.24 - CRP -  Walkthrough de Receita</t>
  </si>
  <si>
    <t>01.1.25 - CRP -  TOD + TOE de Receita</t>
  </si>
  <si>
    <t>01.1.26 - CRP -  Validação de Inadimplentes</t>
  </si>
  <si>
    <t>01.1.27 - CRP -  Seguros</t>
  </si>
  <si>
    <t>01.1.28 - CRP -  Carta de Representação de Prestadores de Serviços (Detalhar os principais)</t>
  </si>
  <si>
    <t>01.1.29 - CRP -  Checklist de Prestadores de Serviços</t>
  </si>
  <si>
    <t>01.1.30 - CRP -  Validação da carta de representação de contratos</t>
  </si>
  <si>
    <t>01.1.31 - CRP -  Walkthrough de Contratos</t>
  </si>
  <si>
    <t>01.1.32 - CRP -  TOD + TOE de Contratos</t>
  </si>
  <si>
    <t>01.1.33 - CRP -  Walkthrough de recolhimento de encargos</t>
  </si>
  <si>
    <t>01.1.34 - CRP -  TOD + TOE de cobrança de encargos</t>
  </si>
  <si>
    <t>01.1.35 - CRP - Recalculo individual de Colaboradores + Análise dos Síndicos</t>
  </si>
  <si>
    <t>01.1.36 - CRP -  Indagação e obtençao de evidencias da entrega das obrigações acessorias</t>
  </si>
  <si>
    <t>01.1.37 - CRP -  Inspeção estatística dos itens do Imobilizado ( Itens individualmente significantes)</t>
  </si>
  <si>
    <t>01.1.38 - CRP -  Certidões</t>
  </si>
  <si>
    <t>01.1.39 - CRP -  Carta de Representação de Assessores Jurídicos</t>
  </si>
  <si>
    <t>01.1.40 - CRP -  Validação da Carta de Representação de Assessores Jurídicos</t>
  </si>
  <si>
    <t>01.1.41 - CRP -  Procedimentos de Circularização de assessor jurídico</t>
  </si>
  <si>
    <t xml:space="preserve">01.1.42 - CRP -  Teste de Contingências + Circularização de assessor jurídico </t>
  </si>
  <si>
    <t>01.1.43 - CRP -  Consolidação de pontos (baseado no novo modelo com matriz de risco.)</t>
  </si>
  <si>
    <t>01.1.44 - CRP -  Carta de Representação da Administração</t>
  </si>
  <si>
    <t>01.1.45 - CRP -  Minuta da Auditoria NBC TA 800</t>
  </si>
  <si>
    <t>01.1.46 - CRP -  Minuta da Apresentação da Auditoria NBC TA 800</t>
  </si>
  <si>
    <t>01.1.47 - CRP -  Relatório Final da Auditoria NBC TA 800</t>
  </si>
  <si>
    <t>Renata</t>
  </si>
  <si>
    <t>Demonstrativos Financeiros - Relatório (01/01/2019 à 31/12/2021)</t>
  </si>
  <si>
    <t>Relatório de auditoria anterior (2018)</t>
  </si>
  <si>
    <t>Balancetes 100%</t>
  </si>
  <si>
    <t>Convenção + Regimento Interno</t>
  </si>
  <si>
    <t>Regimento Interno</t>
  </si>
  <si>
    <t>Assinatura da Carta de Representação de Atas</t>
  </si>
  <si>
    <t>Demonstrativo Financeiros + Balancetes</t>
  </si>
  <si>
    <t>Assinatura da Carta de Representação de Instituição Financeira</t>
  </si>
  <si>
    <t>Demonstrativo Financeiros + Extratos</t>
  </si>
  <si>
    <t>Demonstrativo Financeiros + Extratos + Balancetes</t>
  </si>
  <si>
    <t>Planejamento Orçamentário + Orçado x Realizado</t>
  </si>
  <si>
    <t>Demonstrativos Financeiros</t>
  </si>
  <si>
    <t>Relatório Analítico do Fundo de Reserva (Está nos Extratos)</t>
  </si>
  <si>
    <t>Inadimplentes</t>
  </si>
  <si>
    <t>Seguros</t>
  </si>
  <si>
    <t>Assinatura da Carta de Representação de Prestadores de Serviços</t>
  </si>
  <si>
    <t>Assinatura da Carta de Representação de Prestadores de Serviços + Balancetes</t>
  </si>
  <si>
    <t>Relatório da Folha</t>
  </si>
  <si>
    <t>Certidões</t>
  </si>
  <si>
    <t>Assinatura da Carta de Representação de Assessores Jurídicos</t>
  </si>
  <si>
    <t>Controle auxiliar da Provisões para Contingências (Analítico) + Assinatura da Carta de Representação de Assessores Jurídicos</t>
  </si>
  <si>
    <t>V+</t>
  </si>
  <si>
    <t>Julgamento</t>
  </si>
  <si>
    <t>ATUALIZAR</t>
  </si>
  <si>
    <t>RESUMO DE PONTOS</t>
  </si>
  <si>
    <t>BASE DE PONTOS V+</t>
  </si>
  <si>
    <t>Condomínio Parque Tropical</t>
  </si>
  <si>
    <t>Voucher Documental</t>
  </si>
  <si>
    <t>Demonstrativo de Receita e Despesas</t>
  </si>
  <si>
    <t>V08</t>
  </si>
  <si>
    <t>Sugerimos que sejam criados processos para que os comprovantes de pagamentos estejam anexados ao processo de pagamentos</t>
  </si>
  <si>
    <t>V09</t>
  </si>
  <si>
    <t>V15</t>
  </si>
  <si>
    <t>Capacidade de arrecadação inferior aos gastos.</t>
  </si>
  <si>
    <t>Com as despesas elevadas, o condomínio não consegue arcar com 100% das suas obrigações afetando o fluxo de caixa do financeiro, e ao mesmo tempo não consegue atingir um valor médio ou alto para o fundo de reserva para um futuro inesperado.</t>
  </si>
  <si>
    <t>Resumo da Convenção</t>
  </si>
  <si>
    <t>Acesso a Convenção do Condomínio</t>
  </si>
  <si>
    <t>Verificamos que o Condomínio não possui site, o ideal seria ter um site e disponibiliar o requimento Regimento nele.</t>
  </si>
  <si>
    <t>As melhores práticas de gestão sugerem que as informações do Condomínio estejam de fácil acesso para qualquer condômino.</t>
  </si>
  <si>
    <t>Condomínio Mar de Itapuã</t>
  </si>
  <si>
    <t>Data base: 01/01/2021 à 31/12/2021</t>
  </si>
  <si>
    <t>Data base: 12/2021</t>
  </si>
  <si>
    <t>Pagamento de encargos financeiros que deveriam ser de responsabilidade dos Fornecedores/Prestadores de serviços</t>
  </si>
  <si>
    <t>Recomendamos ao Conselho Fiscal e a Administração condominial que verifique novas ações a realizar para redução das despesas mitigando ou solucionando o problema.</t>
  </si>
  <si>
    <t>Sugerimos que o Condomínio contate a sua equipe de TI e verifique a possibilidade de criar um site do Condomínio e disponibilizar a convenção</t>
  </si>
  <si>
    <t>Os balancetes sem aprovação dos conselheiros fiscais no termo de aprovação.</t>
  </si>
  <si>
    <t>A falta das assinaturas dos conselheiros fiscais nos termos de aprovação dos balancetes indica que as contas do condomínio não foram submetidas ao exame, acarretando a redução do nível de confiança dos demonstrativos e podendo prejudicar a leitura dos usuários.</t>
  </si>
  <si>
    <t>Sugerimos que os conselheiros fiscais realizem o exame dos balancetes e caso ocorra a aprovação dos mesmos, confirmem com as suas assinaturas nos termos de aprovação. Mesmo com as demonstrações financeiras sendo auditadas mensalmente, é necessário a validação do conselho fiscal.</t>
  </si>
  <si>
    <t>Não foi possível identificar o controle patrimonial dos ativos imobilizados do condomínio.</t>
  </si>
  <si>
    <t>Sugerimos à Administração do condomínio que busque realizar o inventário dos ativos imobilizados anualmente.</t>
  </si>
  <si>
    <t>Ativo imobilizado</t>
  </si>
  <si>
    <t>Inexistência de informações para emissão da certidão de FGTS na Caixa econômica Federal.</t>
  </si>
  <si>
    <t>V10</t>
  </si>
  <si>
    <t>V11</t>
  </si>
  <si>
    <t>V12</t>
  </si>
  <si>
    <t>V13</t>
  </si>
  <si>
    <t>V14</t>
  </si>
  <si>
    <t>•	31/12/2021
•	Recorrente
■	Vorcon Auditoria &amp; Consultoria
■	24/06/2022</t>
  </si>
  <si>
    <t>Pagamento sem os respectivos Fornecedores/Prestadores de serviços não é permitido pela legislação brasileira assim como Convenção e Regimento Interno do Condomínio podendo ser multado e/ou sofrer outras penalidades impostas pelo fisco.</t>
  </si>
  <si>
    <t>Sugerimos que seja solicitado aos respectivos Fornecedores/ Prestadores de serviços ou fornecedores a nota fiscal pelo fornecimento de material ou de prestação de serviço.</t>
  </si>
  <si>
    <t>Pagamentos realizados a fornecedores diferentes do da Nota Fiscal pode evidenciar pagamentos indevidos ou mesmo situações que levem a riscos de fraude.</t>
  </si>
  <si>
    <t>Pagamento duplicado dos valores, ou caso haja a solicitação do comprovante de pagamento o Condomínio não os possua</t>
  </si>
  <si>
    <t>Sugerimos que sejam criados processos para que os comprovantes sejam de responsabilidade do financeiro tirar cópia ou digitalizá-los assim que os receber.</t>
  </si>
  <si>
    <t>Verificamos que há diferença entre os valores apresentados, não justificada por parcelamento ou multa.</t>
  </si>
  <si>
    <t>Possibilidade de pagamentos realizados com valores incorretos.</t>
  </si>
  <si>
    <t>Nos meses 01/2021 à 12/2021 não constam as assinaturas dos conselheiros fiscais e do síndico para aprovação dos balancetes.</t>
  </si>
  <si>
    <t>Impacto com os inadimplentes</t>
  </si>
  <si>
    <t>Verificamos que a inadimplência na data base de 31/12/2021 foi equivalente a R$ 23.053,25 atualizados com multas, juros e correção.</t>
  </si>
  <si>
    <t>O alto índice de inadimplência condominial impacta inicialmente o orçamento do condomínio. Assim, é preciso compensar de alguma forma o déficit orçamentário para que as obrigações condominiais sejam cumpridas. Como alternativas para essas compensações, podem ser ajustados os valores das taxas condominiais, utilizados os seus fundos de reserva ou criadas taxas extras, gerado assim, prejuízos aos condomínios adimplentes e a toda estrutura financeira condominial. Ademais, ocorre as implicações de ordem interpessoal para que ocorra a regularização dos valores, o que em casos mais graves necessita de cobrança judicial, gerando outros gastos com honorários advocatícios e custas judiciais.</t>
  </si>
  <si>
    <t>Indicamos à administração ações preventivas que tenham como objetivo a redução das despesas condominiais, o fortalecimento do fundo de reserva e a cobrança de maneira assertiva dos inadimplentes. Além disso, devem ser buscadas alternativas analisando a relação de custos e benefícios para solução desse problema, como por exemplo, a utilização dos serviços de uma garantidora de condomínio.</t>
  </si>
  <si>
    <t>Ausência de Inventário dos ativos imobilizados</t>
  </si>
  <si>
    <t>A ausência do controle patrimonial, o condomínio poderá impactar em possíveis perdas ou desvios do ativo imobilizado.</t>
  </si>
  <si>
    <t>Ao realizar a consulta do Certificado de Regularidade Do FGTS, obtivemos a seguinte resposta: "As informações disponíveis não são suficientes para a comprovação automática da regularidade do empregador perante o FGTS. Solicitamos acessar o portal Conectividade Social, mediante certificado ICP, para verificar possíveis impedimentos ou comparecer a uma das Agências da CAIXA". Com esclarecimentos adicionais no endereçamento.</t>
  </si>
  <si>
    <t>A inexistência dos dados para emissão da certidão junto ao Caixa, poderá resultar no agravamento do acompanhamento das certidões.</t>
  </si>
  <si>
    <t>Sugerimos que a administração entre no portal Conectividade Social da Caixa e faça o entendimento de quais dados estão faltando para verificar possíveis impedimentos.</t>
  </si>
  <si>
    <t>Certidão</t>
  </si>
  <si>
    <t>As receitas do meses 02, 04, 07, 09, 10 e 12/2021 não estão sendo suficiente para cobrir as despesas, acarretando em um défict no total nesses meses de - R$ 235.528,38</t>
  </si>
  <si>
    <t>Envio de Boleto Fraudado</t>
  </si>
  <si>
    <t>Identificamos que o Condomínio enviou um possível boleto fraudado para a Condômina Jussara Barros da Unidade 2801 B no Mês 01/2021 na qual realizou o pagamento. O condomínio necessitou realizar a baixa do valor pago da condômina resultando em prejuízo financeiro de R$ 919,14.</t>
  </si>
  <si>
    <t>A falta de processo da análise do controle interno das contas a pagar sobre a verificação dos envios dos boletos recebidos pelo Advogado, poderá acarretar em envios de boletos errôneos e gerar prejuízos ao condomínio e a toda estrutura financeira condominial.</t>
  </si>
  <si>
    <t>Recomendamos a Administração do Condomíonio verifique ações de controles internos para verificação dos boletos enviados aos clientes.</t>
  </si>
  <si>
    <t>Débito automático referente ao bloqueio judicial</t>
  </si>
  <si>
    <t>Identificamos nos extratos e nas despesas operacionais que houve o débito automático de de R$ 1.045,19 no mês 8/2021 e de R$ 420,069 no mês 09/2021 referente ao bloqueio judicial.</t>
  </si>
  <si>
    <t xml:space="preserve">Os gastos com bloqueios judiciais geram possíveis prejuízos ao condomínio e a toda estrutura financeira condominial. </t>
  </si>
  <si>
    <t>Sugerimos a Administração do Condomínio que mantenha o monitoramento constante dos processos financeiros e judicial acompanhando os processos em andamento.</t>
  </si>
  <si>
    <t>Extratos</t>
  </si>
  <si>
    <t>Saldo bloqueado Custódia de Caução.</t>
  </si>
  <si>
    <t>Identificamos que durante os meses 09, 10, 11 e 12/2021 o condomínio  está em opção custodia caução no valor R$ 4.889,37 nas contas, Bradesco e Caixa Econômica devido a cancelamento do acesso ao conta CEF não foi possível atualizar o saldo das contas.</t>
  </si>
  <si>
    <t>Devido ao bloqueio do saldo da conta CEF, não foi possível atualizar o saldo das contas nos meses 09, 10, 11 e 12/2021 podendo afetar diretamente o fluxo de caixa e o controle do financeiro do condomínio.</t>
  </si>
  <si>
    <t>Sugerimos que a administração entre em contato com a Caixa Econômica Federal e verificar os possíveis impedimentos.</t>
  </si>
  <si>
    <t>•	31/12/2021
•	Novo
■	Vorcon Auditoria &amp; Consultoria
■	24/06/2022</t>
  </si>
  <si>
    <t>V16</t>
  </si>
  <si>
    <t>Verificamos os relatórios de contingências de 2021 e não identificamos quais expectativas de ganho ou perda no contrato.
• Passivas – montante de R$ 22.000,00</t>
  </si>
  <si>
    <t>Recomendamos que o jurídico do condomínio forneça informações relativa a estimativa de perda ou ganhos dos processos ativos.</t>
  </si>
  <si>
    <t>Contigência</t>
  </si>
  <si>
    <t>Perda de Causa Judicial</t>
  </si>
  <si>
    <t>V17</t>
  </si>
  <si>
    <t xml:space="preserve">Indentificamos que durante o período de 2021 que há perda de causa judicial de R$ 10.477,17 referente ao n° 0101419-55.2017.8.05.0001 de TICIANA CARNEIRO DA ROCHA PRATA 
MONTEIRO X TRIBECA, e R$ 29.000,00 referente ao n° 0164073-44.2018.8.05.0001 de RAFAEL CALDAS LOPES X TRIBECA, totalizando em uma perda de R$ 39.477,17 </t>
  </si>
  <si>
    <t>Devido a perda das causas judicais podendo afetar diretamente o fluxo de caixa e o controle do financeiro do condomínio.</t>
  </si>
  <si>
    <t xml:space="preserve">Recomendamos ações preventivas nas melhorias no controle interno para que as causas judiciais não sejam abertas contra o condomínio. </t>
  </si>
  <si>
    <t>Vendas e outras receitas e provisões relacionadas</t>
  </si>
  <si>
    <t xml:space="preserve">Ocorrência 
Integridade
</t>
  </si>
  <si>
    <t>1. As vendas e outras receitas representam todas e somente transações(produtos despachados ou serviços prestados) que ocorreram durante o período e foram corretamente registradas</t>
  </si>
  <si>
    <t>2. As provisões para contas duvidosas, devoluções, abatimentos e descontos foram colocadas no devido período</t>
  </si>
  <si>
    <t>3. As receitas e as provisões para contas duvidosas, devoluções, abatimentos e descontos estão corretamente classificadas, e as devidas divulgações relativas a esses valores foram feitas.</t>
  </si>
  <si>
    <t>*Procedimentos analíticos
*Avaliação de provisões de valorização</t>
  </si>
  <si>
    <t>*Circularização de contas a receber ou procedimentos alternativos
*Procedimentos analíticos
*Testes de corte (Cut-off) de vendas e outras receitas
*Teste de reconhecimento de receita</t>
  </si>
  <si>
    <t>Custo das vendas</t>
  </si>
  <si>
    <t xml:space="preserve">Ocorrência
Integridade
</t>
  </si>
  <si>
    <t>1. O Custo das vendas representa todas e somente transações relativas a produtos despachados ou serviços prestados durante o ano e está corretamente registrado</t>
  </si>
  <si>
    <t>2. O custo das vendas está corretamente descrito e classificado nas demonstrações financeiras, e devidas divulgações relativas a esses valores foram feitas</t>
  </si>
  <si>
    <t>*Testes de corte (Cut-off) custo das vendas *Procedimentos analíticos
*Análise se contas</t>
  </si>
  <si>
    <t>Despesas com juros</t>
  </si>
  <si>
    <t>Despesas Operacionais</t>
  </si>
  <si>
    <t>Ocorrência
Integridade
Alocação</t>
  </si>
  <si>
    <t>2. As despesas operacionais estão corretamente descritas e classificadas, e as devidas divulgações relativas a esses valores foram feitas</t>
  </si>
  <si>
    <t>1. As despesas operacionais representam todos e somente valores incorridos pela companhia com tipos de gastos do período em suas operações e estão corretamente registradas</t>
  </si>
  <si>
    <t>*Procedimentos analíticos
*Análise se contas
*Testes de corte (Cut-off) de importâncias registradas</t>
  </si>
  <si>
    <t>2. As despesas com juros estão corretamente descritas e classificadas, e as devidas divulgações relativas a esses valores foram feitas</t>
  </si>
  <si>
    <t>1. As despesas com juros (incluindo as amortizações e despesas pagas antecipadamente) representam todos e somente os juros incorridos durante o período e foram corretamente registradas</t>
  </si>
  <si>
    <t>*Confirmação das principais cláusulas de contratos de empréstimos com os credores
* Teste preditivo de despesas de juros
*Análise de contas
*Recálculo de amortização de despesas</t>
  </si>
  <si>
    <t>*Procedimentos analíticos
**Revisão das Demonstrações Financeiras e comparação das divulgações feitas com os requisitos dos princípios de contabilidade
**Confirmação das principais cláusulas de contratos de empréstimos com os credores</t>
  </si>
  <si>
    <t>Outras Receitas e Despesas</t>
  </si>
  <si>
    <t>1. Outras Receitas e despesas represemtam todas e somente transações de natureza não operacional ou extraordinárias que ocorreram durante o período e estão corretamente registradas</t>
  </si>
  <si>
    <t>2. Os valores de outras receitas e despesas estão corretamente descritos e classificados, e as devidas divulgações relativas a esses valores foram feitas.</t>
  </si>
  <si>
    <t>Principais Contas de Resultado</t>
  </si>
  <si>
    <t>Assertivas de Auditoria</t>
  </si>
  <si>
    <t>Principais Objetivos de Auditoria</t>
  </si>
  <si>
    <t>Exemplos de Testes Substantivos de Auditoria</t>
  </si>
  <si>
    <t>Receita de Vendas</t>
  </si>
  <si>
    <t>Existência, Ocorrência, Integridade, Exatidão, Direitos e Obrigações</t>
  </si>
  <si>
    <t>Verificar se as vendas registradas existem e foram efetuadas durante o período, se foram realizadas corretamente, se estão completas, precisas e refletem os valores corretos e se a empresa tem direitos e obrigações relacionados à receita.</t>
  </si>
  <si>
    <t>Revisão de contratos e pedidos de vendas, confirmação de vendas com clientes, análise das políticas e práticas contábeis aplicadas pela empresa para reconhecimento de receita, teste de amostras de vendas registradas.</t>
  </si>
  <si>
    <t>Custo dos Produtos Vendidos</t>
  </si>
  <si>
    <t>Existência, Integridade, Exatidão</t>
  </si>
  <si>
    <t>Verificar se os custos associados aos produtos vendidos existem e foram incorridos no período, se estão completos e precisos, e se foram reconhecidos no período correto.</t>
  </si>
  <si>
    <t>Revisão de ordens de compra, confirmação com fornecedores, avaliação das políticas e práticas contábeis aplicadas pela empresa para reconhecimento de custo dos produtos vendidos, teste de amostras de transações de custo dos produtos vendidos.</t>
  </si>
  <si>
    <t>Verificar se as despesas operacionais registradas existem e foram incorridas no período, se estão completas e precisas, e se foram reconhecidas no período correto.</t>
  </si>
  <si>
    <t>Revisão de documentos de suporte, confirmação com fornecedores, avaliação das políticas e práticas contábeis aplicadas pela empresa para reconhecimento de despesas operacionais, teste de amostras de transações de despesas operacionais.</t>
  </si>
  <si>
    <t>Despesas Financeiras</t>
  </si>
  <si>
    <t>Verificar se as despesas financeiras registradas existem e foram incorridas no período, se estão completas e precisas, e se foram reconhecidas no período correto.</t>
  </si>
  <si>
    <t>Revisão de documentos de suporte, confirmação com instituições financeiras, avaliação das políticas e práticas contábeis aplicadas pela empresa para reconhecimento de despesas financeiras, teste de amostras de transações de despesas financeiras.</t>
  </si>
  <si>
    <t>Receitas Financeiras</t>
  </si>
  <si>
    <t>Verificar se as receitas financeiras registradas existem e foram efetuadas durante o período, se foram realizadas corretamente, se estão completas, precisas e refletem os valores corretos e se a empresa tem direitos e obrigações relacionados à receita.</t>
  </si>
  <si>
    <t>Revisão de contratos e acordos financeiros, confirmação com instituições financeiras, análise das políticas e práticas contábeis aplicadas pela empresa para reconhecimento de receita financeira, teste de amostras de transações de receita financeira.</t>
  </si>
  <si>
    <t>Despesas não Operacionais</t>
  </si>
  <si>
    <t>Verificar se as despesas não operacionais registradas existem e foram incorridas no período, se estão completas e precisas, e se foram reconhecidas no período correto.</t>
  </si>
  <si>
    <t>Revisão de documentos de suporte, confirmação com fornecedores, avaliação das políticas e práticas contábeis aplicadas pela empresa para reconhecimento de despesas não operacionais, teste de amostras de transações de despesas não operacionais.</t>
  </si>
  <si>
    <t>Lucro Bruto</t>
  </si>
  <si>
    <t>Verificar se o lucro bruto foi calculado corretamente, considerando as receitas e custos dos produtos vendidos.</t>
  </si>
  <si>
    <t>Teste de cálculo do lucro bruto, revisão de documentos de suporte, confirmação com fornecedores.</t>
  </si>
  <si>
    <t>Despesas Gerais e Administrativas</t>
  </si>
  <si>
    <t>Verificar se as despesas gerais e administrativas registradas existem e foram incorridas no período, se estão completas e precisas, e se foram reconhecidas no período correto.</t>
  </si>
  <si>
    <t>Revisão de documentos de suporte, confirmação com fornecedores, avaliação das políticas e práticas contábeis aplicadas pela empresa para reconhecimento de despesas gerais e administrativas, teste de amostras de transações de despesas gerais e administrativas.</t>
  </si>
  <si>
    <t>Lucro Operacional</t>
  </si>
  <si>
    <t>Verificar se o lucro operacional foi calculado corretamente, considerando as receitas, custos e despesas operacionais.</t>
  </si>
  <si>
    <t>Teste de cálculo do lucro operacional, revisão de documentos de suporte, confirmação com fornecedores.</t>
  </si>
  <si>
    <t>Outras Receitas Operacionais</t>
  </si>
  <si>
    <t>Verificar se outras receitas operacionais registradas existem e foram efetuadas durante o período, se foram realizadas corretamente, se estão completas, precisas e refletem os valores corretos e se a empresa tem direitos e obrigações relacionados à receita.</t>
  </si>
  <si>
    <t>Revisão de contratos e acordos, confirmação com clientes, análise das políticas e práticas contábeis aplicadas pela empresa para reconhecimento de outras receitas operacionais, teste de amostras de transações de outras receitas operacionais.</t>
  </si>
  <si>
    <t>Despesas com Depreciação e Amortização</t>
  </si>
  <si>
    <t>Verificar se as despesas com depreciação e amortização registradas existem e foram incorridas no período, se estão completas e precisas, e se foram reconhecidas no período correto.</t>
  </si>
  <si>
    <t>Revisão de documentos de suporte, confirmação com fornecedores, avaliação das políticas e práticas contábeis aplicadas pela empresa para reconhecimento de despesas com depreciação e amortização, teste de amostras de transações de despesas com depreciação e amortização.</t>
  </si>
  <si>
    <t>Resultados Financeiros</t>
  </si>
  <si>
    <t>Existência, Exatidão, Valoração</t>
  </si>
  <si>
    <t>Verificar se os resultados financeiros registrados existem, se foram valorados corretamente e se estão apresentados de forma adequada nas demonstrações contábeis.</t>
  </si>
  <si>
    <t>Revisão de documentos de suporte, confirmação com instituições financeiras, avaliação das políticas e práticas contábeis aplicadas pela empresa para reconhecimento de resultados financeiros, teste de amostras de transações financeiras.</t>
  </si>
  <si>
    <t>Verificar se o lucro operacional foi calculado corretamente, se as despesas operacionais foram reconhecidas no período correto e se foram alocadas adequadamente.</t>
  </si>
  <si>
    <t>Teste de amostras de despesas operacionais, confirmação de saldos de contas a pagar, revisão de alocações contábeis.</t>
  </si>
  <si>
    <t>Lucro Líquido</t>
  </si>
  <si>
    <t>Verificar se o lucro líquido foi calculado corretamente, se as despesas e receitas foram reconhecidas no período correto, e se as deduções fiscais foram aplicadas adequadamente.</t>
  </si>
  <si>
    <t>Revisão de cálculos contábeis, confirmação de saldos de contas de impostos a pagar e a receber, teste de amostras de transações contábeis.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</si>
</sst>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R$&quot;\ * #,##0.00_-;\-&quot;R$&quot;\ * #,##0.00_-;_-&quot;R$&quot;\ * &quot;-&quot;??_-;_-@_-"/>
    <numFmt numFmtId="43" formatCode="_-* #,##0.00_-;\-* #,##0.00_-;_-* &quot;-&quot;??_-;_-@_-"/>
    <numFmt numFmtId="164" formatCode="_-&quot;R$&quot;* #,##0.00_-;\-&quot;R$&quot;* #,##0.00_-;_-&quot;R$&quot;* &quot;-&quot;??_-;_-@_-"/>
    <numFmt numFmtId="165" formatCode="[$R$ -416]#,##0.00"/>
    <numFmt numFmtId="166" formatCode="&quot;R$&quot;#,##0.00"/>
    <numFmt numFmtId="167" formatCode="0.000%"/>
    <numFmt numFmtId="168" formatCode="_-&quot;R$&quot;* #,##0.0000_-;\-&quot;R$&quot;* #,##0.0000_-;_-&quot;R$&quot;* &quot;-&quot;??_-;_-@_-"/>
    <numFmt numFmtId="169" formatCode="0.0%"/>
  </numFmts>
  <fonts count="92"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sz val="8"/>
      <color rgb="FF000000"/>
      <name val="Times New Roman"/>
      <family val="1"/>
    </font>
    <font>
      <sz val="11"/>
      <name val="Arial"/>
      <family val="2"/>
    </font>
    <font>
      <b/>
      <sz val="8"/>
      <color rgb="FF333333"/>
      <name val="Georgia"/>
      <family val="1"/>
    </font>
    <font>
      <sz val="8"/>
      <color rgb="FF333333"/>
      <name val="Georgia"/>
      <family val="1"/>
    </font>
    <font>
      <b/>
      <sz val="18"/>
      <color rgb="FF144B9B"/>
      <name val="Georgia"/>
      <family val="1"/>
    </font>
    <font>
      <b/>
      <sz val="13"/>
      <color rgb="FF144B9B"/>
      <name val="Georgia"/>
      <family val="1"/>
    </font>
    <font>
      <b/>
      <sz val="11"/>
      <color theme="0"/>
      <name val="Calibri"/>
      <family val="2"/>
    </font>
    <font>
      <sz val="11"/>
      <color theme="1"/>
      <name val="Times New Roman"/>
      <family val="1"/>
    </font>
    <font>
      <b/>
      <sz val="11"/>
      <color theme="1"/>
      <name val="Times New Roman"/>
      <family val="1"/>
    </font>
    <font>
      <sz val="11"/>
      <color rgb="FF000000"/>
      <name val="Times New Roman"/>
      <family val="1"/>
    </font>
    <font>
      <b/>
      <sz val="11"/>
      <color rgb="FF000000"/>
      <name val="Times New Roman"/>
      <family val="1"/>
    </font>
    <font>
      <b/>
      <sz val="14"/>
      <color rgb="FF5B9BD5"/>
      <name val="Calibri"/>
      <family val="2"/>
    </font>
    <font>
      <b/>
      <sz val="10"/>
      <color rgb="FF000000"/>
      <name val="Times New Roman"/>
      <family val="1"/>
    </font>
    <font>
      <sz val="11"/>
      <color rgb="FFC00000"/>
      <name val="Arial"/>
      <family val="2"/>
    </font>
    <font>
      <b/>
      <sz val="11"/>
      <color theme="1"/>
      <name val="Calibri"/>
      <family val="2"/>
    </font>
    <font>
      <b/>
      <sz val="12"/>
      <color theme="1"/>
      <name val="Times New Roman"/>
      <family val="1"/>
    </font>
    <font>
      <b/>
      <sz val="12"/>
      <color rgb="FF000000"/>
      <name val="Times New Roman"/>
      <family val="1"/>
    </font>
    <font>
      <sz val="12"/>
      <color theme="1"/>
      <name val="Times New Roman"/>
      <family val="1"/>
    </font>
    <font>
      <b/>
      <sz val="12"/>
      <color rgb="FFC00000"/>
      <name val="Times New Roman"/>
      <family val="1"/>
    </font>
    <font>
      <sz val="12"/>
      <color rgb="FF000000"/>
      <name val="Times New Roman"/>
      <family val="1"/>
    </font>
    <font>
      <b/>
      <sz val="11"/>
      <color rgb="FF000000"/>
      <name val="Calibri"/>
      <family val="2"/>
    </font>
    <font>
      <sz val="11"/>
      <color rgb="FF000000"/>
      <name val="Calibri"/>
      <family val="2"/>
    </font>
    <font>
      <b/>
      <sz val="14"/>
      <color rgb="FF002060"/>
      <name val="Times New Roman"/>
      <family val="1"/>
    </font>
    <font>
      <sz val="12"/>
      <color rgb="FF002060"/>
      <name val="Times New Roman"/>
      <family val="1"/>
    </font>
    <font>
      <b/>
      <sz val="12"/>
      <color rgb="FF002060"/>
      <name val="Times New Roman"/>
      <family val="1"/>
    </font>
    <font>
      <sz val="8"/>
      <color theme="1"/>
      <name val="Times New Roman"/>
      <family val="1"/>
    </font>
    <font>
      <b/>
      <sz val="16"/>
      <color rgb="FF002060"/>
      <name val="Times New Roman"/>
      <family val="1"/>
    </font>
    <font>
      <b/>
      <sz val="11"/>
      <color theme="1"/>
      <name val="Arial"/>
      <family val="2"/>
    </font>
    <font>
      <b/>
      <sz val="11"/>
      <color rgb="FFC00000"/>
      <name val="Times New Roman"/>
      <family val="1"/>
    </font>
    <font>
      <u/>
      <sz val="11"/>
      <color theme="10"/>
      <name val="Arial"/>
      <family val="2"/>
    </font>
    <font>
      <sz val="10"/>
      <color rgb="FF000000"/>
      <name val="Times New Roman"/>
      <family val="1"/>
    </font>
    <font>
      <u/>
      <sz val="11"/>
      <color theme="10"/>
      <name val="Arial"/>
      <family val="2"/>
    </font>
    <font>
      <sz val="10"/>
      <color theme="1"/>
      <name val="Times New Roman"/>
      <family val="1"/>
    </font>
    <font>
      <sz val="11"/>
      <color theme="0"/>
      <name val="Calibri"/>
      <family val="2"/>
    </font>
    <font>
      <sz val="8"/>
      <color rgb="FF002060"/>
      <name val="Calibri"/>
      <family val="2"/>
    </font>
    <font>
      <i/>
      <sz val="11"/>
      <color theme="1"/>
      <name val="Calibri"/>
      <family val="2"/>
    </font>
    <font>
      <b/>
      <sz val="11"/>
      <color theme="1"/>
      <name val="Calibri"/>
      <family val="2"/>
      <scheme val="minor"/>
    </font>
    <font>
      <sz val="11"/>
      <color theme="1"/>
      <name val="Arial"/>
      <family val="2"/>
    </font>
    <font>
      <sz val="8"/>
      <name val="Arial"/>
      <family val="2"/>
    </font>
    <font>
      <b/>
      <sz val="11"/>
      <color theme="1"/>
      <name val="Times New Roman"/>
      <family val="1"/>
    </font>
    <font>
      <b/>
      <sz val="11"/>
      <color rgb="FFFF0000"/>
      <name val="Webdings"/>
      <family val="1"/>
      <charset val="2"/>
    </font>
    <font>
      <sz val="11"/>
      <color theme="1"/>
      <name val="Times New Roman"/>
      <family val="1"/>
    </font>
    <font>
      <sz val="11"/>
      <color rgb="FF000000"/>
      <name val="Times New Roman"/>
      <family val="1"/>
    </font>
    <font>
      <sz val="8"/>
      <color rgb="FF333333"/>
      <name val="Georgia"/>
      <family val="1"/>
    </font>
    <font>
      <sz val="10"/>
      <color rgb="FFFFFFFF"/>
      <name val="Calibri Light"/>
      <family val="2"/>
    </font>
    <font>
      <sz val="11"/>
      <name val="Calibri"/>
      <family val="2"/>
    </font>
    <font>
      <b/>
      <sz val="11"/>
      <name val="Calibri"/>
      <family val="2"/>
    </font>
    <font>
      <b/>
      <sz val="11"/>
      <color rgb="FFFF0000"/>
      <name val="Calibri"/>
      <family val="2"/>
      <scheme val="minor"/>
    </font>
    <font>
      <sz val="10"/>
      <name val="Arial"/>
      <family val="2"/>
    </font>
    <font>
      <b/>
      <sz val="11"/>
      <color theme="1"/>
      <name val="Webdings"/>
      <family val="1"/>
      <charset val="2"/>
    </font>
    <font>
      <sz val="11"/>
      <color theme="1"/>
      <name val="Arial"/>
      <family val="2"/>
    </font>
    <font>
      <b/>
      <sz val="11"/>
      <color rgb="FFFF0000"/>
      <name val="Calibri"/>
      <family val="2"/>
      <scheme val="major"/>
    </font>
    <font>
      <sz val="11"/>
      <name val="Calibri"/>
      <family val="2"/>
      <scheme val="major"/>
    </font>
    <font>
      <sz val="10"/>
      <color indexed="8"/>
      <name val="MS Sans Serif"/>
    </font>
    <font>
      <sz val="8"/>
      <name val="Arial"/>
      <family val="2"/>
    </font>
    <font>
      <b/>
      <sz val="11"/>
      <name val="Times New Roman"/>
      <family val="1"/>
    </font>
    <font>
      <b/>
      <sz val="12"/>
      <name val="Times New Roman"/>
      <family val="1"/>
    </font>
    <font>
      <sz val="11"/>
      <name val="Calibri"/>
      <family val="2"/>
      <scheme val="minor"/>
    </font>
    <font>
      <sz val="11"/>
      <color theme="1"/>
      <name val="Arial"/>
      <family val="2"/>
    </font>
    <font>
      <sz val="11"/>
      <color theme="0"/>
      <name val="Arial"/>
      <family val="2"/>
    </font>
    <font>
      <b/>
      <sz val="11"/>
      <color theme="0"/>
      <name val="Arial"/>
      <family val="2"/>
    </font>
    <font>
      <sz val="11"/>
      <color indexed="8"/>
      <name val="Calibri"/>
      <family val="2"/>
      <scheme val="minor"/>
    </font>
    <font>
      <b/>
      <u/>
      <sz val="11"/>
      <name val="Arial"/>
      <family val="2"/>
    </font>
    <font>
      <sz val="11"/>
      <name val="Times New Roman"/>
      <family val="1"/>
    </font>
    <font>
      <b/>
      <sz val="11"/>
      <color rgb="FFFF0000"/>
      <name val="Arial"/>
      <family val="2"/>
    </font>
    <font>
      <b/>
      <sz val="11"/>
      <color theme="0"/>
      <name val="Calibri"/>
      <family val="2"/>
      <scheme val="minor"/>
    </font>
    <font>
      <sz val="11"/>
      <color theme="3"/>
      <name val="Arial"/>
      <family val="2"/>
    </font>
    <font>
      <b/>
      <sz val="11"/>
      <name val="Arial"/>
      <family val="2"/>
    </font>
    <font>
      <b/>
      <sz val="12"/>
      <color rgb="FF273A77"/>
      <name val="Times New Roman"/>
      <family val="1"/>
    </font>
    <font>
      <b/>
      <sz val="8"/>
      <color rgb="FF000000"/>
      <name val="Times New Roman"/>
      <family val="1"/>
    </font>
    <font>
      <b/>
      <sz val="9"/>
      <color indexed="81"/>
      <name val="Segoe UI"/>
      <family val="2"/>
    </font>
    <font>
      <sz val="9"/>
      <color indexed="81"/>
      <name val="Segoe UI"/>
      <family val="2"/>
    </font>
    <font>
      <b/>
      <sz val="12"/>
      <color theme="0"/>
      <name val="Times New Roman"/>
      <family val="1"/>
    </font>
    <font>
      <b/>
      <sz val="11"/>
      <color rgb="FF1F497D"/>
      <name val="Times New Roman"/>
      <family val="1"/>
    </font>
    <font>
      <b/>
      <sz val="11"/>
      <name val="Times"/>
      <family val="1"/>
    </font>
    <font>
      <i/>
      <sz val="11"/>
      <name val="Times New Roman"/>
      <family val="1"/>
    </font>
    <font>
      <b/>
      <sz val="11"/>
      <color theme="1"/>
      <name val="Calibri"/>
      <family val="2"/>
      <scheme val="major"/>
    </font>
    <font>
      <sz val="11"/>
      <color theme="1"/>
      <name val="Calibri"/>
      <family val="2"/>
      <scheme val="major"/>
    </font>
    <font>
      <b/>
      <sz val="11"/>
      <name val="Calibri"/>
      <family val="2"/>
      <scheme val="major"/>
    </font>
    <font>
      <sz val="9.6"/>
      <color rgb="FF374151"/>
      <name val="Segoe UI"/>
      <family val="2"/>
    </font>
  </fonts>
  <fills count="32">
    <fill>
      <patternFill patternType="none"/>
    </fill>
    <fill>
      <patternFill patternType="gray125"/>
    </fill>
    <fill>
      <patternFill patternType="solid">
        <fgColor rgb="FFD8D8D8"/>
        <bgColor rgb="FFD8D8D8"/>
      </patternFill>
    </fill>
    <fill>
      <patternFill patternType="solid">
        <fgColor rgb="FF92D050"/>
        <bgColor rgb="FF92D050"/>
      </patternFill>
    </fill>
    <fill>
      <patternFill patternType="solid">
        <fgColor rgb="FFFFFF00"/>
        <bgColor rgb="FFFFFF00"/>
      </patternFill>
    </fill>
    <fill>
      <patternFill patternType="solid">
        <fgColor rgb="FFFF0000"/>
        <bgColor rgb="FFFF0000"/>
      </patternFill>
    </fill>
    <fill>
      <patternFill patternType="solid">
        <fgColor rgb="FF002060"/>
        <bgColor rgb="FF002060"/>
      </patternFill>
    </fill>
    <fill>
      <patternFill patternType="solid">
        <fgColor rgb="FFDEEAF6"/>
        <bgColor rgb="FFDEEAF6"/>
      </patternFill>
    </fill>
    <fill>
      <patternFill patternType="solid">
        <fgColor theme="1"/>
        <bgColor theme="1"/>
      </patternFill>
    </fill>
    <fill>
      <patternFill patternType="solid">
        <fgColor theme="0"/>
        <bgColor theme="0"/>
      </patternFill>
    </fill>
    <fill>
      <patternFill patternType="solid">
        <fgColor rgb="FFFFFFFF"/>
        <bgColor rgb="FFFFFFFF"/>
      </patternFill>
    </fill>
    <fill>
      <patternFill patternType="solid">
        <fgColor rgb="FFD9E2F3"/>
        <bgColor rgb="FFD9E2F3"/>
      </patternFill>
    </fill>
    <fill>
      <patternFill patternType="solid">
        <fgColor rgb="FFF2F2F2"/>
        <bgColor rgb="FFF2F2F2"/>
      </patternFill>
    </fill>
    <fill>
      <patternFill patternType="solid">
        <fgColor rgb="FFFF0000"/>
        <bgColor indexed="64"/>
      </patternFill>
    </fill>
    <fill>
      <patternFill patternType="solid">
        <fgColor theme="0"/>
        <bgColor rgb="FFFFFF00"/>
      </patternFill>
    </fill>
    <fill>
      <patternFill patternType="solid">
        <fgColor theme="0" tint="-4.9989318521683403E-2"/>
        <bgColor indexed="64"/>
      </patternFill>
    </fill>
    <fill>
      <patternFill patternType="solid">
        <fgColor theme="0" tint="-4.9989318521683403E-2"/>
        <bgColor rgb="FFFFFFFF"/>
      </patternFill>
    </fill>
    <fill>
      <patternFill patternType="solid">
        <fgColor theme="0" tint="-4.9989318521683403E-2"/>
        <bgColor rgb="FFD8D8D8"/>
      </patternFill>
    </fill>
    <fill>
      <patternFill patternType="solid">
        <fgColor rgb="FFF1EEAD"/>
        <bgColor rgb="FFFF0000"/>
      </patternFill>
    </fill>
    <fill>
      <patternFill patternType="solid">
        <fgColor theme="0" tint="-4.9989318521683403E-2"/>
        <bgColor rgb="FFD9E2F3"/>
      </patternFill>
    </fill>
    <fill>
      <patternFill patternType="solid">
        <fgColor rgb="FF273A77"/>
        <bgColor indexed="64"/>
      </patternFill>
    </fill>
    <fill>
      <patternFill patternType="solid">
        <fgColor rgb="FF273A77"/>
        <bgColor rgb="FF002060"/>
      </patternFill>
    </fill>
    <fill>
      <patternFill patternType="solid">
        <fgColor rgb="FFE7DC9D"/>
        <bgColor indexed="64"/>
      </patternFill>
    </fill>
    <fill>
      <patternFill patternType="solid">
        <fgColor rgb="FF273A77"/>
        <bgColor rgb="FFBFBFBF"/>
      </patternFill>
    </fill>
    <fill>
      <patternFill patternType="solid">
        <fgColor rgb="FFD0D8F0"/>
        <bgColor rgb="FFD9E2F3"/>
      </patternFill>
    </fill>
    <fill>
      <patternFill patternType="solid">
        <fgColor rgb="FFD0D8F0"/>
        <bgColor rgb="FFDEEAF6"/>
      </patternFill>
    </fill>
    <fill>
      <patternFill patternType="solid">
        <fgColor rgb="FFD0D8F0"/>
        <bgColor indexed="64"/>
      </patternFill>
    </fill>
    <fill>
      <patternFill patternType="solid">
        <fgColor rgb="FFE7DC9D"/>
        <bgColor rgb="FFFFFF00"/>
      </patternFill>
    </fill>
    <fill>
      <patternFill patternType="solid">
        <fgColor theme="0" tint="-4.9989318521683403E-2"/>
        <bgColor rgb="FFDEEAF6"/>
      </patternFill>
    </fill>
    <fill>
      <patternFill patternType="solid">
        <fgColor theme="7" tint="0.79998168889431442"/>
        <bgColor indexed="64"/>
      </patternFill>
    </fill>
    <fill>
      <patternFill patternType="solid">
        <fgColor rgb="FFB3DB83"/>
        <bgColor indexed="64"/>
      </patternFill>
    </fill>
    <fill>
      <patternFill patternType="solid">
        <fgColor rgb="FFF7F7F8"/>
        <bgColor indexed="64"/>
      </patternFill>
    </fill>
  </fills>
  <borders count="11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style="medium">
        <color rgb="FFA8D08D"/>
      </bottom>
      <diagonal/>
    </border>
    <border>
      <left style="thick">
        <color rgb="FF000000"/>
      </left>
      <right style="medium">
        <color rgb="FF000000"/>
      </right>
      <top style="thick">
        <color rgb="FF000000"/>
      </top>
      <bottom style="thick">
        <color rgb="FF000000"/>
      </bottom>
      <diagonal/>
    </border>
    <border>
      <left/>
      <right style="medium">
        <color rgb="FF000000"/>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medium">
        <color rgb="FF000000"/>
      </right>
      <top style="medium">
        <color rgb="FF000000"/>
      </top>
      <bottom style="thick">
        <color rgb="FF000000"/>
      </bottom>
      <diagonal/>
    </border>
    <border>
      <left/>
      <right style="medium">
        <color rgb="FF000000"/>
      </right>
      <top style="medium">
        <color rgb="FF000000"/>
      </top>
      <bottom style="thick">
        <color rgb="FF000000"/>
      </bottom>
      <diagonal/>
    </border>
    <border>
      <left/>
      <right/>
      <top/>
      <bottom style="medium">
        <color rgb="FFA8D08D"/>
      </bottom>
      <diagonal/>
    </border>
    <border>
      <left/>
      <right style="medium">
        <color rgb="FF000000"/>
      </right>
      <top style="thick">
        <color rgb="FF000000"/>
      </top>
      <bottom style="medium">
        <color rgb="FF000000"/>
      </bottom>
      <diagonal/>
    </border>
    <border>
      <left/>
      <right/>
      <top/>
      <bottom style="thick">
        <color rgb="FFA8D08D"/>
      </bottom>
      <diagonal/>
    </border>
    <border>
      <left/>
      <right style="medium">
        <color rgb="FFA8D08D"/>
      </right>
      <top/>
      <bottom style="medium">
        <color rgb="FFA8D08D"/>
      </bottom>
      <diagonal/>
    </border>
    <border>
      <left/>
      <right style="medium">
        <color rgb="FFA8D08D"/>
      </right>
      <top/>
      <bottom style="medium">
        <color rgb="FFA8D08D"/>
      </bottom>
      <diagonal/>
    </border>
    <border>
      <left/>
      <right style="medium">
        <color rgb="FFA8D08D"/>
      </right>
      <top style="medium">
        <color rgb="FFA8D08D"/>
      </top>
      <bottom/>
      <diagonal/>
    </border>
    <border>
      <left/>
      <right style="medium">
        <color rgb="FFA8D08D"/>
      </right>
      <top style="medium">
        <color rgb="FFA8D08D"/>
      </top>
      <bottom/>
      <diagonal/>
    </border>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theme="1"/>
      </left>
      <right style="thin">
        <color theme="1"/>
      </right>
      <top style="thin">
        <color theme="1"/>
      </top>
      <bottom style="thin">
        <color theme="1"/>
      </bottom>
      <diagonal/>
    </border>
    <border>
      <left style="hair">
        <color rgb="FF316886"/>
      </left>
      <right style="hair">
        <color theme="1"/>
      </right>
      <top style="hair">
        <color theme="1"/>
      </top>
      <bottom style="hair">
        <color rgb="FF316886"/>
      </bottom>
      <diagonal/>
    </border>
    <border>
      <left style="hair">
        <color rgb="FF316886"/>
      </left>
      <right style="hair">
        <color theme="1"/>
      </right>
      <top style="hair">
        <color rgb="FF316886"/>
      </top>
      <bottom style="hair">
        <color rgb="FF316886"/>
      </bottom>
      <diagonal/>
    </border>
    <border>
      <left style="hair">
        <color rgb="FF316886"/>
      </left>
      <right style="hair">
        <color theme="1"/>
      </right>
      <top style="hair">
        <color rgb="FF316886"/>
      </top>
      <bottom style="hair">
        <color theme="1"/>
      </bottom>
      <diagonal/>
    </border>
    <border>
      <left/>
      <right style="thin">
        <color indexed="64"/>
      </right>
      <top style="dotted">
        <color indexed="64"/>
      </top>
      <bottom style="dotted">
        <color indexed="64"/>
      </bottom>
      <diagonal/>
    </border>
    <border>
      <left/>
      <right style="thin">
        <color indexed="64"/>
      </right>
      <top style="dotted">
        <color indexed="64"/>
      </top>
      <bottom/>
      <diagonal/>
    </border>
    <border>
      <left/>
      <right style="thin">
        <color indexed="64"/>
      </right>
      <top style="dotted">
        <color indexed="64"/>
      </top>
      <bottom style="medium">
        <color indexed="64"/>
      </bottom>
      <diagonal/>
    </border>
    <border>
      <left style="medium">
        <color indexed="64"/>
      </left>
      <right style="thin">
        <color indexed="64"/>
      </right>
      <top style="medium">
        <color indexed="64"/>
      </top>
      <bottom/>
      <diagonal/>
    </border>
    <border>
      <left style="thin">
        <color indexed="64"/>
      </left>
      <right/>
      <top style="dotted">
        <color indexed="64"/>
      </top>
      <bottom style="medium">
        <color theme="1"/>
      </bottom>
      <diagonal/>
    </border>
    <border>
      <left style="hair">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hair">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style="medium">
        <color rgb="FF000000"/>
      </left>
      <right/>
      <top style="hair">
        <color rgb="FF000000"/>
      </top>
      <bottom style="hair">
        <color rgb="FF000000"/>
      </bottom>
      <diagonal/>
    </border>
    <border>
      <left/>
      <right/>
      <top style="hair">
        <color rgb="FF000000"/>
      </top>
      <bottom style="hair">
        <color rgb="FF000000"/>
      </bottom>
      <diagonal/>
    </border>
    <border>
      <left/>
      <right style="medium">
        <color rgb="FF000000"/>
      </right>
      <top style="hair">
        <color rgb="FF000000"/>
      </top>
      <bottom style="hair">
        <color rgb="FF000000"/>
      </bottom>
      <diagonal/>
    </border>
    <border>
      <left style="thin">
        <color theme="1"/>
      </left>
      <right/>
      <top style="hair">
        <color rgb="FF000000"/>
      </top>
      <bottom style="hair">
        <color rgb="FF000000"/>
      </bottom>
      <diagonal/>
    </border>
    <border>
      <left style="medium">
        <color rgb="FF000000"/>
      </left>
      <right style="thin">
        <color indexed="64"/>
      </right>
      <top style="medium">
        <color rgb="FF000000"/>
      </top>
      <bottom style="hair">
        <color rgb="FF000000"/>
      </bottom>
      <diagonal/>
    </border>
    <border>
      <left/>
      <right style="thin">
        <color rgb="FF000000"/>
      </right>
      <top style="medium">
        <color rgb="FF000000"/>
      </top>
      <bottom style="hair">
        <color rgb="FF000000"/>
      </bottom>
      <diagonal/>
    </border>
    <border>
      <left style="medium">
        <color rgb="FF000000"/>
      </left>
      <right style="thin">
        <color indexed="64"/>
      </right>
      <top style="hair">
        <color rgb="FF000000"/>
      </top>
      <bottom style="hair">
        <color rgb="FF000000"/>
      </bottom>
      <diagonal/>
    </border>
    <border>
      <left style="medium">
        <color rgb="FF316886"/>
      </left>
      <right/>
      <top style="medium">
        <color rgb="FF316886"/>
      </top>
      <bottom/>
      <diagonal/>
    </border>
    <border>
      <left/>
      <right/>
      <top style="medium">
        <color rgb="FF316886"/>
      </top>
      <bottom/>
      <diagonal/>
    </border>
    <border>
      <left/>
      <right style="medium">
        <color rgb="FF316886"/>
      </right>
      <top style="medium">
        <color rgb="FF316886"/>
      </top>
      <bottom/>
      <diagonal/>
    </border>
    <border>
      <left style="medium">
        <color rgb="FF316886"/>
      </left>
      <right/>
      <top/>
      <bottom/>
      <diagonal/>
    </border>
    <border>
      <left/>
      <right style="medium">
        <color rgb="FF316886"/>
      </right>
      <top/>
      <bottom/>
      <diagonal/>
    </border>
    <border>
      <left/>
      <right/>
      <top/>
      <bottom style="medium">
        <color rgb="FF316886"/>
      </bottom>
      <diagonal/>
    </border>
    <border>
      <left style="medium">
        <color rgb="FF273A77"/>
      </left>
      <right style="hair">
        <color rgb="FF273A77"/>
      </right>
      <top style="medium">
        <color rgb="FF273A77"/>
      </top>
      <bottom style="hair">
        <color rgb="FF273A77"/>
      </bottom>
      <diagonal/>
    </border>
    <border>
      <left style="hair">
        <color rgb="FF273A77"/>
      </left>
      <right style="hair">
        <color rgb="FF273A77"/>
      </right>
      <top style="medium">
        <color rgb="FF273A77"/>
      </top>
      <bottom style="hair">
        <color rgb="FF273A77"/>
      </bottom>
      <diagonal/>
    </border>
    <border>
      <left style="hair">
        <color rgb="FF273A77"/>
      </left>
      <right style="medium">
        <color rgb="FF273A77"/>
      </right>
      <top style="medium">
        <color rgb="FF273A77"/>
      </top>
      <bottom style="hair">
        <color rgb="FF273A77"/>
      </bottom>
      <diagonal/>
    </border>
    <border>
      <left style="medium">
        <color rgb="FF273A77"/>
      </left>
      <right style="hair">
        <color rgb="FF273A77"/>
      </right>
      <top style="hair">
        <color rgb="FF273A77"/>
      </top>
      <bottom style="hair">
        <color rgb="FF273A77"/>
      </bottom>
      <diagonal/>
    </border>
    <border>
      <left style="hair">
        <color rgb="FF273A77"/>
      </left>
      <right style="hair">
        <color rgb="FF273A77"/>
      </right>
      <top style="hair">
        <color rgb="FF273A77"/>
      </top>
      <bottom style="hair">
        <color rgb="FF273A77"/>
      </bottom>
      <diagonal/>
    </border>
    <border>
      <left style="hair">
        <color rgb="FF273A77"/>
      </left>
      <right style="medium">
        <color rgb="FF273A77"/>
      </right>
      <top style="hair">
        <color rgb="FF273A77"/>
      </top>
      <bottom style="hair">
        <color rgb="FF273A77"/>
      </bottom>
      <diagonal/>
    </border>
    <border>
      <left style="hair">
        <color rgb="FF273A77"/>
      </left>
      <right style="hair">
        <color rgb="FF273A77"/>
      </right>
      <top style="hair">
        <color rgb="FF273A77"/>
      </top>
      <bottom style="medium">
        <color rgb="FF273A77"/>
      </bottom>
      <diagonal/>
    </border>
    <border>
      <left style="hair">
        <color rgb="FF273A77"/>
      </left>
      <right style="medium">
        <color rgb="FF273A77"/>
      </right>
      <top style="hair">
        <color rgb="FF273A77"/>
      </top>
      <bottom style="medium">
        <color rgb="FF273A77"/>
      </bottom>
      <diagonal/>
    </border>
    <border>
      <left style="medium">
        <color rgb="FF273A77"/>
      </left>
      <right/>
      <top style="medium">
        <color rgb="FF273A77"/>
      </top>
      <bottom style="hair">
        <color rgb="FF273A77"/>
      </bottom>
      <diagonal/>
    </border>
    <border>
      <left/>
      <right/>
      <top style="medium">
        <color rgb="FF273A77"/>
      </top>
      <bottom style="hair">
        <color rgb="FF273A77"/>
      </bottom>
      <diagonal/>
    </border>
    <border>
      <left/>
      <right style="medium">
        <color rgb="FF273A77"/>
      </right>
      <top style="medium">
        <color rgb="FF273A77"/>
      </top>
      <bottom style="hair">
        <color rgb="FF273A77"/>
      </bottom>
      <diagonal/>
    </border>
    <border>
      <left style="medium">
        <color rgb="FF273A77"/>
      </left>
      <right/>
      <top style="hair">
        <color rgb="FF273A77"/>
      </top>
      <bottom style="hair">
        <color rgb="FF273A77"/>
      </bottom>
      <diagonal/>
    </border>
    <border>
      <left/>
      <right/>
      <top style="hair">
        <color rgb="FF273A77"/>
      </top>
      <bottom style="hair">
        <color rgb="FF273A77"/>
      </bottom>
      <diagonal/>
    </border>
    <border>
      <left/>
      <right style="medium">
        <color rgb="FF273A77"/>
      </right>
      <top style="hair">
        <color rgb="FF273A77"/>
      </top>
      <bottom style="hair">
        <color rgb="FF273A77"/>
      </bottom>
      <diagonal/>
    </border>
    <border>
      <left style="medium">
        <color rgb="FF273A77"/>
      </left>
      <right/>
      <top style="hair">
        <color rgb="FF273A77"/>
      </top>
      <bottom style="medium">
        <color rgb="FF273A77"/>
      </bottom>
      <diagonal/>
    </border>
    <border>
      <left/>
      <right/>
      <top style="hair">
        <color rgb="FF273A77"/>
      </top>
      <bottom style="medium">
        <color rgb="FF273A77"/>
      </bottom>
      <diagonal/>
    </border>
    <border>
      <left/>
      <right style="medium">
        <color rgb="FF273A77"/>
      </right>
      <top style="hair">
        <color rgb="FF273A77"/>
      </top>
      <bottom style="medium">
        <color rgb="FF273A77"/>
      </bottom>
      <diagonal/>
    </border>
    <border>
      <left style="thin">
        <color indexed="64"/>
      </left>
      <right/>
      <top style="dotted">
        <color indexed="64"/>
      </top>
      <bottom/>
      <diagonal/>
    </border>
    <border>
      <left style="hair">
        <color indexed="64"/>
      </left>
      <right/>
      <top style="hair">
        <color indexed="64"/>
      </top>
      <bottom/>
      <diagonal/>
    </border>
    <border>
      <left/>
      <right/>
      <top style="hair">
        <color indexed="64"/>
      </top>
      <bottom/>
      <diagonal/>
    </border>
    <border>
      <left/>
      <right style="medium">
        <color indexed="64"/>
      </right>
      <top style="hair">
        <color indexed="64"/>
      </top>
      <bottom/>
      <diagonal/>
    </border>
    <border>
      <left style="hair">
        <color auto="1"/>
      </left>
      <right style="hair">
        <color auto="1"/>
      </right>
      <top/>
      <bottom style="thin">
        <color auto="1"/>
      </bottom>
      <diagonal/>
    </border>
    <border>
      <left style="hair">
        <color auto="1"/>
      </left>
      <right style="hair">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rgb="FF273A77"/>
      </left>
      <right style="hair">
        <color rgb="FF273A77"/>
      </right>
      <top/>
      <bottom style="medium">
        <color rgb="FF273A77"/>
      </bottom>
      <diagonal/>
    </border>
    <border>
      <left style="hair">
        <color rgb="FF273A77"/>
      </left>
      <right style="hair">
        <color rgb="FF273A77"/>
      </right>
      <top/>
      <bottom style="medium">
        <color rgb="FF273A77"/>
      </bottom>
      <diagonal/>
    </border>
    <border>
      <left/>
      <right style="hair">
        <color rgb="FF273A77"/>
      </right>
      <top style="medium">
        <color rgb="FF273A77"/>
      </top>
      <bottom style="hair">
        <color rgb="FF273A77"/>
      </bottom>
      <diagonal/>
    </border>
    <border>
      <left/>
      <right style="hair">
        <color rgb="FF273A77"/>
      </right>
      <top style="hair">
        <color rgb="FF273A77"/>
      </top>
      <bottom style="hair">
        <color rgb="FF273A77"/>
      </bottom>
      <diagonal/>
    </border>
    <border>
      <left style="medium">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diagonal/>
    </border>
    <border>
      <left style="medium">
        <color indexed="64"/>
      </left>
      <right style="thin">
        <color indexed="64"/>
      </right>
      <top style="dotted">
        <color indexed="64"/>
      </top>
      <bottom/>
      <diagonal/>
    </border>
    <border>
      <left/>
      <right style="hair">
        <color rgb="FF273A77"/>
      </right>
      <top style="hair">
        <color rgb="FF273A77"/>
      </top>
      <bottom/>
      <diagonal/>
    </border>
    <border>
      <left style="thin">
        <color indexed="64"/>
      </left>
      <right style="medium">
        <color indexed="64"/>
      </right>
      <top style="dotted">
        <color indexed="64"/>
      </top>
      <bottom style="dotted">
        <color indexed="64"/>
      </bottom>
      <diagonal/>
    </border>
    <border>
      <left style="thin">
        <color indexed="64"/>
      </left>
      <right style="medium">
        <color indexed="64"/>
      </right>
      <top style="dotted">
        <color indexed="64"/>
      </top>
      <bottom/>
      <diagonal/>
    </border>
    <border>
      <left style="medium">
        <color rgb="FFD9D9E3"/>
      </left>
      <right/>
      <top/>
      <bottom style="medium">
        <color rgb="FFD9D9E3"/>
      </bottom>
      <diagonal/>
    </border>
    <border>
      <left style="medium">
        <color rgb="FFD9D9E3"/>
      </left>
      <right style="medium">
        <color rgb="FFD9D9E3"/>
      </right>
      <top/>
      <bottom style="medium">
        <color rgb="FFD9D9E3"/>
      </bottom>
      <diagonal/>
    </border>
  </borders>
  <cellStyleXfs count="34">
    <xf numFmtId="0" fontId="0" fillId="0" borderId="0"/>
    <xf numFmtId="0" fontId="9" fillId="0" borderId="18"/>
    <xf numFmtId="0" fontId="8" fillId="0" borderId="18"/>
    <xf numFmtId="0" fontId="7" fillId="0" borderId="18"/>
    <xf numFmtId="0" fontId="6" fillId="0" borderId="18"/>
    <xf numFmtId="0" fontId="62" fillId="0" borderId="18"/>
    <xf numFmtId="0" fontId="49" fillId="0" borderId="18"/>
    <xf numFmtId="9" fontId="49" fillId="0" borderId="18" applyFont="0" applyFill="0" applyBorder="0" applyAlignment="0" applyProtection="0"/>
    <xf numFmtId="0" fontId="5" fillId="0" borderId="18"/>
    <xf numFmtId="0" fontId="65" fillId="0" borderId="18"/>
    <xf numFmtId="0" fontId="41" fillId="0" borderId="0" applyNumberFormat="0" applyFill="0" applyBorder="0" applyAlignment="0" applyProtection="0"/>
    <xf numFmtId="43" fontId="70" fillId="0" borderId="0" applyFont="0" applyFill="0" applyBorder="0" applyAlignment="0" applyProtection="0"/>
    <xf numFmtId="164" fontId="70" fillId="0" borderId="0" applyFont="0" applyFill="0" applyBorder="0" applyAlignment="0" applyProtection="0"/>
    <xf numFmtId="9" fontId="70" fillId="0" borderId="0" applyFont="0" applyFill="0" applyBorder="0" applyAlignment="0" applyProtection="0"/>
    <xf numFmtId="0" fontId="4" fillId="0" borderId="18"/>
    <xf numFmtId="0" fontId="65" fillId="0" borderId="18"/>
    <xf numFmtId="0" fontId="3" fillId="0" borderId="18"/>
    <xf numFmtId="43" fontId="3" fillId="0" borderId="18" applyFont="0" applyFill="0" applyBorder="0" applyAlignment="0" applyProtection="0"/>
    <xf numFmtId="44" fontId="3" fillId="0" borderId="18" applyFont="0" applyFill="0" applyBorder="0" applyAlignment="0" applyProtection="0"/>
    <xf numFmtId="9" fontId="3" fillId="0" borderId="18" applyFont="0" applyFill="0" applyBorder="0" applyAlignment="0" applyProtection="0"/>
    <xf numFmtId="164" fontId="3" fillId="0" borderId="18" applyFont="0" applyFill="0" applyBorder="0" applyAlignment="0" applyProtection="0"/>
    <xf numFmtId="0" fontId="3" fillId="0" borderId="18"/>
    <xf numFmtId="44" fontId="49" fillId="0" borderId="18" applyFont="0" applyFill="0" applyBorder="0" applyAlignment="0" applyProtection="0"/>
    <xf numFmtId="43" fontId="3" fillId="0" borderId="18" applyFont="0" applyFill="0" applyBorder="0" applyAlignment="0" applyProtection="0"/>
    <xf numFmtId="0" fontId="3" fillId="0" borderId="18"/>
    <xf numFmtId="9" fontId="3" fillId="0" borderId="18" applyFont="0" applyFill="0" applyBorder="0" applyAlignment="0" applyProtection="0"/>
    <xf numFmtId="44" fontId="3" fillId="0" borderId="18" applyFont="0" applyFill="0" applyBorder="0" applyAlignment="0" applyProtection="0"/>
    <xf numFmtId="164" fontId="65" fillId="0" borderId="18" applyFont="0" applyFill="0" applyBorder="0" applyAlignment="0" applyProtection="0"/>
    <xf numFmtId="44" fontId="3" fillId="0" borderId="18" applyFont="0" applyFill="0" applyBorder="0" applyAlignment="0" applyProtection="0"/>
    <xf numFmtId="0" fontId="3" fillId="0" borderId="18"/>
    <xf numFmtId="0" fontId="60" fillId="0" borderId="18"/>
    <xf numFmtId="0" fontId="49" fillId="0" borderId="18"/>
    <xf numFmtId="164" fontId="49" fillId="0" borderId="18" applyFont="0" applyFill="0" applyBorder="0" applyAlignment="0" applyProtection="0"/>
    <xf numFmtId="0" fontId="49" fillId="0" borderId="18"/>
  </cellStyleXfs>
  <cellXfs count="440">
    <xf numFmtId="0" fontId="0" fillId="0" borderId="0" xfId="0"/>
    <xf numFmtId="0" fontId="10" fillId="0" borderId="0" xfId="0" applyFont="1"/>
    <xf numFmtId="0" fontId="11" fillId="2" borderId="1" xfId="0" applyFont="1" applyFill="1" applyBorder="1" applyAlignment="1">
      <alignment horizontal="left" vertical="top" wrapText="1"/>
    </xf>
    <xf numFmtId="0" fontId="11" fillId="0" borderId="1" xfId="0" applyFont="1" applyBorder="1" applyAlignment="1">
      <alignment horizontal="left" vertical="top" wrapText="1"/>
    </xf>
    <xf numFmtId="0" fontId="14" fillId="0" borderId="0" xfId="0" applyFont="1" applyAlignment="1">
      <alignment vertical="center"/>
    </xf>
    <xf numFmtId="0" fontId="15" fillId="0" borderId="0" xfId="0" applyFont="1" applyAlignment="1">
      <alignment vertical="center"/>
    </xf>
    <xf numFmtId="0" fontId="11" fillId="0" borderId="0" xfId="0" applyFont="1" applyAlignment="1">
      <alignment horizontal="left" vertical="center" wrapText="1"/>
    </xf>
    <xf numFmtId="0" fontId="14" fillId="0" borderId="0" xfId="0" applyFont="1" applyAlignment="1">
      <alignment horizontal="left" vertical="center"/>
    </xf>
    <xf numFmtId="0" fontId="16" fillId="0" borderId="0" xfId="0" applyFont="1" applyAlignment="1">
      <alignment vertical="center"/>
    </xf>
    <xf numFmtId="0" fontId="11" fillId="0" borderId="0" xfId="0" applyFont="1"/>
    <xf numFmtId="0" fontId="17" fillId="0" borderId="0" xfId="0" applyFont="1" applyAlignment="1">
      <alignment vertical="center"/>
    </xf>
    <xf numFmtId="0" fontId="11" fillId="0" borderId="0" xfId="0" applyFont="1" applyAlignment="1">
      <alignment horizontal="left" vertical="center"/>
    </xf>
    <xf numFmtId="0" fontId="15" fillId="0" borderId="0" xfId="0" applyFont="1" applyAlignment="1">
      <alignment horizontal="left" vertical="center"/>
    </xf>
    <xf numFmtId="9" fontId="11" fillId="0" borderId="0" xfId="0" applyNumberFormat="1" applyFont="1"/>
    <xf numFmtId="9" fontId="10" fillId="0" borderId="0" xfId="0" applyNumberFormat="1" applyFont="1"/>
    <xf numFmtId="9" fontId="11" fillId="3" borderId="4" xfId="0" applyNumberFormat="1" applyFont="1" applyFill="1" applyBorder="1"/>
    <xf numFmtId="0" fontId="11" fillId="4" borderId="4" xfId="0" applyFont="1" applyFill="1" applyBorder="1"/>
    <xf numFmtId="0" fontId="11" fillId="5" borderId="4" xfId="0" applyFont="1" applyFill="1" applyBorder="1"/>
    <xf numFmtId="0" fontId="19" fillId="0" borderId="0" xfId="0" applyFont="1" applyAlignment="1">
      <alignment horizontal="right"/>
    </xf>
    <xf numFmtId="0" fontId="20" fillId="5" borderId="5" xfId="0" applyFont="1" applyFill="1" applyBorder="1" applyAlignment="1">
      <alignment horizontal="center" vertical="center" wrapText="1"/>
    </xf>
    <xf numFmtId="9" fontId="11" fillId="5" borderId="4" xfId="0" applyNumberFormat="1" applyFont="1" applyFill="1" applyBorder="1"/>
    <xf numFmtId="9" fontId="11" fillId="4" borderId="4" xfId="0" applyNumberFormat="1" applyFont="1" applyFill="1" applyBorder="1"/>
    <xf numFmtId="0" fontId="11" fillId="3" borderId="4" xfId="0" applyFont="1" applyFill="1" applyBorder="1"/>
    <xf numFmtId="0" fontId="21" fillId="0" borderId="0" xfId="0" applyFont="1" applyAlignment="1">
      <alignment horizontal="right"/>
    </xf>
    <xf numFmtId="0" fontId="20" fillId="5" borderId="5" xfId="0" applyFont="1" applyFill="1" applyBorder="1" applyAlignment="1">
      <alignment horizontal="left" vertical="center" wrapText="1"/>
    </xf>
    <xf numFmtId="0" fontId="20" fillId="5" borderId="6" xfId="0" applyFont="1" applyFill="1" applyBorder="1" applyAlignment="1">
      <alignment horizontal="center" vertical="center" wrapText="1"/>
    </xf>
    <xf numFmtId="0" fontId="22" fillId="7" borderId="7" xfId="0" applyFont="1" applyFill="1" applyBorder="1" applyAlignment="1">
      <alignment vertical="center" wrapText="1"/>
    </xf>
    <xf numFmtId="0" fontId="22" fillId="5" borderId="8" xfId="0" applyFont="1" applyFill="1" applyBorder="1" applyAlignment="1">
      <alignment horizontal="center" vertical="center" wrapText="1"/>
    </xf>
    <xf numFmtId="0" fontId="23" fillId="0" borderId="0" xfId="0" applyFont="1" applyAlignment="1">
      <alignment horizontal="left" vertical="center"/>
    </xf>
    <xf numFmtId="0" fontId="20" fillId="4" borderId="6" xfId="0" applyFont="1" applyFill="1" applyBorder="1" applyAlignment="1">
      <alignment horizontal="center" vertical="center" wrapText="1"/>
    </xf>
    <xf numFmtId="0" fontId="22" fillId="4" borderId="8" xfId="0" applyFont="1" applyFill="1" applyBorder="1" applyAlignment="1">
      <alignment horizontal="center" vertical="center" wrapText="1"/>
    </xf>
    <xf numFmtId="0" fontId="20" fillId="3" borderId="6" xfId="0" applyFont="1" applyFill="1" applyBorder="1" applyAlignment="1">
      <alignment horizontal="center" vertical="center" wrapText="1"/>
    </xf>
    <xf numFmtId="0" fontId="24" fillId="7" borderId="7" xfId="0" applyFont="1" applyFill="1" applyBorder="1" applyAlignment="1">
      <alignment vertical="center" wrapText="1"/>
    </xf>
    <xf numFmtId="0" fontId="22" fillId="3" borderId="8" xfId="0" applyFont="1" applyFill="1" applyBorder="1" applyAlignment="1">
      <alignment horizontal="center" vertical="center" wrapText="1"/>
    </xf>
    <xf numFmtId="0" fontId="20" fillId="3" borderId="9" xfId="0" applyFont="1" applyFill="1" applyBorder="1" applyAlignment="1">
      <alignment horizontal="center" vertical="center" wrapText="1"/>
    </xf>
    <xf numFmtId="0" fontId="22" fillId="7" borderId="10" xfId="0" applyFont="1" applyFill="1" applyBorder="1" applyAlignment="1">
      <alignment vertical="center" wrapText="1"/>
    </xf>
    <xf numFmtId="0" fontId="25" fillId="4" borderId="4" xfId="0" applyFont="1" applyFill="1" applyBorder="1" applyAlignment="1">
      <alignment horizontal="center" wrapText="1"/>
    </xf>
    <xf numFmtId="0" fontId="25" fillId="0" borderId="0" xfId="0" applyFont="1"/>
    <xf numFmtId="0" fontId="25" fillId="4" borderId="4" xfId="0" applyFont="1" applyFill="1" applyBorder="1"/>
    <xf numFmtId="0" fontId="18" fillId="8" borderId="1" xfId="0" applyFont="1" applyFill="1" applyBorder="1" applyAlignment="1">
      <alignment horizontal="center"/>
    </xf>
    <xf numFmtId="0" fontId="20" fillId="0" borderId="6" xfId="0" applyFont="1" applyBorder="1" applyAlignment="1">
      <alignment horizontal="center" vertical="center" wrapText="1"/>
    </xf>
    <xf numFmtId="0" fontId="19" fillId="0" borderId="11" xfId="0" applyFont="1" applyBorder="1" applyAlignment="1">
      <alignment horizontal="left" vertical="top" wrapText="1"/>
    </xf>
    <xf numFmtId="0" fontId="21" fillId="9" borderId="5" xfId="0" applyFont="1" applyFill="1" applyBorder="1" applyAlignment="1">
      <alignment horizontal="left" vertical="top" wrapText="1"/>
    </xf>
    <xf numFmtId="0" fontId="21" fillId="4" borderId="5" xfId="0" applyFont="1" applyFill="1" applyBorder="1" applyAlignment="1">
      <alignment horizontal="center" vertical="top" wrapText="1"/>
    </xf>
    <xf numFmtId="0" fontId="21" fillId="4" borderId="5" xfId="0" applyFont="1" applyFill="1" applyBorder="1" applyAlignment="1">
      <alignment horizontal="left" vertical="top" wrapText="1"/>
    </xf>
    <xf numFmtId="0" fontId="0" fillId="4" borderId="4" xfId="0" applyFill="1" applyBorder="1" applyAlignment="1">
      <alignment wrapText="1"/>
    </xf>
    <xf numFmtId="0" fontId="22" fillId="7" borderId="12" xfId="0" applyFont="1" applyFill="1" applyBorder="1" applyAlignment="1">
      <alignment vertical="center" wrapText="1"/>
    </xf>
    <xf numFmtId="0" fontId="20" fillId="4" borderId="5" xfId="0" applyFont="1" applyFill="1" applyBorder="1" applyAlignment="1">
      <alignment horizontal="left" vertical="top" wrapText="1"/>
    </xf>
    <xf numFmtId="0" fontId="26" fillId="0" borderId="0" xfId="0" applyFont="1"/>
    <xf numFmtId="165" fontId="21" fillId="4" borderId="5" xfId="0" applyNumberFormat="1" applyFont="1" applyFill="1" applyBorder="1" applyAlignment="1">
      <alignment horizontal="center" vertical="top" wrapText="1"/>
    </xf>
    <xf numFmtId="0" fontId="11" fillId="9" borderId="4" xfId="0" applyFont="1" applyFill="1" applyBorder="1"/>
    <xf numFmtId="0" fontId="11" fillId="0" borderId="0" xfId="0" applyFont="1" applyAlignment="1">
      <alignment horizontal="center"/>
    </xf>
    <xf numFmtId="0" fontId="27" fillId="10" borderId="13" xfId="0" applyFont="1" applyFill="1" applyBorder="1" applyAlignment="1">
      <alignment horizontal="left" vertical="center" wrapText="1"/>
    </xf>
    <xf numFmtId="0" fontId="28" fillId="10" borderId="13" xfId="0" applyFont="1" applyFill="1" applyBorder="1" applyAlignment="1">
      <alignment horizontal="left" vertical="center" wrapText="1"/>
    </xf>
    <xf numFmtId="0" fontId="22" fillId="11" borderId="14" xfId="0" applyFont="1" applyFill="1" applyBorder="1" applyAlignment="1">
      <alignment horizontal="left" vertical="center" wrapText="1"/>
    </xf>
    <xf numFmtId="0" fontId="27" fillId="0" borderId="15" xfId="0" applyFont="1" applyBorder="1" applyAlignment="1">
      <alignment horizontal="left" vertical="center" wrapText="1"/>
    </xf>
    <xf numFmtId="0" fontId="28" fillId="11" borderId="14" xfId="0" applyFont="1" applyFill="1" applyBorder="1" applyAlignment="1">
      <alignment horizontal="left" vertical="center" wrapText="1"/>
    </xf>
    <xf numFmtId="0" fontId="32" fillId="7" borderId="16" xfId="0" applyFont="1" applyFill="1" applyBorder="1" applyAlignment="1">
      <alignment vertical="center" wrapText="1"/>
    </xf>
    <xf numFmtId="0" fontId="27" fillId="0" borderId="0" xfId="0" applyFont="1" applyAlignment="1">
      <alignment horizontal="left" vertical="center" wrapText="1"/>
    </xf>
    <xf numFmtId="0" fontId="29" fillId="0" borderId="0" xfId="0" applyFont="1" applyAlignment="1">
      <alignment horizontal="left" vertical="center" wrapText="1"/>
    </xf>
    <xf numFmtId="0" fontId="34" fillId="0" borderId="0" xfId="0" applyFont="1" applyAlignment="1">
      <alignment horizontal="left" vertical="center"/>
    </xf>
    <xf numFmtId="0" fontId="35" fillId="0" borderId="0" xfId="0" applyFont="1" applyAlignment="1">
      <alignment horizontal="left" vertical="center"/>
    </xf>
    <xf numFmtId="0" fontId="31" fillId="11" borderId="14" xfId="0" applyFont="1" applyFill="1" applyBorder="1" applyAlignment="1">
      <alignment horizontal="left" vertical="center" wrapText="1"/>
    </xf>
    <xf numFmtId="0" fontId="31" fillId="11" borderId="5" xfId="0" applyFont="1" applyFill="1" applyBorder="1" applyAlignment="1">
      <alignment horizontal="center" vertical="center" wrapText="1"/>
    </xf>
    <xf numFmtId="0" fontId="29" fillId="0" borderId="15" xfId="0" applyFont="1" applyBorder="1" applyAlignment="1">
      <alignment horizontal="left" vertical="center" wrapText="1"/>
    </xf>
    <xf numFmtId="0" fontId="29" fillId="0" borderId="11" xfId="0" applyFont="1" applyBorder="1" applyAlignment="1">
      <alignment horizontal="center" vertical="center" wrapText="1"/>
    </xf>
    <xf numFmtId="0" fontId="29" fillId="0" borderId="0" xfId="0" applyFont="1" applyAlignment="1">
      <alignment horizontal="center" vertical="center" wrapText="1"/>
    </xf>
    <xf numFmtId="0" fontId="36" fillId="0" borderId="0" xfId="0" applyFont="1" applyAlignment="1">
      <alignment horizontal="left" vertical="center"/>
    </xf>
    <xf numFmtId="0" fontId="37" fillId="0" borderId="0" xfId="0" applyFont="1" applyAlignment="1">
      <alignment horizontal="left" vertical="center"/>
    </xf>
    <xf numFmtId="0" fontId="38" fillId="0" borderId="0" xfId="0" applyFont="1" applyAlignment="1">
      <alignment horizontal="left" vertical="center"/>
    </xf>
    <xf numFmtId="0" fontId="39" fillId="0" borderId="0" xfId="0" applyFont="1"/>
    <xf numFmtId="0" fontId="34" fillId="0" borderId="0" xfId="0" applyFont="1" applyAlignment="1">
      <alignment horizontal="center" vertical="center"/>
    </xf>
    <xf numFmtId="0" fontId="28" fillId="10" borderId="4" xfId="0" applyFont="1" applyFill="1" applyBorder="1" applyAlignment="1">
      <alignment horizontal="center" vertical="center" wrapText="1"/>
    </xf>
    <xf numFmtId="0" fontId="22" fillId="9" borderId="14" xfId="0" applyFont="1" applyFill="1" applyBorder="1" applyAlignment="1">
      <alignment horizontal="left" vertical="center" wrapText="1"/>
    </xf>
    <xf numFmtId="0" fontId="20" fillId="11" borderId="14" xfId="0" applyFont="1" applyFill="1" applyBorder="1" applyAlignment="1">
      <alignment horizontal="left" vertical="center" wrapText="1"/>
    </xf>
    <xf numFmtId="0" fontId="20" fillId="11" borderId="5" xfId="0" applyFont="1" applyFill="1" applyBorder="1" applyAlignment="1">
      <alignment horizontal="left" vertical="top" wrapText="1"/>
    </xf>
    <xf numFmtId="0" fontId="22" fillId="0" borderId="15" xfId="0" applyFont="1" applyBorder="1" applyAlignment="1">
      <alignment horizontal="left" vertical="center" wrapText="1"/>
    </xf>
    <xf numFmtId="0" fontId="40" fillId="0" borderId="11" xfId="0" applyFont="1" applyBorder="1" applyAlignment="1">
      <alignment horizontal="left" vertical="center" wrapText="1"/>
    </xf>
    <xf numFmtId="0" fontId="21" fillId="0" borderId="11" xfId="0" applyFont="1" applyBorder="1" applyAlignment="1">
      <alignment horizontal="left" vertical="top" wrapText="1"/>
    </xf>
    <xf numFmtId="0" fontId="21" fillId="11" borderId="5" xfId="0" applyFont="1" applyFill="1" applyBorder="1" applyAlignment="1">
      <alignment horizontal="left" vertical="top" wrapText="1"/>
    </xf>
    <xf numFmtId="0" fontId="20" fillId="0" borderId="15" xfId="0" applyFont="1" applyBorder="1" applyAlignment="1">
      <alignment horizontal="left" vertical="center" wrapText="1"/>
    </xf>
    <xf numFmtId="0" fontId="40" fillId="0" borderId="11" xfId="0" applyFont="1" applyBorder="1" applyAlignment="1">
      <alignment horizontal="left" vertical="top" wrapText="1"/>
    </xf>
    <xf numFmtId="0" fontId="32" fillId="0" borderId="17" xfId="0" applyFont="1" applyBorder="1" applyAlignment="1">
      <alignment vertical="center" wrapText="1"/>
    </xf>
    <xf numFmtId="0" fontId="45" fillId="6" borderId="4" xfId="0" applyFont="1" applyFill="1" applyBorder="1" applyAlignment="1">
      <alignment vertical="top" wrapText="1"/>
    </xf>
    <xf numFmtId="0" fontId="45" fillId="6" borderId="4" xfId="0" applyFont="1" applyFill="1" applyBorder="1" applyAlignment="1">
      <alignment horizontal="center" wrapText="1"/>
    </xf>
    <xf numFmtId="0" fontId="11" fillId="0" borderId="1" xfId="0" applyFont="1" applyBorder="1" applyAlignment="1">
      <alignment vertical="top" wrapText="1"/>
    </xf>
    <xf numFmtId="0" fontId="11" fillId="0" borderId="1" xfId="0" applyFont="1" applyBorder="1" applyAlignment="1">
      <alignment horizontal="center" vertical="top" wrapText="1"/>
    </xf>
    <xf numFmtId="0" fontId="11" fillId="2" borderId="1" xfId="0" applyFont="1" applyFill="1" applyBorder="1" applyAlignment="1">
      <alignment vertical="top" wrapText="1"/>
    </xf>
    <xf numFmtId="0" fontId="11" fillId="2" borderId="1" xfId="0" applyFont="1" applyFill="1" applyBorder="1" applyAlignment="1">
      <alignment horizontal="center" vertical="top" wrapText="1"/>
    </xf>
    <xf numFmtId="0" fontId="11" fillId="12" borderId="1" xfId="0" applyFont="1" applyFill="1" applyBorder="1" applyAlignment="1">
      <alignment horizontal="left" vertical="top" wrapText="1"/>
    </xf>
    <xf numFmtId="0" fontId="11" fillId="0" borderId="0" xfId="0" applyFont="1" applyAlignment="1">
      <alignment horizontal="left"/>
    </xf>
    <xf numFmtId="0" fontId="10" fillId="0" borderId="0" xfId="0" applyFont="1" applyAlignment="1">
      <alignment horizontal="left" vertical="top" wrapText="1"/>
    </xf>
    <xf numFmtId="0" fontId="10" fillId="12" borderId="4" xfId="0" applyFont="1" applyFill="1" applyBorder="1"/>
    <xf numFmtId="0" fontId="10" fillId="12" borderId="4" xfId="0" applyFont="1" applyFill="1" applyBorder="1" applyAlignment="1">
      <alignment horizontal="center"/>
    </xf>
    <xf numFmtId="0" fontId="11" fillId="12" borderId="4" xfId="0" applyFont="1" applyFill="1" applyBorder="1"/>
    <xf numFmtId="0" fontId="10" fillId="12" borderId="4" xfId="0" applyFont="1" applyFill="1" applyBorder="1" applyAlignment="1">
      <alignment horizontal="center" wrapText="1"/>
    </xf>
    <xf numFmtId="0" fontId="20" fillId="13" borderId="6" xfId="0" applyFont="1" applyFill="1" applyBorder="1" applyAlignment="1">
      <alignment horizontal="center" vertical="center" wrapText="1"/>
    </xf>
    <xf numFmtId="0" fontId="52" fillId="0" borderId="18" xfId="1" applyFont="1"/>
    <xf numFmtId="0" fontId="9" fillId="0" borderId="18" xfId="1"/>
    <xf numFmtId="0" fontId="48" fillId="0" borderId="19" xfId="1" applyFont="1" applyBorder="1" applyAlignment="1">
      <alignment horizontal="center" vertical="center"/>
    </xf>
    <xf numFmtId="0" fontId="52" fillId="0" borderId="23" xfId="1" applyFont="1" applyBorder="1" applyAlignment="1">
      <alignment horizontal="center" vertical="center"/>
    </xf>
    <xf numFmtId="0" fontId="9" fillId="0" borderId="24" xfId="1" applyBorder="1"/>
    <xf numFmtId="0" fontId="9" fillId="0" borderId="25" xfId="1" applyBorder="1"/>
    <xf numFmtId="0" fontId="52" fillId="0" borderId="26" xfId="1" applyFont="1" applyBorder="1" applyAlignment="1">
      <alignment horizontal="center" vertical="center"/>
    </xf>
    <xf numFmtId="0" fontId="9" fillId="0" borderId="27" xfId="1" applyBorder="1"/>
    <xf numFmtId="0" fontId="52" fillId="0" borderId="28" xfId="1" applyFont="1" applyBorder="1" applyAlignment="1">
      <alignment horizontal="center" vertical="center"/>
    </xf>
    <xf numFmtId="0" fontId="9" fillId="0" borderId="29" xfId="1" applyBorder="1"/>
    <xf numFmtId="0" fontId="9" fillId="0" borderId="30" xfId="1" applyBorder="1"/>
    <xf numFmtId="0" fontId="49" fillId="4" borderId="4" xfId="0" applyFont="1" applyFill="1" applyBorder="1" applyAlignment="1">
      <alignment wrapText="1"/>
    </xf>
    <xf numFmtId="0" fontId="49" fillId="4" borderId="4" xfId="0" applyFont="1" applyFill="1" applyBorder="1" applyAlignment="1">
      <alignment horizontal="left" vertical="top" wrapText="1"/>
    </xf>
    <xf numFmtId="0" fontId="49" fillId="4" borderId="4" xfId="0" applyFont="1" applyFill="1" applyBorder="1" applyAlignment="1">
      <alignment vertical="top" wrapText="1"/>
    </xf>
    <xf numFmtId="0" fontId="51" fillId="0" borderId="6" xfId="0" applyFont="1" applyBorder="1" applyAlignment="1">
      <alignment horizontal="center" vertical="center" wrapText="1"/>
    </xf>
    <xf numFmtId="0" fontId="53" fillId="0" borderId="11" xfId="0" applyFont="1" applyBorder="1" applyAlignment="1">
      <alignment horizontal="left" vertical="top" wrapText="1"/>
    </xf>
    <xf numFmtId="0" fontId="54" fillId="9" borderId="5" xfId="0" applyFont="1" applyFill="1" applyBorder="1" applyAlignment="1">
      <alignment horizontal="left" vertical="top" wrapText="1"/>
    </xf>
    <xf numFmtId="0" fontId="54" fillId="4" borderId="5" xfId="0" applyFont="1" applyFill="1" applyBorder="1" applyAlignment="1">
      <alignment horizontal="left" vertical="top" wrapText="1"/>
    </xf>
    <xf numFmtId="0" fontId="0" fillId="0" borderId="0" xfId="0" applyAlignment="1">
      <alignment horizontal="left"/>
    </xf>
    <xf numFmtId="0" fontId="0" fillId="0" borderId="0" xfId="0" applyAlignment="1">
      <alignment wrapText="1"/>
    </xf>
    <xf numFmtId="0" fontId="55" fillId="0" borderId="0" xfId="0" applyFont="1" applyAlignment="1">
      <alignment vertical="center"/>
    </xf>
    <xf numFmtId="0" fontId="6" fillId="0" borderId="18" xfId="4"/>
    <xf numFmtId="0" fontId="6" fillId="0" borderId="18" xfId="4" applyAlignment="1">
      <alignment vertical="center"/>
    </xf>
    <xf numFmtId="0" fontId="6" fillId="0" borderId="18" xfId="4" applyAlignment="1">
      <alignment horizontal="center" vertical="center"/>
    </xf>
    <xf numFmtId="0" fontId="59" fillId="0" borderId="18" xfId="4" applyFont="1" applyAlignment="1">
      <alignment horizontal="center" vertical="center"/>
    </xf>
    <xf numFmtId="0" fontId="6" fillId="0" borderId="18" xfId="1" applyFont="1"/>
    <xf numFmtId="0" fontId="48" fillId="0" borderId="18" xfId="1" applyFont="1" applyAlignment="1">
      <alignment horizontal="center" vertical="center"/>
    </xf>
    <xf numFmtId="0" fontId="64" fillId="0" borderId="18" xfId="4" applyFont="1" applyAlignment="1">
      <alignment horizontal="center" vertical="center"/>
    </xf>
    <xf numFmtId="166" fontId="0" fillId="0" borderId="0" xfId="0" applyNumberFormat="1" applyAlignment="1">
      <alignment horizontal="center" vertical="center"/>
    </xf>
    <xf numFmtId="0" fontId="0" fillId="0" borderId="0" xfId="0" applyAlignment="1">
      <alignment vertical="center"/>
    </xf>
    <xf numFmtId="166" fontId="19" fillId="0" borderId="11" xfId="0" applyNumberFormat="1" applyFont="1" applyBorder="1" applyAlignment="1">
      <alignment horizontal="left" vertical="top" wrapText="1"/>
    </xf>
    <xf numFmtId="0" fontId="11" fillId="9" borderId="18" xfId="0" applyFont="1" applyFill="1" applyBorder="1"/>
    <xf numFmtId="0" fontId="30" fillId="0" borderId="18" xfId="0" applyFont="1" applyBorder="1" applyAlignment="1">
      <alignment horizontal="center" vertical="center" wrapText="1"/>
    </xf>
    <xf numFmtId="0" fontId="69" fillId="9" borderId="4" xfId="0" applyFont="1" applyFill="1" applyBorder="1"/>
    <xf numFmtId="0" fontId="69" fillId="0" borderId="0" xfId="0" applyFont="1"/>
    <xf numFmtId="0" fontId="0" fillId="0" borderId="0" xfId="0" applyAlignment="1">
      <alignment horizontal="center"/>
    </xf>
    <xf numFmtId="9" fontId="0" fillId="0" borderId="0" xfId="13" applyFont="1" applyAlignment="1">
      <alignment horizontal="center"/>
    </xf>
    <xf numFmtId="0" fontId="4" fillId="0" borderId="18" xfId="1" applyFont="1"/>
    <xf numFmtId="0" fontId="0" fillId="0" borderId="0" xfId="0" applyAlignment="1">
      <alignment horizontal="left" vertical="center"/>
    </xf>
    <xf numFmtId="164" fontId="0" fillId="0" borderId="0" xfId="12" applyFont="1" applyAlignment="1">
      <alignment horizontal="left" vertical="center"/>
    </xf>
    <xf numFmtId="0" fontId="18" fillId="8" borderId="1" xfId="0" applyFont="1" applyFill="1" applyBorder="1" applyAlignment="1">
      <alignment horizontal="left" vertical="center"/>
    </xf>
    <xf numFmtId="164" fontId="18" fillId="8" borderId="1" xfId="12" applyFont="1" applyFill="1" applyBorder="1" applyAlignment="1">
      <alignment horizontal="left" vertical="center"/>
    </xf>
    <xf numFmtId="0" fontId="0" fillId="0" borderId="18" xfId="0" applyBorder="1" applyAlignment="1">
      <alignment horizontal="left" vertical="center"/>
    </xf>
    <xf numFmtId="0" fontId="0" fillId="0" borderId="40" xfId="0" applyBorder="1" applyAlignment="1">
      <alignment horizontal="left" vertical="center"/>
    </xf>
    <xf numFmtId="0" fontId="39" fillId="0" borderId="0" xfId="0" applyFont="1" applyAlignment="1">
      <alignment horizontal="left" vertical="center"/>
    </xf>
    <xf numFmtId="0" fontId="49" fillId="0" borderId="40" xfId="0" applyFont="1" applyBorder="1" applyAlignment="1">
      <alignment horizontal="left" vertical="center"/>
    </xf>
    <xf numFmtId="0" fontId="49" fillId="0" borderId="40" xfId="0" applyFont="1" applyBorder="1" applyAlignment="1">
      <alignment horizontal="left" vertical="center" wrapText="1"/>
    </xf>
    <xf numFmtId="0" fontId="0" fillId="0" borderId="43" xfId="0" applyBorder="1" applyAlignment="1">
      <alignment horizontal="left" vertical="center" wrapText="1"/>
    </xf>
    <xf numFmtId="0" fontId="0" fillId="0" borderId="41" xfId="0" applyBorder="1" applyAlignment="1">
      <alignment horizontal="left" vertical="center" wrapText="1"/>
    </xf>
    <xf numFmtId="0" fontId="18" fillId="8" borderId="1" xfId="0" applyFont="1" applyFill="1" applyBorder="1" applyAlignment="1">
      <alignment horizontal="left" vertical="center" wrapText="1"/>
    </xf>
    <xf numFmtId="0" fontId="0" fillId="0" borderId="0" xfId="0" applyAlignment="1">
      <alignment horizontal="left" vertical="center" wrapText="1"/>
    </xf>
    <xf numFmtId="0" fontId="49" fillId="0" borderId="42" xfId="0" applyFont="1" applyBorder="1" applyAlignment="1">
      <alignment horizontal="left" vertical="center" wrapText="1"/>
    </xf>
    <xf numFmtId="0" fontId="49" fillId="0" borderId="0" xfId="0" applyFont="1" applyAlignment="1">
      <alignment vertical="center"/>
    </xf>
    <xf numFmtId="0" fontId="25" fillId="0" borderId="4" xfId="0" applyFont="1" applyBorder="1" applyAlignment="1">
      <alignment vertical="center"/>
    </xf>
    <xf numFmtId="4" fontId="74" fillId="0" borderId="0" xfId="11" applyNumberFormat="1" applyFont="1" applyFill="1" applyAlignment="1">
      <alignment horizontal="left" vertical="center"/>
    </xf>
    <xf numFmtId="166" fontId="0" fillId="0" borderId="18" xfId="0" applyNumberFormat="1" applyBorder="1" applyAlignment="1">
      <alignment horizontal="center" vertical="center"/>
    </xf>
    <xf numFmtId="0" fontId="49" fillId="0" borderId="0" xfId="0" applyFont="1" applyAlignment="1">
      <alignment horizontal="left" vertical="center"/>
    </xf>
    <xf numFmtId="0" fontId="57" fillId="0" borderId="18" xfId="4" applyFont="1" applyAlignment="1">
      <alignment horizontal="left" vertical="center" wrapText="1"/>
    </xf>
    <xf numFmtId="0" fontId="58" fillId="0" borderId="18" xfId="4" applyFont="1" applyAlignment="1">
      <alignment horizontal="left" vertical="center" wrapText="1"/>
    </xf>
    <xf numFmtId="0" fontId="11" fillId="0" borderId="18" xfId="4" applyFont="1" applyAlignment="1">
      <alignment horizontal="left" vertical="center" wrapText="1"/>
    </xf>
    <xf numFmtId="0" fontId="61" fillId="0" borderId="18" xfId="5" applyFont="1" applyAlignment="1">
      <alignment horizontal="center" vertical="center" wrapText="1"/>
    </xf>
    <xf numFmtId="9" fontId="57" fillId="0" borderId="18" xfId="7" applyFont="1" applyFill="1" applyBorder="1" applyAlignment="1">
      <alignment horizontal="center" vertical="center" wrapText="1"/>
    </xf>
    <xf numFmtId="0" fontId="39" fillId="0" borderId="39" xfId="0" applyFont="1" applyBorder="1" applyAlignment="1">
      <alignment horizontal="center" vertical="center"/>
    </xf>
    <xf numFmtId="44" fontId="49" fillId="0" borderId="40" xfId="0" applyNumberFormat="1" applyFont="1" applyBorder="1" applyAlignment="1">
      <alignment horizontal="left" vertical="center" wrapText="1"/>
    </xf>
    <xf numFmtId="44" fontId="76" fillId="0" borderId="40" xfId="0" applyNumberFormat="1" applyFont="1" applyBorder="1" applyAlignment="1">
      <alignment horizontal="center" vertical="center" wrapText="1"/>
    </xf>
    <xf numFmtId="164" fontId="49" fillId="0" borderId="40" xfId="12" applyFont="1" applyFill="1" applyBorder="1" applyAlignment="1">
      <alignment horizontal="left" vertical="center" wrapText="1"/>
    </xf>
    <xf numFmtId="166" fontId="78" fillId="0" borderId="4" xfId="0" applyNumberFormat="1" applyFont="1" applyBorder="1" applyAlignment="1">
      <alignment horizontal="center" vertical="center" wrapText="1"/>
    </xf>
    <xf numFmtId="0" fontId="27" fillId="10" borderId="18" xfId="0" applyFont="1" applyFill="1" applyBorder="1" applyAlignment="1">
      <alignment horizontal="left" vertical="center" wrapText="1"/>
    </xf>
    <xf numFmtId="0" fontId="28" fillId="10" borderId="18" xfId="0" applyFont="1" applyFill="1" applyBorder="1" applyAlignment="1">
      <alignment horizontal="left" vertical="center" wrapText="1"/>
    </xf>
    <xf numFmtId="0" fontId="0" fillId="0" borderId="18" xfId="0" applyBorder="1"/>
    <xf numFmtId="0" fontId="27" fillId="0" borderId="18" xfId="0" applyFont="1" applyBorder="1" applyAlignment="1">
      <alignment horizontal="left" vertical="center" wrapText="1"/>
    </xf>
    <xf numFmtId="0" fontId="29" fillId="0" borderId="18" xfId="0" applyFont="1" applyBorder="1" applyAlignment="1">
      <alignment horizontal="left" vertical="center" wrapText="1"/>
    </xf>
    <xf numFmtId="0" fontId="29" fillId="0" borderId="18" xfId="0" applyFont="1" applyBorder="1" applyAlignment="1">
      <alignment horizontal="center" vertical="center" wrapText="1"/>
    </xf>
    <xf numFmtId="0" fontId="20" fillId="5" borderId="18" xfId="0" applyFont="1" applyFill="1" applyBorder="1" applyAlignment="1">
      <alignment horizontal="left" vertical="center" wrapText="1"/>
    </xf>
    <xf numFmtId="0" fontId="32" fillId="10" borderId="18" xfId="0" applyFont="1" applyFill="1" applyBorder="1" applyAlignment="1">
      <alignment vertical="center" wrapText="1"/>
    </xf>
    <xf numFmtId="0" fontId="33" fillId="10" borderId="18" xfId="0" applyFont="1" applyFill="1" applyBorder="1" applyAlignment="1">
      <alignment vertical="center" wrapText="1"/>
    </xf>
    <xf numFmtId="0" fontId="11" fillId="0" borderId="18" xfId="0" applyFont="1" applyBorder="1" applyAlignment="1">
      <alignment horizontal="center"/>
    </xf>
    <xf numFmtId="0" fontId="0" fillId="0" borderId="18" xfId="0" applyBorder="1" applyAlignment="1">
      <alignment wrapText="1"/>
    </xf>
    <xf numFmtId="164" fontId="49" fillId="15" borderId="18" xfId="12" applyFont="1" applyFill="1" applyBorder="1" applyAlignment="1"/>
    <xf numFmtId="10" fontId="0" fillId="15" borderId="18" xfId="13" applyNumberFormat="1" applyFont="1" applyFill="1" applyBorder="1" applyAlignment="1"/>
    <xf numFmtId="164" fontId="71" fillId="0" borderId="0" xfId="0" applyNumberFormat="1" applyFont="1"/>
    <xf numFmtId="0" fontId="71" fillId="0" borderId="0" xfId="0" applyFont="1"/>
    <xf numFmtId="168" fontId="71" fillId="0" borderId="0" xfId="0" applyNumberFormat="1" applyFont="1"/>
    <xf numFmtId="0" fontId="27" fillId="16" borderId="18" xfId="0" applyFont="1" applyFill="1" applyBorder="1" applyAlignment="1">
      <alignment horizontal="center" vertical="center" wrapText="1"/>
    </xf>
    <xf numFmtId="0" fontId="28" fillId="16" borderId="18" xfId="0" applyFont="1" applyFill="1" applyBorder="1" applyAlignment="1">
      <alignment horizontal="center" vertical="center" wrapText="1"/>
    </xf>
    <xf numFmtId="0" fontId="67" fillId="15" borderId="18" xfId="0" applyFont="1" applyFill="1" applyBorder="1" applyAlignment="1">
      <alignment horizontal="center" vertical="center" wrapText="1"/>
    </xf>
    <xf numFmtId="0" fontId="68" fillId="15" borderId="18" xfId="0" applyFont="1" applyFill="1" applyBorder="1" applyAlignment="1">
      <alignment horizontal="center" vertical="center" wrapText="1"/>
    </xf>
    <xf numFmtId="0" fontId="11" fillId="0" borderId="18" xfId="0" applyFont="1" applyBorder="1"/>
    <xf numFmtId="0" fontId="44" fillId="0" borderId="18" xfId="0" applyFont="1" applyBorder="1" applyAlignment="1">
      <alignment horizontal="center" vertical="center" wrapText="1"/>
    </xf>
    <xf numFmtId="0" fontId="27" fillId="10" borderId="18" xfId="0" applyFont="1" applyFill="1" applyBorder="1" applyAlignment="1">
      <alignment horizontal="center" vertical="center" wrapText="1"/>
    </xf>
    <xf numFmtId="0" fontId="41" fillId="0" borderId="45" xfId="0" applyFont="1" applyBorder="1" applyAlignment="1">
      <alignment horizontal="center" vertical="center" wrapText="1"/>
    </xf>
    <xf numFmtId="0" fontId="43" fillId="0" borderId="46" xfId="0" applyFont="1" applyBorder="1" applyAlignment="1">
      <alignment horizontal="center" vertical="center" wrapText="1"/>
    </xf>
    <xf numFmtId="0" fontId="41" fillId="0" borderId="46" xfId="0" applyFont="1" applyBorder="1" applyAlignment="1">
      <alignment horizontal="center" vertical="center" wrapText="1"/>
    </xf>
    <xf numFmtId="0" fontId="41" fillId="0" borderId="46" xfId="10" applyFill="1" applyBorder="1" applyAlignment="1">
      <alignment horizontal="center" vertical="center" wrapText="1"/>
    </xf>
    <xf numFmtId="0" fontId="41" fillId="0" borderId="47" xfId="10" applyFill="1" applyBorder="1" applyAlignment="1">
      <alignment horizontal="center" vertical="center" wrapText="1"/>
    </xf>
    <xf numFmtId="0" fontId="11" fillId="0" borderId="44" xfId="0" applyFont="1" applyBorder="1" applyAlignment="1">
      <alignment horizontal="left" vertical="top" wrapText="1"/>
    </xf>
    <xf numFmtId="0" fontId="11" fillId="0" borderId="44" xfId="0" applyFont="1" applyBorder="1" applyAlignment="1">
      <alignment horizontal="left" vertical="center" wrapText="1"/>
    </xf>
    <xf numFmtId="0" fontId="10" fillId="0" borderId="44" xfId="0" applyFont="1" applyBorder="1" applyAlignment="1">
      <alignment horizontal="left" vertical="center" wrapText="1"/>
    </xf>
    <xf numFmtId="0" fontId="12" fillId="0" borderId="44" xfId="0" applyFont="1" applyBorder="1" applyAlignment="1">
      <alignment horizontal="left" vertical="center" wrapText="1"/>
    </xf>
    <xf numFmtId="0" fontId="81" fillId="0" borderId="44" xfId="0" applyFont="1" applyBorder="1" applyAlignment="1">
      <alignment horizontal="left" vertical="center" wrapText="1"/>
    </xf>
    <xf numFmtId="0" fontId="12" fillId="17" borderId="44" xfId="0" applyFont="1" applyFill="1" applyBorder="1" applyAlignment="1">
      <alignment horizontal="left" vertical="center" wrapText="1"/>
    </xf>
    <xf numFmtId="0" fontId="81" fillId="17" borderId="44" xfId="0" applyFont="1" applyFill="1" applyBorder="1" applyAlignment="1">
      <alignment horizontal="left" vertical="center" wrapText="1"/>
    </xf>
    <xf numFmtId="0" fontId="11" fillId="17" borderId="44" xfId="0" applyFont="1" applyFill="1" applyBorder="1" applyAlignment="1">
      <alignment horizontal="left" vertical="top" wrapText="1"/>
    </xf>
    <xf numFmtId="0" fontId="49" fillId="0" borderId="31" xfId="0" applyFont="1" applyBorder="1"/>
    <xf numFmtId="0" fontId="49" fillId="0" borderId="32" xfId="0" applyFont="1" applyBorder="1"/>
    <xf numFmtId="0" fontId="49" fillId="0" borderId="33" xfId="0" applyFont="1" applyBorder="1"/>
    <xf numFmtId="0" fontId="49" fillId="0" borderId="34" xfId="0" applyFont="1" applyBorder="1" applyAlignment="1">
      <alignment horizontal="left" vertical="top" wrapText="1"/>
    </xf>
    <xf numFmtId="0" fontId="49" fillId="0" borderId="35" xfId="0" applyFont="1" applyBorder="1"/>
    <xf numFmtId="0" fontId="49" fillId="0" borderId="36" xfId="0" applyFont="1" applyBorder="1"/>
    <xf numFmtId="0" fontId="73" fillId="0" borderId="48" xfId="9" applyFont="1" applyBorder="1" applyAlignment="1">
      <alignment horizontal="left" vertical="center" wrapText="1"/>
    </xf>
    <xf numFmtId="0" fontId="73" fillId="0" borderId="49" xfId="9" applyFont="1" applyBorder="1" applyAlignment="1">
      <alignment horizontal="left" vertical="center" wrapText="1"/>
    </xf>
    <xf numFmtId="0" fontId="73" fillId="0" borderId="50" xfId="9" applyFont="1" applyBorder="1" applyAlignment="1">
      <alignment horizontal="left" vertical="center" wrapText="1"/>
    </xf>
    <xf numFmtId="0" fontId="59" fillId="0" borderId="49" xfId="9" applyFont="1" applyBorder="1" applyAlignment="1">
      <alignment horizontal="center" vertical="center" wrapText="1"/>
    </xf>
    <xf numFmtId="0" fontId="59" fillId="0" borderId="50" xfId="9" applyFont="1" applyBorder="1" applyAlignment="1">
      <alignment horizontal="center" vertical="center" wrapText="1"/>
    </xf>
    <xf numFmtId="0" fontId="0" fillId="0" borderId="52" xfId="9" applyFont="1" applyBorder="1" applyAlignment="1">
      <alignment horizontal="left" vertical="center" wrapText="1"/>
    </xf>
    <xf numFmtId="0" fontId="0" fillId="0" borderId="53" xfId="0" applyBorder="1"/>
    <xf numFmtId="0" fontId="0" fillId="0" borderId="56" xfId="0" applyBorder="1"/>
    <xf numFmtId="0" fontId="0" fillId="0" borderId="59" xfId="0" applyBorder="1"/>
    <xf numFmtId="0" fontId="18" fillId="8" borderId="62" xfId="0" applyFont="1" applyFill="1" applyBorder="1" applyAlignment="1">
      <alignment horizontal="center" vertical="center"/>
    </xf>
    <xf numFmtId="0" fontId="18" fillId="8" borderId="63" xfId="0" applyFont="1" applyFill="1" applyBorder="1" applyAlignment="1">
      <alignment horizontal="center" vertical="center"/>
    </xf>
    <xf numFmtId="0" fontId="20" fillId="0" borderId="67" xfId="2" applyFont="1" applyBorder="1" applyAlignment="1">
      <alignment horizontal="center" vertical="center" wrapText="1"/>
    </xf>
    <xf numFmtId="0" fontId="19" fillId="0" borderId="65" xfId="2" applyFont="1" applyBorder="1" applyAlignment="1">
      <alignment horizontal="left" vertical="center" wrapText="1"/>
    </xf>
    <xf numFmtId="0" fontId="21" fillId="14" borderId="65" xfId="2" applyFont="1" applyFill="1" applyBorder="1" applyAlignment="1">
      <alignment horizontal="left" vertical="center" wrapText="1"/>
    </xf>
    <xf numFmtId="0" fontId="49" fillId="0" borderId="65" xfId="0" applyFont="1" applyBorder="1" applyAlignment="1">
      <alignment horizontal="left" vertical="center"/>
    </xf>
    <xf numFmtId="164" fontId="75" fillId="0" borderId="65" xfId="12" applyFont="1" applyFill="1" applyBorder="1" applyAlignment="1">
      <alignment horizontal="center" vertical="center" wrapText="1"/>
    </xf>
    <xf numFmtId="0" fontId="73" fillId="0" borderId="65" xfId="9" applyFont="1" applyBorder="1" applyAlignment="1">
      <alignment horizontal="left" vertical="center" wrapText="1"/>
    </xf>
    <xf numFmtId="0" fontId="21" fillId="14" borderId="65" xfId="0" applyFont="1" applyFill="1" applyBorder="1" applyAlignment="1">
      <alignment horizontal="left" vertical="center" wrapText="1"/>
    </xf>
    <xf numFmtId="0" fontId="21" fillId="0" borderId="65" xfId="0" applyFont="1" applyBorder="1" applyAlignment="1">
      <alignment horizontal="left" vertical="center" wrapText="1"/>
    </xf>
    <xf numFmtId="0" fontId="18" fillId="8" borderId="69" xfId="0" applyFont="1" applyFill="1" applyBorder="1" applyAlignment="1">
      <alignment horizontal="center"/>
    </xf>
    <xf numFmtId="0" fontId="18" fillId="8" borderId="68" xfId="0" applyFont="1" applyFill="1" applyBorder="1" applyAlignment="1">
      <alignment horizontal="center"/>
    </xf>
    <xf numFmtId="0" fontId="20" fillId="18" borderId="65" xfId="2" applyFont="1" applyFill="1" applyBorder="1" applyAlignment="1">
      <alignment horizontal="center" vertical="center" wrapText="1"/>
    </xf>
    <xf numFmtId="0" fontId="80" fillId="0" borderId="18" xfId="0" applyFont="1" applyBorder="1" applyAlignment="1">
      <alignment horizontal="left" vertical="center"/>
    </xf>
    <xf numFmtId="0" fontId="31" fillId="19" borderId="18" xfId="0" applyFont="1" applyFill="1" applyBorder="1" applyAlignment="1">
      <alignment horizontal="left" vertical="center" wrapText="1"/>
    </xf>
    <xf numFmtId="0" fontId="28" fillId="19" borderId="18" xfId="0" applyFont="1" applyFill="1" applyBorder="1" applyAlignment="1">
      <alignment horizontal="left" vertical="center" wrapText="1"/>
    </xf>
    <xf numFmtId="0" fontId="31" fillId="19" borderId="18" xfId="0" applyFont="1" applyFill="1" applyBorder="1" applyAlignment="1">
      <alignment horizontal="left" vertical="top" wrapText="1"/>
    </xf>
    <xf numFmtId="0" fontId="31" fillId="19" borderId="18" xfId="0" applyFont="1" applyFill="1" applyBorder="1" applyAlignment="1">
      <alignment horizontal="center" vertical="center" wrapText="1"/>
    </xf>
    <xf numFmtId="0" fontId="56" fillId="20" borderId="18" xfId="4" applyFont="1" applyFill="1" applyAlignment="1">
      <alignment vertical="center" wrapText="1"/>
    </xf>
    <xf numFmtId="0" fontId="85" fillId="0" borderId="0" xfId="0" applyFont="1" applyAlignment="1">
      <alignment horizontal="left"/>
    </xf>
    <xf numFmtId="0" fontId="86" fillId="0" borderId="0" xfId="0" applyFont="1" applyAlignment="1">
      <alignment horizontal="left"/>
    </xf>
    <xf numFmtId="0" fontId="87" fillId="0" borderId="0" xfId="0" applyFont="1" applyAlignment="1">
      <alignment horizontal="left"/>
    </xf>
    <xf numFmtId="0" fontId="57" fillId="0" borderId="18" xfId="4" applyFont="1" applyAlignment="1">
      <alignment horizontal="center" vertical="center" wrapText="1"/>
    </xf>
    <xf numFmtId="0" fontId="52" fillId="0" borderId="18" xfId="4" applyFont="1" applyAlignment="1">
      <alignment horizontal="center" vertical="center" wrapText="1"/>
    </xf>
    <xf numFmtId="0" fontId="64" fillId="0" borderId="18" xfId="4" applyFont="1" applyAlignment="1">
      <alignment horizontal="center" vertical="center" wrapText="1"/>
    </xf>
    <xf numFmtId="0" fontId="52" fillId="0" borderId="18" xfId="5" applyFont="1" applyAlignment="1">
      <alignment horizontal="center" vertical="center" wrapText="1"/>
    </xf>
    <xf numFmtId="0" fontId="63" fillId="0" borderId="18" xfId="4" applyFont="1" applyAlignment="1">
      <alignment horizontal="center" vertical="center" wrapText="1"/>
    </xf>
    <xf numFmtId="0" fontId="49" fillId="0" borderId="18" xfId="6" applyAlignment="1">
      <alignment vertical="top" wrapText="1"/>
    </xf>
    <xf numFmtId="0" fontId="6" fillId="0" borderId="18" xfId="4" applyAlignment="1">
      <alignment horizontal="center"/>
    </xf>
    <xf numFmtId="0" fontId="56" fillId="20" borderId="18" xfId="4" applyFont="1" applyFill="1" applyAlignment="1">
      <alignment horizontal="center" vertical="center" wrapText="1"/>
    </xf>
    <xf numFmtId="0" fontId="58" fillId="0" borderId="18" xfId="4" applyFont="1" applyAlignment="1">
      <alignment horizontal="center" vertical="center" wrapText="1"/>
    </xf>
    <xf numFmtId="0" fontId="11" fillId="0" borderId="18" xfId="4" applyFont="1" applyAlignment="1">
      <alignment horizontal="center" vertical="center" wrapText="1"/>
    </xf>
    <xf numFmtId="0" fontId="18" fillId="20" borderId="0" xfId="0" applyFont="1" applyFill="1"/>
    <xf numFmtId="0" fontId="71" fillId="20" borderId="0" xfId="0" applyFont="1" applyFill="1"/>
    <xf numFmtId="0" fontId="72" fillId="20" borderId="0" xfId="0" applyFont="1" applyFill="1"/>
    <xf numFmtId="0" fontId="18" fillId="21" borderId="4" xfId="0" applyFont="1" applyFill="1" applyBorder="1"/>
    <xf numFmtId="0" fontId="39" fillId="15" borderId="40" xfId="0" applyFont="1" applyFill="1" applyBorder="1" applyAlignment="1">
      <alignment horizontal="left" vertical="center" wrapText="1"/>
    </xf>
    <xf numFmtId="0" fontId="72" fillId="20" borderId="71" xfId="0" applyFont="1" applyFill="1" applyBorder="1"/>
    <xf numFmtId="0" fontId="72" fillId="20" borderId="72" xfId="0" applyFont="1" applyFill="1" applyBorder="1"/>
    <xf numFmtId="0" fontId="72" fillId="20" borderId="73" xfId="0" applyFont="1" applyFill="1" applyBorder="1"/>
    <xf numFmtId="0" fontId="71" fillId="20" borderId="74" xfId="0" applyFont="1" applyFill="1" applyBorder="1"/>
    <xf numFmtId="0" fontId="71" fillId="20" borderId="18" xfId="0" applyFont="1" applyFill="1" applyBorder="1"/>
    <xf numFmtId="0" fontId="71" fillId="20" borderId="18" xfId="0" applyFont="1" applyFill="1" applyBorder="1" applyAlignment="1">
      <alignment wrapText="1"/>
    </xf>
    <xf numFmtId="0" fontId="72" fillId="20" borderId="18" xfId="0" applyFont="1" applyFill="1" applyBorder="1" applyAlignment="1">
      <alignment wrapText="1"/>
    </xf>
    <xf numFmtId="0" fontId="72" fillId="20" borderId="75" xfId="0" applyFont="1" applyFill="1" applyBorder="1"/>
    <xf numFmtId="0" fontId="84" fillId="20" borderId="76" xfId="0" applyFont="1" applyFill="1" applyBorder="1" applyAlignment="1">
      <alignment horizontal="left" vertical="center" wrapText="1"/>
    </xf>
    <xf numFmtId="0" fontId="72" fillId="23" borderId="4" xfId="0" applyFont="1" applyFill="1" applyBorder="1" applyAlignment="1">
      <alignment horizontal="center" vertical="center"/>
    </xf>
    <xf numFmtId="0" fontId="30" fillId="0" borderId="77" xfId="0" applyFont="1" applyBorder="1" applyAlignment="1">
      <alignment horizontal="center" vertical="center" wrapText="1"/>
    </xf>
    <xf numFmtId="0" fontId="44" fillId="0" borderId="78" xfId="0" applyFont="1" applyBorder="1" applyAlignment="1">
      <alignment horizontal="left" vertical="center" wrapText="1"/>
    </xf>
    <xf numFmtId="0" fontId="44" fillId="0" borderId="78" xfId="0" applyFont="1" applyBorder="1" applyAlignment="1">
      <alignment horizontal="center" vertical="center" wrapText="1"/>
    </xf>
    <xf numFmtId="0" fontId="44" fillId="15" borderId="78" xfId="0" applyFont="1" applyFill="1" applyBorder="1" applyAlignment="1">
      <alignment horizontal="center" vertical="center" wrapText="1"/>
    </xf>
    <xf numFmtId="0" fontId="20" fillId="5" borderId="78" xfId="2" applyFont="1" applyFill="1" applyBorder="1" applyAlignment="1">
      <alignment horizontal="center" vertical="center" wrapText="1"/>
    </xf>
    <xf numFmtId="0" fontId="30" fillId="0" borderId="78" xfId="0" applyFont="1" applyBorder="1" applyAlignment="1">
      <alignment horizontal="center" vertical="center" wrapText="1"/>
    </xf>
    <xf numFmtId="0" fontId="44" fillId="0" borderId="79" xfId="0" applyFont="1" applyBorder="1" applyAlignment="1">
      <alignment horizontal="center" vertical="center" wrapText="1"/>
    </xf>
    <xf numFmtId="0" fontId="30" fillId="0" borderId="80" xfId="0" applyFont="1" applyBorder="1" applyAlignment="1">
      <alignment horizontal="center" vertical="center" wrapText="1"/>
    </xf>
    <xf numFmtId="0" fontId="44" fillId="0" borderId="81" xfId="0" applyFont="1" applyBorder="1" applyAlignment="1">
      <alignment horizontal="left" vertical="center" wrapText="1"/>
    </xf>
    <xf numFmtId="0" fontId="44" fillId="0" borderId="81" xfId="0" applyFont="1" applyBorder="1" applyAlignment="1">
      <alignment horizontal="center" vertical="center" wrapText="1"/>
    </xf>
    <xf numFmtId="0" fontId="42" fillId="0" borderId="81" xfId="0" applyFont="1" applyBorder="1" applyAlignment="1">
      <alignment horizontal="center" vertical="center" wrapText="1"/>
    </xf>
    <xf numFmtId="0" fontId="44" fillId="15" borderId="81" xfId="0" applyFont="1" applyFill="1" applyBorder="1" applyAlignment="1">
      <alignment horizontal="center" vertical="center" wrapText="1"/>
    </xf>
    <xf numFmtId="0" fontId="20" fillId="5" borderId="81" xfId="2" applyFont="1" applyFill="1" applyBorder="1" applyAlignment="1">
      <alignment horizontal="center" vertical="center" wrapText="1"/>
    </xf>
    <xf numFmtId="0" fontId="30" fillId="0" borderId="81" xfId="0" applyFont="1" applyBorder="1" applyAlignment="1">
      <alignment horizontal="center" vertical="center" wrapText="1"/>
    </xf>
    <xf numFmtId="0" fontId="44" fillId="0" borderId="82" xfId="0" applyFont="1" applyBorder="1" applyAlignment="1">
      <alignment horizontal="center" vertical="center" wrapText="1"/>
    </xf>
    <xf numFmtId="0" fontId="20" fillId="0" borderId="83" xfId="0" applyFont="1" applyBorder="1" applyAlignment="1">
      <alignment horizontal="center" vertical="center" wrapText="1"/>
    </xf>
    <xf numFmtId="0" fontId="0" fillId="0" borderId="83" xfId="0" applyBorder="1"/>
    <xf numFmtId="0" fontId="30" fillId="0" borderId="83" xfId="0" applyFont="1" applyBorder="1" applyAlignment="1">
      <alignment horizontal="center" vertical="center" wrapText="1"/>
    </xf>
    <xf numFmtId="0" fontId="44" fillId="0" borderId="84" xfId="0" applyFont="1" applyBorder="1" applyAlignment="1">
      <alignment horizontal="center" vertical="center" wrapText="1"/>
    </xf>
    <xf numFmtId="0" fontId="84" fillId="20" borderId="74" xfId="0" applyFont="1" applyFill="1" applyBorder="1" applyAlignment="1">
      <alignment horizontal="left" vertical="center" wrapText="1"/>
    </xf>
    <xf numFmtId="0" fontId="84" fillId="20" borderId="18" xfId="0" applyFont="1" applyFill="1" applyBorder="1" applyAlignment="1">
      <alignment horizontal="left" vertical="center" wrapText="1"/>
    </xf>
    <xf numFmtId="164" fontId="72" fillId="20" borderId="18" xfId="12" applyFont="1" applyFill="1" applyBorder="1" applyAlignment="1">
      <alignment wrapText="1"/>
    </xf>
    <xf numFmtId="0" fontId="31" fillId="15" borderId="86" xfId="0" quotePrefix="1" applyFont="1" applyFill="1" applyBorder="1" applyAlignment="1">
      <alignment horizontal="left" vertical="center" wrapText="1"/>
    </xf>
    <xf numFmtId="0" fontId="31" fillId="15" borderId="89" xfId="0" applyFont="1" applyFill="1" applyBorder="1" applyAlignment="1">
      <alignment horizontal="left" vertical="center" wrapText="1"/>
    </xf>
    <xf numFmtId="0" fontId="29" fillId="0" borderId="89" xfId="0" quotePrefix="1" applyFont="1" applyBorder="1" applyAlignment="1">
      <alignment horizontal="left" vertical="center" wrapText="1"/>
    </xf>
    <xf numFmtId="0" fontId="29" fillId="0" borderId="89" xfId="0" applyFont="1" applyBorder="1" applyAlignment="1">
      <alignment horizontal="left" vertical="center" wrapText="1"/>
    </xf>
    <xf numFmtId="0" fontId="31" fillId="15" borderId="89" xfId="0" quotePrefix="1" applyFont="1" applyFill="1" applyBorder="1" applyAlignment="1">
      <alignment horizontal="left" vertical="center" wrapText="1"/>
    </xf>
    <xf numFmtId="0" fontId="31" fillId="15" borderId="92" xfId="0" applyFont="1" applyFill="1" applyBorder="1" applyAlignment="1">
      <alignment horizontal="left" vertical="center" wrapText="1"/>
    </xf>
    <xf numFmtId="0" fontId="22" fillId="24" borderId="18" xfId="0" applyFont="1" applyFill="1" applyBorder="1" applyAlignment="1">
      <alignment horizontal="left" vertical="center" wrapText="1"/>
    </xf>
    <xf numFmtId="0" fontId="28" fillId="24" borderId="18" xfId="0" applyFont="1" applyFill="1" applyBorder="1" applyAlignment="1">
      <alignment horizontal="left" vertical="center" wrapText="1"/>
    </xf>
    <xf numFmtId="0" fontId="30" fillId="24" borderId="18" xfId="0" applyFont="1" applyFill="1" applyBorder="1" applyAlignment="1">
      <alignment horizontal="left" vertical="center" wrapText="1"/>
    </xf>
    <xf numFmtId="0" fontId="31" fillId="24" borderId="18" xfId="0" applyFont="1" applyFill="1" applyBorder="1" applyAlignment="1">
      <alignment horizontal="left" vertical="center" wrapText="1"/>
    </xf>
    <xf numFmtId="0" fontId="32" fillId="25" borderId="18" xfId="0" applyFont="1" applyFill="1" applyBorder="1" applyAlignment="1">
      <alignment vertical="center" wrapText="1"/>
    </xf>
    <xf numFmtId="0" fontId="33" fillId="25" borderId="18" xfId="0" applyFont="1" applyFill="1" applyBorder="1" applyAlignment="1">
      <alignment vertical="center" wrapText="1"/>
    </xf>
    <xf numFmtId="0" fontId="29" fillId="26" borderId="18" xfId="0" applyFont="1" applyFill="1" applyBorder="1" applyAlignment="1">
      <alignment horizontal="left" vertical="center" wrapText="1"/>
    </xf>
    <xf numFmtId="0" fontId="79" fillId="27" borderId="4" xfId="0" applyFont="1" applyFill="1" applyBorder="1" applyAlignment="1">
      <alignment horizontal="center" vertical="center"/>
    </xf>
    <xf numFmtId="0" fontId="79" fillId="27" borderId="4" xfId="0" applyFont="1" applyFill="1" applyBorder="1" applyAlignment="1">
      <alignment horizontal="center" vertical="center" wrapText="1"/>
    </xf>
    <xf numFmtId="0" fontId="77" fillId="20" borderId="51" xfId="0" applyFont="1" applyFill="1" applyBorder="1" applyAlignment="1">
      <alignment horizontal="center" vertical="center"/>
    </xf>
    <xf numFmtId="0" fontId="77" fillId="20" borderId="37" xfId="0" applyFont="1" applyFill="1" applyBorder="1" applyAlignment="1">
      <alignment horizontal="center" vertical="center"/>
    </xf>
    <xf numFmtId="0" fontId="77" fillId="20" borderId="38" xfId="0" applyFont="1" applyFill="1" applyBorder="1" applyAlignment="1">
      <alignment horizontal="center" vertical="center"/>
    </xf>
    <xf numFmtId="0" fontId="77" fillId="20" borderId="23" xfId="0" applyFont="1" applyFill="1" applyBorder="1" applyAlignment="1">
      <alignment horizontal="center" vertical="center"/>
    </xf>
    <xf numFmtId="0" fontId="77" fillId="20" borderId="24" xfId="0" applyFont="1" applyFill="1" applyBorder="1" applyAlignment="1">
      <alignment horizontal="center" vertical="center"/>
    </xf>
    <xf numFmtId="0" fontId="77" fillId="20" borderId="24" xfId="0" applyFont="1" applyFill="1" applyBorder="1" applyAlignment="1">
      <alignment horizontal="left" vertical="center"/>
    </xf>
    <xf numFmtId="0" fontId="77" fillId="20" borderId="25" xfId="0" applyFont="1" applyFill="1" applyBorder="1" applyAlignment="1">
      <alignment horizontal="left" vertical="center"/>
    </xf>
    <xf numFmtId="0" fontId="0" fillId="0" borderId="94" xfId="9" applyFont="1" applyBorder="1" applyAlignment="1">
      <alignment horizontal="left" vertical="center" wrapText="1"/>
    </xf>
    <xf numFmtId="0" fontId="0" fillId="0" borderId="95" xfId="0" applyBorder="1"/>
    <xf numFmtId="0" fontId="72" fillId="20" borderId="18" xfId="0" applyFont="1" applyFill="1" applyBorder="1" applyAlignment="1">
      <alignment horizontal="center" vertical="center" wrapText="1"/>
    </xf>
    <xf numFmtId="0" fontId="18" fillId="20" borderId="18" xfId="0" applyFont="1" applyFill="1" applyBorder="1" applyAlignment="1">
      <alignment horizontal="left" vertical="center" wrapText="1"/>
    </xf>
    <xf numFmtId="0" fontId="18" fillId="20" borderId="18" xfId="12" applyNumberFormat="1" applyFont="1" applyFill="1" applyBorder="1" applyAlignment="1">
      <alignment horizontal="left" vertical="center" wrapText="1"/>
    </xf>
    <xf numFmtId="164" fontId="0" fillId="0" borderId="0" xfId="12" applyFont="1" applyFill="1" applyAlignment="1">
      <alignment horizontal="left" vertical="center"/>
    </xf>
    <xf numFmtId="0" fontId="88" fillId="15" borderId="98" xfId="0" applyFont="1" applyFill="1" applyBorder="1" applyAlignment="1">
      <alignment horizontal="left" vertical="center" wrapText="1"/>
    </xf>
    <xf numFmtId="0" fontId="89" fillId="0" borderId="98" xfId="12" applyNumberFormat="1" applyFont="1" applyFill="1" applyBorder="1" applyAlignment="1">
      <alignment horizontal="left" vertical="center" wrapText="1"/>
    </xf>
    <xf numFmtId="44" fontId="90" fillId="0" borderId="98" xfId="0" applyNumberFormat="1" applyFont="1" applyBorder="1" applyAlignment="1">
      <alignment horizontal="center" vertical="center" wrapText="1"/>
    </xf>
    <xf numFmtId="0" fontId="89" fillId="0" borderId="98" xfId="0" applyFont="1" applyBorder="1" applyAlignment="1">
      <alignment horizontal="left" vertical="center" wrapText="1"/>
    </xf>
    <xf numFmtId="0" fontId="89" fillId="0" borderId="99" xfId="0" applyFont="1" applyBorder="1" applyAlignment="1">
      <alignment horizontal="left" vertical="center" wrapText="1"/>
    </xf>
    <xf numFmtId="0" fontId="48" fillId="0" borderId="100" xfId="14" applyFont="1" applyBorder="1" applyAlignment="1">
      <alignment horizontal="center" vertical="center" wrapText="1"/>
    </xf>
    <xf numFmtId="0" fontId="88" fillId="15" borderId="99" xfId="0" applyFont="1" applyFill="1" applyBorder="1" applyAlignment="1">
      <alignment horizontal="left" vertical="center" wrapText="1"/>
    </xf>
    <xf numFmtId="0" fontId="89" fillId="0" borderId="99" xfId="12" applyNumberFormat="1" applyFont="1" applyFill="1" applyBorder="1" applyAlignment="1">
      <alignment horizontal="left" vertical="center" wrapText="1"/>
    </xf>
    <xf numFmtId="44" fontId="90" fillId="0" borderId="99" xfId="0" applyNumberFormat="1" applyFont="1" applyBorder="1" applyAlignment="1">
      <alignment horizontal="center" vertical="center" wrapText="1"/>
    </xf>
    <xf numFmtId="0" fontId="89" fillId="0" borderId="99" xfId="12" applyNumberFormat="1" applyFont="1" applyBorder="1" applyAlignment="1">
      <alignment horizontal="left" vertical="center" wrapText="1"/>
    </xf>
    <xf numFmtId="0" fontId="71" fillId="20" borderId="0" xfId="0" applyFont="1" applyFill="1" applyAlignment="1">
      <alignment horizontal="right" vertical="center"/>
    </xf>
    <xf numFmtId="166" fontId="71" fillId="20" borderId="18" xfId="0" applyNumberFormat="1" applyFont="1" applyFill="1" applyBorder="1" applyAlignment="1">
      <alignment horizontal="center" vertical="center"/>
    </xf>
    <xf numFmtId="0" fontId="18" fillId="20" borderId="70" xfId="0" applyFont="1" applyFill="1" applyBorder="1" applyAlignment="1">
      <alignment horizontal="center" vertical="center" wrapText="1"/>
    </xf>
    <xf numFmtId="0" fontId="18" fillId="20" borderId="65" xfId="0" applyFont="1" applyFill="1" applyBorder="1" applyAlignment="1">
      <alignment horizontal="center" vertical="center" wrapText="1"/>
    </xf>
    <xf numFmtId="0" fontId="72" fillId="20" borderId="65" xfId="0" applyFont="1" applyFill="1" applyBorder="1" applyAlignment="1">
      <alignment horizontal="center" vertical="center" wrapText="1"/>
    </xf>
    <xf numFmtId="0" fontId="71" fillId="20" borderId="65" xfId="0" applyFont="1" applyFill="1" applyBorder="1" applyAlignment="1">
      <alignment horizontal="center" vertical="center" wrapText="1"/>
    </xf>
    <xf numFmtId="0" fontId="71" fillId="20" borderId="66" xfId="0" applyFont="1" applyFill="1" applyBorder="1" applyAlignment="1">
      <alignment horizontal="center" vertical="center" wrapText="1"/>
    </xf>
    <xf numFmtId="0" fontId="39" fillId="0" borderId="0" xfId="0" applyFont="1" applyAlignment="1">
      <alignment vertical="center"/>
    </xf>
    <xf numFmtId="0" fontId="87" fillId="0" borderId="0" xfId="0" applyFont="1" applyAlignment="1">
      <alignment horizontal="left" vertical="top"/>
    </xf>
    <xf numFmtId="0" fontId="20" fillId="22" borderId="64" xfId="2" applyFont="1" applyFill="1" applyBorder="1" applyAlignment="1">
      <alignment horizontal="center" vertical="center" wrapText="1"/>
    </xf>
    <xf numFmtId="0" fontId="22" fillId="28" borderId="65" xfId="2" applyFont="1" applyFill="1" applyBorder="1" applyAlignment="1">
      <alignment vertical="center" wrapText="1"/>
    </xf>
    <xf numFmtId="0" fontId="48" fillId="15" borderId="65" xfId="14" applyFont="1" applyFill="1" applyBorder="1" applyAlignment="1">
      <alignment vertical="center" wrapText="1"/>
    </xf>
    <xf numFmtId="0" fontId="76" fillId="29" borderId="54" xfId="0" applyFont="1" applyFill="1" applyBorder="1" applyAlignment="1">
      <alignment horizontal="center" vertical="center"/>
    </xf>
    <xf numFmtId="0" fontId="0" fillId="29" borderId="54" xfId="0" applyFill="1" applyBorder="1" applyAlignment="1">
      <alignment horizontal="center" vertical="center"/>
    </xf>
    <xf numFmtId="169" fontId="0" fillId="29" borderId="54" xfId="7" applyNumberFormat="1" applyFont="1" applyFill="1" applyBorder="1" applyAlignment="1">
      <alignment horizontal="center" vertical="center"/>
    </xf>
    <xf numFmtId="1" fontId="0" fillId="29" borderId="55" xfId="7" quotePrefix="1" applyNumberFormat="1" applyFont="1" applyFill="1" applyBorder="1" applyAlignment="1">
      <alignment horizontal="center" vertical="center"/>
    </xf>
    <xf numFmtId="0" fontId="76" fillId="29" borderId="57" xfId="0" applyFont="1" applyFill="1" applyBorder="1" applyAlignment="1">
      <alignment horizontal="center" vertical="center"/>
    </xf>
    <xf numFmtId="0" fontId="0" fillId="29" borderId="57" xfId="0" applyFill="1" applyBorder="1" applyAlignment="1">
      <alignment horizontal="center" vertical="center"/>
    </xf>
    <xf numFmtId="169" fontId="0" fillId="29" borderId="57" xfId="7" applyNumberFormat="1" applyFont="1" applyFill="1" applyBorder="1" applyAlignment="1">
      <alignment horizontal="center" vertical="center"/>
    </xf>
    <xf numFmtId="9" fontId="0" fillId="29" borderId="57" xfId="7" quotePrefix="1" applyFont="1" applyFill="1" applyBorder="1" applyAlignment="1">
      <alignment horizontal="center" vertical="center"/>
    </xf>
    <xf numFmtId="1" fontId="0" fillId="29" borderId="58" xfId="7" quotePrefix="1" applyNumberFormat="1" applyFont="1" applyFill="1" applyBorder="1" applyAlignment="1">
      <alignment horizontal="center" vertical="center"/>
    </xf>
    <xf numFmtId="9" fontId="49" fillId="29" borderId="57" xfId="7" quotePrefix="1" applyFont="1" applyFill="1" applyBorder="1" applyAlignment="1">
      <alignment horizontal="center" vertical="center"/>
    </xf>
    <xf numFmtId="0" fontId="76" fillId="29" borderId="96" xfId="0" applyFont="1" applyFill="1" applyBorder="1" applyAlignment="1">
      <alignment horizontal="center" vertical="center"/>
    </xf>
    <xf numFmtId="0" fontId="0" fillId="29" borderId="96" xfId="0" applyFill="1" applyBorder="1" applyAlignment="1">
      <alignment horizontal="center" vertical="center"/>
    </xf>
    <xf numFmtId="169" fontId="0" fillId="29" borderId="96" xfId="7" applyNumberFormat="1" applyFont="1" applyFill="1" applyBorder="1" applyAlignment="1">
      <alignment horizontal="center" vertical="center"/>
    </xf>
    <xf numFmtId="9" fontId="0" fillId="29" borderId="96" xfId="7" quotePrefix="1" applyFont="1" applyFill="1" applyBorder="1" applyAlignment="1">
      <alignment horizontal="center" vertical="center"/>
    </xf>
    <xf numFmtId="1" fontId="0" fillId="29" borderId="97" xfId="7" quotePrefix="1" applyNumberFormat="1" applyFont="1" applyFill="1" applyBorder="1" applyAlignment="1">
      <alignment horizontal="center" vertical="center"/>
    </xf>
    <xf numFmtId="0" fontId="76" fillId="29" borderId="60" xfId="0" applyFont="1" applyFill="1" applyBorder="1" applyAlignment="1">
      <alignment horizontal="center" vertical="center"/>
    </xf>
    <xf numFmtId="0" fontId="0" fillId="29" borderId="60" xfId="0" applyFill="1" applyBorder="1" applyAlignment="1">
      <alignment horizontal="center" vertical="center"/>
    </xf>
    <xf numFmtId="169" fontId="0" fillId="29" borderId="60" xfId="7" applyNumberFormat="1" applyFont="1" applyFill="1" applyBorder="1" applyAlignment="1">
      <alignment horizontal="center" vertical="center"/>
    </xf>
    <xf numFmtId="9" fontId="0" fillId="29" borderId="60" xfId="7" quotePrefix="1" applyFont="1" applyFill="1" applyBorder="1" applyAlignment="1">
      <alignment horizontal="center" vertical="center"/>
    </xf>
    <xf numFmtId="1" fontId="0" fillId="29" borderId="61" xfId="7" quotePrefix="1" applyNumberFormat="1" applyFont="1" applyFill="1" applyBorder="1" applyAlignment="1">
      <alignment horizontal="center" vertical="center"/>
    </xf>
    <xf numFmtId="0" fontId="30" fillId="0" borderId="101" xfId="0" applyFont="1" applyBorder="1" applyAlignment="1">
      <alignment horizontal="center" vertical="center" wrapText="1"/>
    </xf>
    <xf numFmtId="0" fontId="44" fillId="0" borderId="102" xfId="0" applyFont="1" applyBorder="1" applyAlignment="1">
      <alignment horizontal="left" vertical="center" wrapText="1"/>
    </xf>
    <xf numFmtId="0" fontId="44" fillId="0" borderId="102" xfId="0" applyFont="1" applyBorder="1" applyAlignment="1">
      <alignment horizontal="center" vertical="center" wrapText="1"/>
    </xf>
    <xf numFmtId="0" fontId="44" fillId="15" borderId="102" xfId="0" applyFont="1" applyFill="1" applyBorder="1" applyAlignment="1">
      <alignment horizontal="center" vertical="center" wrapText="1"/>
    </xf>
    <xf numFmtId="0" fontId="20" fillId="0" borderId="102" xfId="0" applyFont="1" applyBorder="1" applyAlignment="1">
      <alignment horizontal="center" vertical="center" wrapText="1"/>
    </xf>
    <xf numFmtId="0" fontId="0" fillId="0" borderId="103" xfId="0" applyBorder="1"/>
    <xf numFmtId="0" fontId="0" fillId="0" borderId="104" xfId="0" applyBorder="1"/>
    <xf numFmtId="0" fontId="20" fillId="0" borderId="79" xfId="0" applyFont="1" applyBorder="1" applyAlignment="1">
      <alignment horizontal="center" vertical="center" wrapText="1"/>
    </xf>
    <xf numFmtId="0" fontId="20" fillId="0" borderId="82" xfId="0" applyFont="1" applyBorder="1" applyAlignment="1">
      <alignment horizontal="center" vertical="center" wrapText="1"/>
    </xf>
    <xf numFmtId="0" fontId="59" fillId="0" borderId="105" xfId="9" applyFont="1" applyBorder="1" applyAlignment="1">
      <alignment horizontal="center" vertical="center"/>
    </xf>
    <xf numFmtId="0" fontId="73" fillId="0" borderId="106" xfId="9" applyFont="1" applyBorder="1" applyAlignment="1">
      <alignment horizontal="left" vertical="center" wrapText="1"/>
    </xf>
    <xf numFmtId="0" fontId="73" fillId="30" borderId="106" xfId="9" applyFont="1" applyFill="1" applyBorder="1" applyAlignment="1">
      <alignment horizontal="left" vertical="center" wrapText="1"/>
    </xf>
    <xf numFmtId="0" fontId="73" fillId="30" borderId="107" xfId="9" applyFont="1" applyFill="1" applyBorder="1" applyAlignment="1">
      <alignment horizontal="left" vertical="center" wrapText="1"/>
    </xf>
    <xf numFmtId="0" fontId="59" fillId="0" borderId="108" xfId="9" applyFont="1" applyBorder="1" applyAlignment="1">
      <alignment horizontal="center" vertical="center"/>
    </xf>
    <xf numFmtId="0" fontId="73" fillId="0" borderId="107" xfId="9" applyFont="1" applyBorder="1" applyAlignment="1">
      <alignment horizontal="left" vertical="center" wrapText="1"/>
    </xf>
    <xf numFmtId="1" fontId="44" fillId="0" borderId="78" xfId="0" applyNumberFormat="1" applyFont="1" applyBorder="1" applyAlignment="1">
      <alignment horizontal="center" vertical="center" wrapText="1"/>
    </xf>
    <xf numFmtId="1" fontId="42" fillId="0" borderId="81" xfId="0" applyNumberFormat="1" applyFont="1" applyBorder="1" applyAlignment="1">
      <alignment horizontal="center" vertical="center" wrapText="1"/>
    </xf>
    <xf numFmtId="44" fontId="39" fillId="0" borderId="0" xfId="0" applyNumberFormat="1" applyFont="1" applyAlignment="1">
      <alignment horizontal="center" vertical="center"/>
    </xf>
    <xf numFmtId="44" fontId="18" fillId="8" borderId="1" xfId="0" applyNumberFormat="1" applyFont="1" applyFill="1" applyBorder="1" applyAlignment="1">
      <alignment horizontal="center" vertical="center"/>
    </xf>
    <xf numFmtId="44" fontId="18" fillId="20" borderId="18" xfId="0" applyNumberFormat="1" applyFont="1" applyFill="1" applyBorder="1" applyAlignment="1">
      <alignment horizontal="center" vertical="center" wrapText="1"/>
    </xf>
    <xf numFmtId="44" fontId="39" fillId="0" borderId="40" xfId="0" applyNumberFormat="1" applyFont="1" applyBorder="1" applyAlignment="1">
      <alignment horizontal="center" vertical="center" wrapText="1"/>
    </xf>
    <xf numFmtId="9" fontId="49" fillId="29" borderId="54" xfId="7" quotePrefix="1" applyFont="1" applyFill="1" applyBorder="1" applyAlignment="1">
      <alignment horizontal="center" vertical="center"/>
    </xf>
    <xf numFmtId="0" fontId="41" fillId="0" borderId="18" xfId="10" applyFill="1" applyBorder="1" applyAlignment="1">
      <alignment horizontal="center" vertical="center" wrapText="1"/>
    </xf>
    <xf numFmtId="0" fontId="0" fillId="0" borderId="109" xfId="0" applyBorder="1"/>
    <xf numFmtId="9" fontId="0" fillId="0" borderId="0" xfId="13" applyFont="1" applyAlignment="1"/>
    <xf numFmtId="0" fontId="0" fillId="0" borderId="110" xfId="9" applyFont="1" applyBorder="1" applyAlignment="1">
      <alignment horizontal="left" vertical="center" wrapText="1"/>
    </xf>
    <xf numFmtId="0" fontId="73" fillId="0" borderId="110" xfId="9" applyFont="1" applyBorder="1" applyAlignment="1">
      <alignment horizontal="left" vertical="center" wrapText="1"/>
    </xf>
    <xf numFmtId="0" fontId="0" fillId="30" borderId="111" xfId="9" applyFont="1" applyFill="1" applyBorder="1" applyAlignment="1">
      <alignment horizontal="left" vertical="center" wrapText="1"/>
    </xf>
    <xf numFmtId="0" fontId="0" fillId="30" borderId="110" xfId="9" applyFont="1" applyFill="1" applyBorder="1" applyAlignment="1">
      <alignment horizontal="left" vertical="center" wrapText="1"/>
    </xf>
    <xf numFmtId="0" fontId="0" fillId="0" borderId="111" xfId="9" applyFont="1" applyBorder="1" applyAlignment="1">
      <alignment horizontal="left" vertical="center" wrapText="1"/>
    </xf>
    <xf numFmtId="0" fontId="0" fillId="0" borderId="0" xfId="0" applyAlignment="1">
      <alignment horizontal="center" vertical="center"/>
    </xf>
    <xf numFmtId="1" fontId="49" fillId="0" borderId="66" xfId="11" quotePrefix="1" applyNumberFormat="1" applyFont="1" applyBorder="1" applyAlignment="1">
      <alignment horizontal="center" vertical="center" wrapText="1"/>
    </xf>
    <xf numFmtId="16" fontId="0" fillId="0" borderId="0" xfId="0" applyNumberFormat="1"/>
    <xf numFmtId="0" fontId="2" fillId="29" borderId="65" xfId="2" applyFont="1" applyFill="1" applyBorder="1" applyAlignment="1">
      <alignment vertical="center" wrapText="1"/>
    </xf>
    <xf numFmtId="0" fontId="1" fillId="29" borderId="65" xfId="2" applyFont="1" applyFill="1" applyBorder="1" applyAlignment="1">
      <alignment vertical="center" wrapText="1"/>
    </xf>
    <xf numFmtId="9" fontId="42" fillId="0" borderId="81" xfId="13" applyFont="1" applyFill="1" applyBorder="1" applyAlignment="1">
      <alignment horizontal="center" vertical="center" wrapText="1"/>
    </xf>
    <xf numFmtId="0" fontId="0" fillId="0" borderId="42" xfId="0" applyBorder="1" applyAlignment="1">
      <alignment horizontal="left" vertical="center"/>
    </xf>
    <xf numFmtId="0" fontId="11" fillId="17" borderId="44" xfId="0" applyFont="1" applyFill="1" applyBorder="1" applyAlignment="1">
      <alignment horizontal="left" vertical="top" wrapText="1"/>
    </xf>
    <xf numFmtId="0" fontId="13" fillId="15" borderId="44" xfId="0" applyFont="1" applyFill="1" applyBorder="1"/>
    <xf numFmtId="0" fontId="72" fillId="20" borderId="0" xfId="0" applyFont="1" applyFill="1" applyAlignment="1">
      <alignment horizontal="center"/>
    </xf>
    <xf numFmtId="0" fontId="11" fillId="0" borderId="0" xfId="0" applyFont="1" applyAlignment="1">
      <alignment horizontal="left" vertical="top" wrapText="1"/>
    </xf>
    <xf numFmtId="0" fontId="0" fillId="0" borderId="0" xfId="0"/>
    <xf numFmtId="0" fontId="11" fillId="3" borderId="2" xfId="0" applyFont="1" applyFill="1" applyBorder="1" applyAlignment="1">
      <alignment horizontal="center"/>
    </xf>
    <xf numFmtId="0" fontId="13" fillId="0" borderId="3" xfId="0" applyFont="1" applyBorder="1"/>
    <xf numFmtId="0" fontId="11" fillId="4" borderId="2" xfId="0" applyFont="1" applyFill="1" applyBorder="1" applyAlignment="1">
      <alignment horizontal="center"/>
    </xf>
    <xf numFmtId="0" fontId="11" fillId="5" borderId="2" xfId="0" applyFont="1" applyFill="1" applyBorder="1" applyAlignment="1">
      <alignment horizontal="center"/>
    </xf>
    <xf numFmtId="0" fontId="48" fillId="0" borderId="20" xfId="1" applyFont="1" applyBorder="1" applyAlignment="1">
      <alignment horizontal="center"/>
    </xf>
    <xf numFmtId="0" fontId="48" fillId="0" borderId="21" xfId="1" applyFont="1" applyBorder="1" applyAlignment="1">
      <alignment horizontal="center"/>
    </xf>
    <xf numFmtId="0" fontId="48" fillId="0" borderId="22" xfId="1" applyFont="1" applyBorder="1" applyAlignment="1">
      <alignment horizontal="center"/>
    </xf>
    <xf numFmtId="10" fontId="29" fillId="0" borderId="18" xfId="13" applyNumberFormat="1" applyFont="1" applyBorder="1" applyAlignment="1">
      <alignment horizontal="center" vertical="center" wrapText="1"/>
    </xf>
    <xf numFmtId="10" fontId="29" fillId="0" borderId="89" xfId="13" applyNumberFormat="1" applyFont="1" applyFill="1" applyBorder="1" applyAlignment="1">
      <alignment horizontal="center" vertical="center" wrapText="1"/>
    </xf>
    <xf numFmtId="167" fontId="29" fillId="0" borderId="89" xfId="13" applyNumberFormat="1" applyFont="1" applyFill="1" applyBorder="1" applyAlignment="1">
      <alignment horizontal="center" vertical="center" wrapText="1"/>
    </xf>
    <xf numFmtId="10" fontId="31" fillId="15" borderId="89" xfId="13" applyNumberFormat="1" applyFont="1" applyFill="1" applyBorder="1" applyAlignment="1">
      <alignment horizontal="center" vertical="center" wrapText="1"/>
    </xf>
    <xf numFmtId="0" fontId="29" fillId="0" borderId="90" xfId="0" applyFont="1" applyBorder="1" applyAlignment="1">
      <alignment horizontal="center" vertical="center" wrapText="1"/>
    </xf>
    <xf numFmtId="0" fontId="31" fillId="15" borderId="90" xfId="0" applyFont="1" applyFill="1" applyBorder="1" applyAlignment="1">
      <alignment horizontal="center" vertical="center" wrapText="1"/>
    </xf>
    <xf numFmtId="1" fontId="29" fillId="0" borderId="90" xfId="13" applyNumberFormat="1" applyFont="1" applyFill="1" applyBorder="1" applyAlignment="1">
      <alignment horizontal="center" vertical="center" wrapText="1"/>
    </xf>
    <xf numFmtId="164" fontId="29" fillId="0" borderId="89" xfId="12" applyFont="1" applyFill="1" applyBorder="1" applyAlignment="1">
      <alignment horizontal="center" vertical="center" wrapText="1"/>
    </xf>
    <xf numFmtId="164" fontId="31" fillId="15" borderId="89" xfId="12" applyFont="1" applyFill="1" applyBorder="1" applyAlignment="1">
      <alignment horizontal="center" vertical="center" wrapText="1"/>
    </xf>
    <xf numFmtId="168" fontId="29" fillId="0" borderId="89" xfId="12" applyNumberFormat="1" applyFont="1" applyFill="1" applyBorder="1" applyAlignment="1">
      <alignment horizontal="center" vertical="center" wrapText="1"/>
    </xf>
    <xf numFmtId="0" fontId="28" fillId="15" borderId="85" xfId="0" applyFont="1" applyFill="1" applyBorder="1" applyAlignment="1">
      <alignment horizontal="left" vertical="center" wrapText="1"/>
    </xf>
    <xf numFmtId="0" fontId="28" fillId="15" borderId="88" xfId="0" applyFont="1" applyFill="1" applyBorder="1" applyAlignment="1">
      <alignment horizontal="left" vertical="center" wrapText="1"/>
    </xf>
    <xf numFmtId="0" fontId="28" fillId="15" borderId="91" xfId="0" applyFont="1" applyFill="1" applyBorder="1" applyAlignment="1">
      <alignment horizontal="left" vertical="center" wrapText="1"/>
    </xf>
    <xf numFmtId="0" fontId="31" fillId="15" borderId="89" xfId="0" applyFont="1" applyFill="1" applyBorder="1" applyAlignment="1">
      <alignment horizontal="center" vertical="center" wrapText="1"/>
    </xf>
    <xf numFmtId="0" fontId="31" fillId="15" borderId="92" xfId="0" applyFont="1" applyFill="1" applyBorder="1" applyAlignment="1">
      <alignment horizontal="center" vertical="center" wrapText="1"/>
    </xf>
    <xf numFmtId="0" fontId="31" fillId="15" borderId="86" xfId="0" applyFont="1" applyFill="1" applyBorder="1" applyAlignment="1">
      <alignment horizontal="center" vertical="center" wrapText="1"/>
    </xf>
    <xf numFmtId="10" fontId="31" fillId="15" borderId="92" xfId="13" applyNumberFormat="1" applyFont="1" applyFill="1" applyBorder="1" applyAlignment="1">
      <alignment horizontal="center" vertical="center" wrapText="1"/>
    </xf>
    <xf numFmtId="167" fontId="31" fillId="15" borderId="86" xfId="13" applyNumberFormat="1" applyFont="1" applyFill="1" applyBorder="1" applyAlignment="1">
      <alignment horizontal="center" vertical="center" wrapText="1"/>
    </xf>
    <xf numFmtId="167" fontId="31" fillId="15" borderId="89" xfId="13" applyNumberFormat="1" applyFont="1" applyFill="1" applyBorder="1" applyAlignment="1">
      <alignment horizontal="center" vertical="center" wrapText="1"/>
    </xf>
    <xf numFmtId="0" fontId="27" fillId="0" borderId="88" xfId="0" applyFont="1" applyBorder="1" applyAlignment="1">
      <alignment horizontal="left" vertical="center" wrapText="1"/>
    </xf>
    <xf numFmtId="0" fontId="13" fillId="0" borderId="88" xfId="0" applyFont="1" applyBorder="1" applyAlignment="1">
      <alignment horizontal="left" vertical="center"/>
    </xf>
    <xf numFmtId="0" fontId="29" fillId="0" borderId="89" xfId="0" applyFont="1" applyBorder="1" applyAlignment="1">
      <alignment horizontal="center" vertical="center" wrapText="1"/>
    </xf>
    <xf numFmtId="0" fontId="13" fillId="15" borderId="88" xfId="0" applyFont="1" applyFill="1" applyBorder="1" applyAlignment="1">
      <alignment horizontal="left" vertical="center"/>
    </xf>
    <xf numFmtId="0" fontId="84" fillId="20" borderId="18" xfId="0" applyFont="1" applyFill="1" applyBorder="1" applyAlignment="1">
      <alignment horizontal="center" vertical="center" wrapText="1"/>
    </xf>
    <xf numFmtId="9" fontId="31" fillId="15" borderId="86" xfId="13" applyFont="1" applyFill="1" applyBorder="1" applyAlignment="1">
      <alignment horizontal="center" vertical="center" wrapText="1"/>
    </xf>
    <xf numFmtId="9" fontId="31" fillId="15" borderId="89" xfId="13" applyFont="1" applyFill="1" applyBorder="1" applyAlignment="1">
      <alignment horizontal="center" vertical="center" wrapText="1"/>
    </xf>
    <xf numFmtId="0" fontId="31" fillId="15" borderId="87" xfId="0" applyFont="1" applyFill="1" applyBorder="1" applyAlignment="1">
      <alignment horizontal="center" vertical="center" wrapText="1"/>
    </xf>
    <xf numFmtId="164" fontId="31" fillId="15" borderId="86" xfId="12" applyFont="1" applyFill="1" applyBorder="1" applyAlignment="1">
      <alignment horizontal="center" vertical="center" wrapText="1"/>
    </xf>
    <xf numFmtId="0" fontId="31" fillId="15" borderId="93" xfId="0" applyFont="1" applyFill="1" applyBorder="1" applyAlignment="1">
      <alignment horizontal="center" vertical="center" wrapText="1"/>
    </xf>
    <xf numFmtId="164" fontId="31" fillId="15" borderId="92" xfId="12" applyFont="1" applyFill="1" applyBorder="1" applyAlignment="1">
      <alignment horizontal="center" vertical="center" wrapText="1"/>
    </xf>
    <xf numFmtId="0" fontId="10" fillId="2" borderId="2" xfId="0" applyFont="1" applyFill="1" applyBorder="1" applyAlignment="1">
      <alignment horizontal="center" vertical="top" wrapText="1"/>
    </xf>
    <xf numFmtId="0" fontId="13" fillId="0" borderId="18" xfId="0" applyFont="1" applyBorder="1"/>
    <xf numFmtId="0" fontId="11" fillId="0" borderId="1" xfId="0" applyFont="1" applyFill="1" applyBorder="1" applyAlignment="1">
      <alignment vertical="top" wrapText="1"/>
    </xf>
    <xf numFmtId="0" fontId="11" fillId="0" borderId="1" xfId="0" applyFont="1" applyFill="1" applyBorder="1" applyAlignment="1">
      <alignment horizontal="center" vertical="top" wrapText="1"/>
    </xf>
    <xf numFmtId="0" fontId="11" fillId="0" borderId="1" xfId="0" applyFont="1" applyFill="1" applyBorder="1" applyAlignment="1">
      <alignment horizontal="left" vertical="top" wrapText="1"/>
    </xf>
    <xf numFmtId="0" fontId="91" fillId="31" borderId="112" xfId="0" applyFont="1" applyFill="1" applyBorder="1" applyAlignment="1">
      <alignment vertical="center" wrapText="1"/>
    </xf>
    <xf numFmtId="0" fontId="91" fillId="31" borderId="113" xfId="0" applyFont="1" applyFill="1" applyBorder="1" applyAlignment="1">
      <alignment vertical="center" wrapText="1"/>
    </xf>
  </cellXfs>
  <cellStyles count="34">
    <cellStyle name="Hiperlink" xfId="10" builtinId="8"/>
    <cellStyle name="Moeda" xfId="12" builtinId="4"/>
    <cellStyle name="Moeda 2" xfId="22" xr:uid="{B875858F-BB01-4DD9-8541-5472D1DAAE6F}"/>
    <cellStyle name="Moeda 2 2" xfId="26" xr:uid="{95554116-C452-4F6C-B8FA-4867C1859BFB}"/>
    <cellStyle name="Moeda 3" xfId="20" xr:uid="{39088A15-E911-44DE-9A15-61E10D194EE3}"/>
    <cellStyle name="Moeda 4" xfId="27" xr:uid="{9FE7B60E-D470-421C-AE2B-04233EF2119F}"/>
    <cellStyle name="Moeda 5" xfId="28" xr:uid="{BD92FA1C-B953-4E00-96F3-8BC956F76772}"/>
    <cellStyle name="Moeda 6" xfId="18" xr:uid="{771A50FE-F8C4-485F-BBC7-4ACCD9B0BC14}"/>
    <cellStyle name="Moeda 7" xfId="32" xr:uid="{FF28BE02-0D8F-4C05-98C4-1056A614257E}"/>
    <cellStyle name="Normal" xfId="0" builtinId="0"/>
    <cellStyle name="Normal - Style1" xfId="30" xr:uid="{0C3B1F2F-3B1B-44AF-8C8F-5A10318F95D2}"/>
    <cellStyle name="Normal 2" xfId="1" xr:uid="{2992395C-F1B4-4F2C-A488-B62950D91F70}"/>
    <cellStyle name="Normal 2 2" xfId="9" xr:uid="{97F4D4E1-98E4-4DCC-AFCF-F4BC2D7E9943}"/>
    <cellStyle name="Normal 2 2 2" xfId="15" xr:uid="{814A44C6-BF05-4F6A-BE5D-4D650D8B1877}"/>
    <cellStyle name="Normal 2 3" xfId="8" xr:uid="{4BCE9714-BF41-47A3-BAD9-34DDFEB9EA21}"/>
    <cellStyle name="Normal 2 3 2" xfId="14" xr:uid="{29BE2A3E-7C20-46D3-9676-6C727718EAD0}"/>
    <cellStyle name="Normal 2 3 3" xfId="21" xr:uid="{2777AB8E-A9A2-47C5-9734-74B22B7A01DB}"/>
    <cellStyle name="Normal 3" xfId="2" xr:uid="{1E5C3E2E-4B9F-4010-AEC3-359541B36CE6}"/>
    <cellStyle name="Normal 3 2" xfId="24" xr:uid="{95774ACF-F33E-40B7-8600-7A108328CFAA}"/>
    <cellStyle name="Normal 4" xfId="3" xr:uid="{715C20AA-4F5B-440F-BA8E-8848E6EC0385}"/>
    <cellStyle name="Normal 4 2" xfId="4" xr:uid="{EEBF41E7-7B3D-42A6-8B91-784381D8EF44}"/>
    <cellStyle name="Normal 4 3" xfId="29" xr:uid="{9C7D6E01-400A-42C3-BC7A-D08A315B1889}"/>
    <cellStyle name="Normal 5" xfId="5" xr:uid="{2E344001-813E-430E-AA03-DD5AC9AFCC8A}"/>
    <cellStyle name="Normal 5 2" xfId="6" xr:uid="{59F72A1B-DE46-49F6-BF1D-255B4ACF18AD}"/>
    <cellStyle name="Normal 6" xfId="16" xr:uid="{19C318F5-BB77-44F1-9995-9254847D66B0}"/>
    <cellStyle name="Normal 7" xfId="31" xr:uid="{C522A4D1-7CD6-41CA-86B3-C5186F30C368}"/>
    <cellStyle name="Normal 8" xfId="33" xr:uid="{A00D3F27-405D-4EC9-A241-A8FB9E775ECA}"/>
    <cellStyle name="Porcentagem" xfId="13" builtinId="5"/>
    <cellStyle name="Porcentagem 2" xfId="7" xr:uid="{FBF22080-2B2D-414E-8F0E-A7692572D909}"/>
    <cellStyle name="Porcentagem 2 2" xfId="25" xr:uid="{E8BFC110-56AF-44CF-83E4-B072C71E5C76}"/>
    <cellStyle name="Porcentagem 3" xfId="19" xr:uid="{B4D68E96-26A4-4068-8EE8-905AB16AB0C0}"/>
    <cellStyle name="Vírgula" xfId="11" builtinId="3"/>
    <cellStyle name="Vírgula 2" xfId="23" xr:uid="{AB6902D8-531D-4CFC-9936-99175A13BA31}"/>
    <cellStyle name="Vírgula 3" xfId="17" xr:uid="{5165BD6F-5473-4FE1-B393-D6517C7B9EFE}"/>
  </cellStyles>
  <dxfs count="256">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b/>
        <i val="0"/>
        <color rgb="FFFF0000"/>
      </font>
    </dxf>
    <dxf>
      <font>
        <color rgb="FF9C5700"/>
      </font>
      <fill>
        <patternFill>
          <bgColor rgb="FFE7DC9D"/>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rgb="FF9C0006"/>
      </font>
      <fill>
        <patternFill>
          <bgColor rgb="FFFFC7CE"/>
        </patternFill>
      </fill>
    </dxf>
    <dxf>
      <font>
        <color rgb="FF9C0006"/>
      </font>
      <fill>
        <patternFill>
          <bgColor rgb="FFFFC7CE"/>
        </patternFill>
      </fill>
    </dxf>
    <dxf>
      <font>
        <b/>
        <i val="0"/>
      </font>
      <fill>
        <patternFill>
          <bgColor rgb="FFFF0000"/>
        </patternFill>
      </fill>
    </dxf>
    <dxf>
      <font>
        <b/>
        <i val="0"/>
      </font>
      <fill>
        <patternFill>
          <bgColor rgb="FFFFFF00"/>
        </patternFill>
      </fill>
    </dxf>
    <dxf>
      <font>
        <b/>
        <i val="0"/>
      </font>
      <fill>
        <patternFill>
          <bgColor rgb="FF92D050"/>
        </patternFill>
      </fill>
    </dxf>
    <dxf>
      <font>
        <color rgb="FF9C0006"/>
      </font>
      <fill>
        <patternFill>
          <bgColor rgb="FFFFC7CE"/>
        </patternFill>
      </fill>
    </dxf>
    <dxf>
      <font>
        <b/>
        <i val="0"/>
      </font>
      <fill>
        <patternFill>
          <bgColor rgb="FFFF0000"/>
        </patternFill>
      </fill>
    </dxf>
    <dxf>
      <font>
        <b/>
        <i val="0"/>
      </font>
      <fill>
        <patternFill>
          <bgColor rgb="FFFFFF00"/>
        </patternFill>
      </fill>
    </dxf>
    <dxf>
      <font>
        <b/>
        <i val="0"/>
      </font>
      <fill>
        <patternFill>
          <bgColor rgb="FF92D050"/>
        </patternFill>
      </fill>
    </dxf>
    <dxf>
      <font>
        <color rgb="FF9C0006"/>
      </font>
      <fill>
        <patternFill>
          <bgColor rgb="FFFFC7CE"/>
        </patternFill>
      </fill>
    </dxf>
    <dxf>
      <font>
        <b/>
        <i val="0"/>
      </font>
      <fill>
        <patternFill>
          <bgColor rgb="FFFF0000"/>
        </patternFill>
      </fill>
    </dxf>
    <dxf>
      <font>
        <b/>
        <i val="0"/>
      </font>
      <fill>
        <patternFill>
          <bgColor rgb="FFFFFF00"/>
        </patternFill>
      </fill>
    </dxf>
    <dxf>
      <font>
        <b/>
        <i val="0"/>
      </font>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diagonalUp="0" diagonalDown="0">
        <left style="thin">
          <color theme="1"/>
        </left>
        <right style="thin">
          <color theme="1"/>
        </right>
        <top style="thin">
          <color theme="1"/>
        </top>
        <bottom style="thin">
          <color theme="1"/>
        </bottom>
      </border>
    </dxf>
    <dxf>
      <fill>
        <patternFill patternType="none">
          <fgColor indexed="64"/>
          <bgColor auto="1"/>
        </patternFill>
      </fill>
    </dxf>
    <dxf>
      <font>
        <b val="0"/>
        <i val="0"/>
        <strike val="0"/>
        <condense val="0"/>
        <extend val="0"/>
        <outline val="0"/>
        <shadow val="0"/>
        <u val="none"/>
        <vertAlign val="baseline"/>
        <sz val="10"/>
        <color rgb="FFFFFFFF"/>
        <name val="Calibri Light"/>
        <family val="2"/>
        <scheme val="none"/>
      </font>
      <fill>
        <patternFill patternType="solid">
          <fgColor indexed="64"/>
          <bgColor rgb="FF273A77"/>
        </patternFill>
      </fill>
      <alignment horizontal="general" vertical="center" textRotation="0" wrapText="1" indent="0" justifyLastLine="0" shrinkToFit="0" readingOrder="0"/>
    </dxf>
    <dxf>
      <font>
        <b/>
        <i val="0"/>
        <strike val="0"/>
        <condense val="0"/>
        <extend val="0"/>
        <outline val="0"/>
        <shadow val="0"/>
        <u val="none"/>
        <vertAlign val="baseline"/>
        <sz val="11"/>
        <color auto="1"/>
        <name val="Calibri"/>
        <family val="2"/>
        <scheme val="none"/>
      </font>
      <fill>
        <patternFill patternType="solid">
          <fgColor indexed="64"/>
          <bgColor rgb="FFD9E2F3"/>
        </patternFill>
      </fill>
      <alignment horizontal="left" vertical="center" textRotation="0" wrapText="1" indent="0" justifyLastLine="0" shrinkToFit="0" readingOrder="0"/>
    </dxf>
    <dxf>
      <font>
        <b/>
        <i val="0"/>
        <strike val="0"/>
        <condense val="0"/>
        <extend val="0"/>
        <outline val="0"/>
        <shadow val="0"/>
        <u val="none"/>
        <vertAlign val="baseline"/>
        <sz val="11"/>
        <color rgb="FFFF0000"/>
        <name val="Webdings"/>
        <family val="1"/>
        <charset val="2"/>
        <scheme val="none"/>
      </font>
      <fill>
        <patternFill patternType="solid">
          <fgColor indexed="64"/>
          <bgColor rgb="FFD9E2F3"/>
        </patternFill>
      </fill>
      <alignment horizontal="center" vertical="center" textRotation="0" wrapText="1" indent="0" justifyLastLine="0" shrinkToFit="0" readingOrder="0"/>
    </dxf>
    <dxf>
      <font>
        <b/>
        <i val="0"/>
        <strike val="0"/>
        <condense val="0"/>
        <extend val="0"/>
        <outline val="0"/>
        <shadow val="0"/>
        <u val="none"/>
        <vertAlign val="baseline"/>
        <sz val="11"/>
        <color auto="1"/>
        <name val="Calibri"/>
        <family val="2"/>
        <scheme val="none"/>
      </font>
      <fill>
        <patternFill patternType="solid">
          <fgColor indexed="64"/>
          <bgColor rgb="FFD9E2F3"/>
        </patternFill>
      </fill>
      <alignment horizontal="left" vertical="center" textRotation="0" wrapText="1" indent="0" justifyLastLine="0" shrinkToFit="0" readingOrder="0"/>
    </dxf>
    <dxf>
      <font>
        <b/>
        <i val="0"/>
        <strike val="0"/>
        <condense val="0"/>
        <extend val="0"/>
        <outline val="0"/>
        <shadow val="0"/>
        <u val="none"/>
        <vertAlign val="baseline"/>
        <sz val="11"/>
        <color auto="1"/>
        <name val="Calibri"/>
        <family val="2"/>
        <scheme val="none"/>
      </font>
      <fill>
        <patternFill patternType="solid">
          <fgColor indexed="64"/>
          <bgColor rgb="FFD9E2F3"/>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ajor"/>
      </font>
      <fill>
        <patternFill patternType="solid">
          <fgColor indexed="64"/>
          <bgColor rgb="FFD9E2F3"/>
        </patternFill>
      </fill>
      <alignment horizontal="center" vertical="center" textRotation="0" wrapText="1" indent="0" justifyLastLine="0" shrinkToFit="0" readingOrder="0"/>
    </dxf>
    <dxf>
      <font>
        <b/>
        <i val="0"/>
        <strike val="0"/>
        <condense val="0"/>
        <extend val="0"/>
        <outline val="0"/>
        <shadow val="0"/>
        <u val="none"/>
        <vertAlign val="baseline"/>
        <sz val="11"/>
        <color rgb="FFFF0000"/>
        <name val="Webdings"/>
        <family val="1"/>
        <charset val="2"/>
        <scheme val="none"/>
      </font>
      <fill>
        <patternFill patternType="solid">
          <fgColor indexed="64"/>
          <bgColor rgb="FFD9E2F3"/>
        </patternFill>
      </fill>
      <alignment horizontal="center" vertical="center" textRotation="0" wrapText="1" indent="0" justifyLastLine="0" shrinkToFit="0" readingOrder="0"/>
    </dxf>
    <dxf>
      <font>
        <b/>
        <i val="0"/>
        <strike val="0"/>
        <condense val="0"/>
        <extend val="0"/>
        <outline val="0"/>
        <shadow val="0"/>
        <u val="none"/>
        <vertAlign val="baseline"/>
        <sz val="11"/>
        <color auto="1"/>
        <name val="Calibri"/>
        <family val="2"/>
        <scheme val="none"/>
      </font>
      <fill>
        <patternFill patternType="solid">
          <fgColor indexed="64"/>
          <bgColor rgb="FFD9E2F3"/>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rgb="FFD9E2F3"/>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rgb="FFD9E2F3"/>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rgb="FFD9E2F3"/>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rgb="FFD9E2F3"/>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rgb="FFD9E2F3"/>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rgb="FFD9E2F3"/>
        </patternFill>
      </fill>
      <alignment horizontal="left" vertical="center" textRotation="0" wrapText="1" indent="0" justifyLastLine="0" shrinkToFit="0" readingOrder="0"/>
    </dxf>
    <dxf>
      <font>
        <b/>
        <i val="0"/>
        <strike val="0"/>
        <condense val="0"/>
        <extend val="0"/>
        <outline val="0"/>
        <shadow val="0"/>
        <u val="none"/>
        <vertAlign val="baseline"/>
        <sz val="11"/>
        <color auto="1"/>
        <name val="Calibri"/>
        <family val="2"/>
        <scheme val="none"/>
      </font>
      <fill>
        <patternFill patternType="solid">
          <fgColor indexed="64"/>
          <bgColor rgb="FFD9E2F3"/>
        </patternFill>
      </fill>
      <alignment horizontal="left" vertical="center" textRotation="0" wrapText="1" indent="0" justifyLastLine="0" shrinkToFit="0" readingOrder="0"/>
    </dxf>
    <dxf>
      <font>
        <b val="0"/>
        <i val="0"/>
        <strike val="0"/>
        <condense val="0"/>
        <extend val="0"/>
        <outline val="0"/>
        <shadow val="0"/>
        <u val="none"/>
        <vertAlign val="baseline"/>
        <sz val="10"/>
        <color rgb="FFFFFFFF"/>
        <name val="Calibri Light"/>
        <family val="2"/>
        <scheme val="none"/>
      </font>
      <fill>
        <patternFill patternType="solid">
          <fgColor indexed="64"/>
          <bgColor rgb="FF273A77"/>
        </patternFill>
      </fill>
      <alignment horizontal="general" vertical="center" textRotation="0" wrapText="1" indent="0" justifyLastLine="0" shrinkToFit="0" readingOrder="0"/>
    </dxf>
    <dxf>
      <fill>
        <patternFill>
          <bgColor theme="6" tint="0.79998168889431442"/>
        </patternFill>
      </fill>
    </dxf>
    <dxf>
      <fill>
        <patternFill patternType="solid">
          <bgColor theme="4" tint="0.79998168889431442"/>
        </patternFill>
      </fill>
    </dxf>
  </dxfs>
  <tableStyles count="2" defaultTableStyle="TableStyleMedium2" defaultPivotStyle="PivotStyleLight16">
    <tableStyle name="Estilo de Tabela 1" pivot="0" count="1" xr9:uid="{122A234F-5BE6-4862-92DB-C4F77089C4FA}">
      <tableStyleElement type="wholeTable" dxfId="255"/>
    </tableStyle>
    <tableStyle name="Estilo de Tabela 2" pivot="0" count="1" xr9:uid="{2B21A1AE-EB04-421A-8AF7-55AC5022C162}">
      <tableStyleElement type="wholeTable" dxfId="254"/>
    </tableStyle>
  </tableStyles>
  <colors>
    <mruColors>
      <color rgb="FF418AB3"/>
      <color rgb="FF273A77"/>
      <color rgb="FF39799D"/>
      <color rgb="FF27536B"/>
      <color rgb="FF316886"/>
      <color rgb="FFE9DE8F"/>
      <color rgb="FFDBDDEF"/>
      <color rgb="FFD0D8F0"/>
      <color rgb="FFE7DC9D"/>
      <color rgb="FF4966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sz="1400" b="0" i="0">
                <a:solidFill>
                  <a:srgbClr val="757575"/>
                </a:solidFill>
                <a:latin typeface="+mn-lt"/>
              </a:defRPr>
            </a:pPr>
            <a:r>
              <a:rPr lang="pt-BR" sz="1400" b="0" i="0">
                <a:solidFill>
                  <a:srgbClr val="757575"/>
                </a:solidFill>
                <a:latin typeface="+mn-lt"/>
              </a:rPr>
              <a:t>Gráfico de Aprovações</a:t>
            </a:r>
          </a:p>
        </c:rich>
      </c:tx>
      <c:overlay val="0"/>
    </c:title>
    <c:autoTitleDeleted val="0"/>
    <c:plotArea>
      <c:layout/>
      <c:doughnutChart>
        <c:varyColors val="1"/>
        <c:ser>
          <c:idx val="0"/>
          <c:order val="0"/>
          <c:dPt>
            <c:idx val="0"/>
            <c:bubble3D val="0"/>
            <c:spPr>
              <a:solidFill>
                <a:srgbClr val="FF0000"/>
              </a:solidFill>
            </c:spPr>
            <c:extLst>
              <c:ext xmlns:c16="http://schemas.microsoft.com/office/drawing/2014/chart" uri="{C3380CC4-5D6E-409C-BE32-E72D297353CC}">
                <c16:uniqueId val="{00000001-4071-47CC-8D36-D3484A9BA376}"/>
              </c:ext>
            </c:extLst>
          </c:dPt>
          <c:dPt>
            <c:idx val="1"/>
            <c:bubble3D val="0"/>
            <c:spPr>
              <a:solidFill>
                <a:srgbClr val="FFFF00"/>
              </a:solidFill>
            </c:spPr>
            <c:extLst>
              <c:ext xmlns:c16="http://schemas.microsoft.com/office/drawing/2014/chart" uri="{C3380CC4-5D6E-409C-BE32-E72D297353CC}">
                <c16:uniqueId val="{00000003-4071-47CC-8D36-D3484A9BA376}"/>
              </c:ext>
            </c:extLst>
          </c:dPt>
          <c:dPt>
            <c:idx val="2"/>
            <c:bubble3D val="0"/>
            <c:spPr>
              <a:solidFill>
                <a:srgbClr val="92D050"/>
              </a:solidFill>
            </c:spPr>
            <c:extLst>
              <c:ext xmlns:c16="http://schemas.microsoft.com/office/drawing/2014/chart" uri="{C3380CC4-5D6E-409C-BE32-E72D297353CC}">
                <c16:uniqueId val="{00000005-4071-47CC-8D36-D3484A9BA376}"/>
              </c:ext>
            </c:extLst>
          </c:dPt>
          <c:dPt>
            <c:idx val="3"/>
            <c:bubble3D val="0"/>
            <c:spPr>
              <a:solidFill>
                <a:srgbClr val="FFC000"/>
              </a:solidFill>
            </c:spPr>
            <c:extLst>
              <c:ext xmlns:c16="http://schemas.microsoft.com/office/drawing/2014/chart" uri="{C3380CC4-5D6E-409C-BE32-E72D297353CC}">
                <c16:uniqueId val="{00000007-4071-47CC-8D36-D3484A9BA376}"/>
              </c:ext>
            </c:extLst>
          </c:dPt>
          <c:dLbls>
            <c:spPr>
              <a:noFill/>
              <a:ln>
                <a:noFill/>
              </a:ln>
              <a:effectLst/>
            </c:spPr>
            <c:showLegendKey val="0"/>
            <c:showVal val="0"/>
            <c:showCatName val="1"/>
            <c:showSerName val="0"/>
            <c:showPercent val="0"/>
            <c:showBubbleSize val="0"/>
            <c:showLeaderLines val="1"/>
            <c:extLst>
              <c:ext xmlns:c15="http://schemas.microsoft.com/office/drawing/2012/chart" uri="{CE6537A1-D6FC-4f65-9D91-7224C49458BB}"/>
            </c:extLst>
          </c:dLbls>
          <c:cat>
            <c:strRef>
              <c:f>VELOCIMETRO!$D$2:$D$5</c:f>
              <c:strCache>
                <c:ptCount val="3"/>
                <c:pt idx="0">
                  <c:v>Não Aprova</c:v>
                </c:pt>
                <c:pt idx="1">
                  <c:v>Aprova c/Ressalva</c:v>
                </c:pt>
                <c:pt idx="2">
                  <c:v>Aprova</c:v>
                </c:pt>
              </c:strCache>
            </c:strRef>
          </c:cat>
          <c:val>
            <c:numRef>
              <c:f>VELOCIMETRO!$E$2:$E$5</c:f>
              <c:numCache>
                <c:formatCode>0%</c:formatCode>
                <c:ptCount val="4"/>
                <c:pt idx="0">
                  <c:v>0.125</c:v>
                </c:pt>
                <c:pt idx="1">
                  <c:v>0.125</c:v>
                </c:pt>
                <c:pt idx="2">
                  <c:v>0.25</c:v>
                </c:pt>
                <c:pt idx="3">
                  <c:v>0.5</c:v>
                </c:pt>
              </c:numCache>
            </c:numRef>
          </c:val>
          <c:extLst>
            <c:ext xmlns:c16="http://schemas.microsoft.com/office/drawing/2014/chart" uri="{C3380CC4-5D6E-409C-BE32-E72D297353CC}">
              <c16:uniqueId val="{00000008-4071-47CC-8D36-D3484A9BA376}"/>
            </c:ext>
          </c:extLst>
        </c:ser>
        <c:dLbls>
          <c:showLegendKey val="0"/>
          <c:showVal val="0"/>
          <c:showCatName val="0"/>
          <c:showSerName val="0"/>
          <c:showPercent val="0"/>
          <c:showBubbleSize val="0"/>
          <c:showLeaderLines val="1"/>
        </c:dLbls>
        <c:firstSliceAng val="0"/>
        <c:holeSize val="50"/>
      </c:doughnutChart>
    </c:plotArea>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sz="1600" b="1" i="0">
                <a:solidFill>
                  <a:srgbClr val="757575"/>
                </a:solidFill>
                <a:latin typeface="+mn-lt"/>
              </a:defRPr>
            </a:pPr>
            <a:r>
              <a:rPr lang="pt-BR" sz="1600" b="1" i="0">
                <a:solidFill>
                  <a:srgbClr val="757575"/>
                </a:solidFill>
                <a:latin typeface="+mn-lt"/>
              </a:rPr>
              <a:t>Quantidade de Pontos</a:t>
            </a:r>
          </a:p>
        </c:rich>
      </c:tx>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FF0000"/>
              </a:solidFill>
            </c:spPr>
            <c:extLst>
              <c:ext xmlns:c16="http://schemas.microsoft.com/office/drawing/2014/chart" uri="{C3380CC4-5D6E-409C-BE32-E72D297353CC}">
                <c16:uniqueId val="{00000001-D5F7-458D-A0D5-BF945EB1F470}"/>
              </c:ext>
            </c:extLst>
          </c:dPt>
          <c:dPt>
            <c:idx val="1"/>
            <c:bubble3D val="0"/>
            <c:spPr>
              <a:solidFill>
                <a:srgbClr val="FFFF00"/>
              </a:solidFill>
            </c:spPr>
            <c:extLst>
              <c:ext xmlns:c16="http://schemas.microsoft.com/office/drawing/2014/chart" uri="{C3380CC4-5D6E-409C-BE32-E72D297353CC}">
                <c16:uniqueId val="{00000003-D5F7-458D-A0D5-BF945EB1F470}"/>
              </c:ext>
            </c:extLst>
          </c:dPt>
          <c:dPt>
            <c:idx val="2"/>
            <c:bubble3D val="0"/>
            <c:spPr>
              <a:solidFill>
                <a:srgbClr val="92D050"/>
              </a:solidFill>
            </c:spPr>
            <c:extLst>
              <c:ext xmlns:c16="http://schemas.microsoft.com/office/drawing/2014/chart" uri="{C3380CC4-5D6E-409C-BE32-E72D297353CC}">
                <c16:uniqueId val="{00000005-D5F7-458D-A0D5-BF945EB1F470}"/>
              </c:ext>
            </c:extLst>
          </c:dPt>
          <c:dLbls>
            <c:dLbl>
              <c:idx val="0"/>
              <c:tx>
                <c:rich>
                  <a:bodyPr/>
                  <a:lstStyle/>
                  <a:p>
                    <a:r>
                      <a:rPr lang="en-US" b="0">
                        <a:solidFill>
                          <a:srgbClr val="000000"/>
                        </a:solidFill>
                        <a:latin typeface="+mn-lt"/>
                      </a:rPr>
                      <a:t>[NOME DA CATEGORIA]; [VALOR]; [PORCENTAGEM]</a:t>
                    </a:r>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5F7-458D-A0D5-BF945EB1F470}"/>
                </c:ext>
              </c:extLst>
            </c:dLbl>
            <c:dLbl>
              <c:idx val="1"/>
              <c:tx>
                <c:rich>
                  <a:bodyPr/>
                  <a:lstStyle/>
                  <a:p>
                    <a:r>
                      <a:rPr lang="en-US" b="0">
                        <a:solidFill>
                          <a:srgbClr val="000000"/>
                        </a:solidFill>
                        <a:latin typeface="+mn-lt"/>
                      </a:rPr>
                      <a:t>[NOME DA CATEGORIA]; [VALOR]; [PORCENTAGEM]</a:t>
                    </a:r>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5F7-458D-A0D5-BF945EB1F470}"/>
                </c:ext>
              </c:extLst>
            </c:dLbl>
            <c:dLbl>
              <c:idx val="2"/>
              <c:tx>
                <c:rich>
                  <a:bodyPr/>
                  <a:lstStyle/>
                  <a:p>
                    <a:r>
                      <a:rPr lang="en-US" b="0">
                        <a:solidFill>
                          <a:srgbClr val="000000"/>
                        </a:solidFill>
                        <a:latin typeface="+mn-lt"/>
                      </a:rPr>
                      <a:t>[NOME DA CATEGORIA]; [VALOR]; [PORCENTAGEM]</a:t>
                    </a:r>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D5F7-458D-A0D5-BF945EB1F470}"/>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extLst>
          </c:dLbls>
          <c:cat>
            <c:strRef>
              <c:f>VELOCIMETRO!$I$21:$I$23</c:f>
              <c:strCache>
                <c:ptCount val="3"/>
                <c:pt idx="0">
                  <c:v>Alto</c:v>
                </c:pt>
                <c:pt idx="1">
                  <c:v>Médio</c:v>
                </c:pt>
                <c:pt idx="2">
                  <c:v>Baixo</c:v>
                </c:pt>
              </c:strCache>
            </c:strRef>
          </c:cat>
          <c:val>
            <c:numRef>
              <c:f>VELOCIMETRO!$J$21:$J$23</c:f>
              <c:numCache>
                <c:formatCode>General</c:formatCode>
                <c:ptCount val="3"/>
                <c:pt idx="0">
                  <c:v>8</c:v>
                </c:pt>
                <c:pt idx="1">
                  <c:v>3</c:v>
                </c:pt>
                <c:pt idx="2">
                  <c:v>2</c:v>
                </c:pt>
              </c:numCache>
            </c:numRef>
          </c:val>
          <c:extLst>
            <c:ext xmlns:c16="http://schemas.microsoft.com/office/drawing/2014/chart" uri="{C3380CC4-5D6E-409C-BE32-E72D297353CC}">
              <c16:uniqueId val="{00000006-D5F7-458D-A0D5-BF945EB1F470}"/>
            </c:ext>
          </c:extLst>
        </c:ser>
        <c:dLbls>
          <c:showLegendKey val="0"/>
          <c:showVal val="0"/>
          <c:showCatName val="0"/>
          <c:showSerName val="0"/>
          <c:showPercent val="0"/>
          <c:showBubbleSize val="0"/>
          <c:showLeaderLines val="1"/>
        </c:dLbls>
      </c:pie3DChart>
    </c:plotArea>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pt-BR"/>
              <a:t>QuaNTIDADE</a:t>
            </a:r>
            <a:r>
              <a:rPr lang="pt-BR" baseline="0"/>
              <a:t> DE PONTOS</a:t>
            </a:r>
            <a:endParaRPr lang="pt-B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pt-B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GRÁFICOS!$H$69:$H$71</c:f>
              <c:strCache>
                <c:ptCount val="3"/>
                <c:pt idx="0">
                  <c:v>BAIXO IMPACTO</c:v>
                </c:pt>
                <c:pt idx="1">
                  <c:v>MÉDIO IMPACTO</c:v>
                </c:pt>
                <c:pt idx="2">
                  <c:v>ALTO IMPACTO</c:v>
                </c:pt>
              </c:strCache>
            </c:strRef>
          </c:tx>
          <c:spPr>
            <a:solidFill>
              <a:srgbClr val="92D050"/>
            </a:solidFill>
          </c:spPr>
          <c:explosion val="3"/>
          <c:dPt>
            <c:idx val="0"/>
            <c:bubble3D val="0"/>
            <c:spPr>
              <a:solidFill>
                <a:srgbClr val="92D050"/>
              </a:solidFill>
              <a:ln>
                <a:solidFill>
                  <a:schemeClr val="tx1">
                    <a:lumMod val="15000"/>
                    <a:lumOff val="85000"/>
                  </a:schemeClr>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tx1">
                    <a:lumMod val="15000"/>
                    <a:lumOff val="85000"/>
                  </a:schemeClr>
                </a:contourClr>
              </a:sp3d>
            </c:spPr>
            <c:extLst>
              <c:ext xmlns:c16="http://schemas.microsoft.com/office/drawing/2014/chart" uri="{C3380CC4-5D6E-409C-BE32-E72D297353CC}">
                <c16:uniqueId val="{00000001-064E-4B00-A201-96FD3B7E155F}"/>
              </c:ext>
            </c:extLst>
          </c:dPt>
          <c:dPt>
            <c:idx val="1"/>
            <c:bubble3D val="0"/>
            <c:spPr>
              <a:solidFill>
                <a:srgbClr val="FFFF00"/>
              </a:solidFill>
              <a:ln>
                <a:solidFill>
                  <a:schemeClr val="accent1"/>
                </a:solidFill>
              </a:ln>
              <a:effectLst>
                <a:outerShdw blurRad="88900" sx="102000" sy="102000" algn="ctr" rotWithShape="0">
                  <a:prstClr val="black">
                    <a:alpha val="10000"/>
                  </a:prstClr>
                </a:outerShdw>
              </a:effectLst>
              <a:scene3d>
                <a:camera prst="orthographicFront"/>
                <a:lightRig rig="threePt" dir="t"/>
              </a:scene3d>
              <a:sp3d>
                <a:bevelT w="127000" h="127000"/>
                <a:bevelB w="127000" h="127000"/>
                <a:contourClr>
                  <a:schemeClr val="accent1"/>
                </a:contourClr>
              </a:sp3d>
            </c:spPr>
            <c:extLst>
              <c:ext xmlns:c16="http://schemas.microsoft.com/office/drawing/2014/chart" uri="{C3380CC4-5D6E-409C-BE32-E72D297353CC}">
                <c16:uniqueId val="{00000003-064E-4B00-A201-96FD3B7E155F}"/>
              </c:ext>
            </c:extLst>
          </c:dPt>
          <c:dPt>
            <c:idx val="2"/>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64E-4B00-A201-96FD3B7E155F}"/>
              </c:ext>
            </c:extLst>
          </c:dPt>
          <c:dLbls>
            <c:dLbl>
              <c:idx val="0"/>
              <c:layout>
                <c:manualLayout>
                  <c:x val="-9.0336681824076945E-5"/>
                  <c:y val="5.6065290347136157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r>
                      <a:rPr lang="en-US" baseline="0">
                        <a:solidFill>
                          <a:sysClr val="windowText" lastClr="000000"/>
                        </a:solidFill>
                      </a:rPr>
                      <a:t>Baixo Impacto</a:t>
                    </a:r>
                  </a:p>
                  <a:p>
                    <a:pPr>
                      <a:defRPr>
                        <a:solidFill>
                          <a:sysClr val="windowText" lastClr="000000"/>
                        </a:solidFill>
                      </a:defRPr>
                    </a:pPr>
                    <a:fld id="{F54EA15C-7A38-4F57-83E7-24897E0878DA}" type="VALUE">
                      <a:rPr lang="en-US" baseline="0">
                        <a:solidFill>
                          <a:sysClr val="windowText" lastClr="000000"/>
                        </a:solidFill>
                      </a:rPr>
                      <a:pPr>
                        <a:defRPr>
                          <a:solidFill>
                            <a:sysClr val="windowText" lastClr="000000"/>
                          </a:solidFill>
                        </a:defRPr>
                      </a:pPr>
                      <a:t>[VALOR]</a:t>
                    </a:fld>
                    <a:r>
                      <a:rPr lang="en-US" baseline="0">
                        <a:solidFill>
                          <a:sysClr val="windowText" lastClr="000000"/>
                        </a:solidFill>
                      </a:rPr>
                      <a:t>; </a:t>
                    </a:r>
                    <a:fld id="{4C433C74-3AFE-49FD-8937-658B7F64FA0B}" type="PERCENTAGE">
                      <a:rPr lang="en-US" baseline="0">
                        <a:solidFill>
                          <a:sysClr val="windowText" lastClr="000000"/>
                        </a:solidFill>
                      </a:rPr>
                      <a:pPr>
                        <a:defRPr>
                          <a:solidFill>
                            <a:sysClr val="windowText" lastClr="000000"/>
                          </a:solidFill>
                        </a:defRPr>
                      </a:pPr>
                      <a:t>[PORCENTAGEM]</a:t>
                    </a:fld>
                    <a:endParaRPr lang="en-US"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pt-BR"/>
                </a:p>
              </c:txPr>
              <c:dLblPos val="bestFit"/>
              <c:showLegendKey val="0"/>
              <c:showVal val="1"/>
              <c:showCatName val="1"/>
              <c:showSerName val="0"/>
              <c:showPercent val="1"/>
              <c:showBubbleSize val="0"/>
              <c:extLst>
                <c:ext xmlns:c15="http://schemas.microsoft.com/office/drawing/2012/chart" uri="{CE6537A1-D6FC-4f65-9D91-7224C49458BB}">
                  <c15:layout>
                    <c:manualLayout>
                      <c:w val="0.34274374814458786"/>
                      <c:h val="0.16783362583760691"/>
                    </c:manualLayout>
                  </c15:layout>
                  <c15:dlblFieldTable/>
                  <c15:showDataLabelsRange val="0"/>
                </c:ext>
                <c:ext xmlns:c16="http://schemas.microsoft.com/office/drawing/2014/chart" uri="{C3380CC4-5D6E-409C-BE32-E72D297353CC}">
                  <c16:uniqueId val="{00000001-064E-4B00-A201-96FD3B7E155F}"/>
                </c:ext>
              </c:extLst>
            </c:dLbl>
            <c:dLbl>
              <c:idx val="1"/>
              <c:layout>
                <c:manualLayout>
                  <c:x val="-8.0458923244205144E-2"/>
                  <c:y val="5.4151624548736461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r>
                      <a:rPr lang="en-US"/>
                      <a:t>Médio Impacto</a:t>
                    </a:r>
                    <a:endParaRPr lang="en-US" baseline="0"/>
                  </a:p>
                  <a:p>
                    <a:pPr>
                      <a:defRPr>
                        <a:solidFill>
                          <a:sysClr val="windowText" lastClr="000000"/>
                        </a:solidFill>
                      </a:defRPr>
                    </a:pPr>
                    <a:r>
                      <a:rPr lang="en-US" baseline="0"/>
                      <a:t> </a:t>
                    </a:r>
                    <a:fld id="{4D261782-F3CF-4AC7-BDCB-3F6ACAB4D1F3}" type="VALUE">
                      <a:rPr lang="en-US" baseline="0"/>
                      <a:pPr>
                        <a:defRPr>
                          <a:solidFill>
                            <a:sysClr val="windowText" lastClr="000000"/>
                          </a:solidFill>
                        </a:defRPr>
                      </a:pPr>
                      <a:t>[VALOR]</a:t>
                    </a:fld>
                    <a:r>
                      <a:rPr lang="en-US" baseline="0"/>
                      <a:t>; </a:t>
                    </a:r>
                    <a:fld id="{CEF675BB-94CE-4727-A3AB-0A6BCFA847F0}" type="PERCENTAGE">
                      <a:rPr lang="en-US" baseline="0"/>
                      <a:pPr>
                        <a:defRPr>
                          <a:solidFill>
                            <a:sysClr val="windowText" lastClr="000000"/>
                          </a:solidFill>
                        </a:defRPr>
                      </a:pPr>
                      <a:t>[PORCENTAGEM]</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pt-BR"/>
                </a:p>
              </c:txPr>
              <c:dLblPos val="bestFit"/>
              <c:showLegendKey val="0"/>
              <c:showVal val="1"/>
              <c:showCatName val="1"/>
              <c:showSerName val="0"/>
              <c:showPercent val="1"/>
              <c:showBubbleSize val="0"/>
              <c:extLst>
                <c:ext xmlns:c15="http://schemas.microsoft.com/office/drawing/2012/chart" uri="{CE6537A1-D6FC-4f65-9D91-7224C49458BB}">
                  <c15:layout>
                    <c:manualLayout>
                      <c:w val="0.17475964392526916"/>
                      <c:h val="0.17876822820432645"/>
                    </c:manualLayout>
                  </c15:layout>
                  <c15:dlblFieldTable/>
                  <c15:showDataLabelsRange val="0"/>
                </c:ext>
                <c:ext xmlns:c16="http://schemas.microsoft.com/office/drawing/2014/chart" uri="{C3380CC4-5D6E-409C-BE32-E72D297353CC}">
                  <c16:uniqueId val="{00000003-064E-4B00-A201-96FD3B7E155F}"/>
                </c:ext>
              </c:extLst>
            </c:dLbl>
            <c:dLbl>
              <c:idx val="2"/>
              <c:layout>
                <c:manualLayout>
                  <c:x val="5.0593025443558939E-2"/>
                  <c:y val="-1.1695346515646908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r>
                      <a:rPr lang="en-US" baseline="0">
                        <a:solidFill>
                          <a:sysClr val="windowText" lastClr="000000"/>
                        </a:solidFill>
                      </a:rPr>
                      <a:t>Alto Impacto</a:t>
                    </a:r>
                  </a:p>
                  <a:p>
                    <a:pPr>
                      <a:defRPr>
                        <a:solidFill>
                          <a:sysClr val="windowText" lastClr="000000"/>
                        </a:solidFill>
                      </a:defRPr>
                    </a:pPr>
                    <a:fld id="{79D9C166-BE0F-4445-8769-F59A0635438E}" type="VALUE">
                      <a:rPr lang="en-US" baseline="0">
                        <a:solidFill>
                          <a:sysClr val="windowText" lastClr="000000"/>
                        </a:solidFill>
                      </a:rPr>
                      <a:pPr>
                        <a:defRPr>
                          <a:solidFill>
                            <a:sysClr val="windowText" lastClr="000000"/>
                          </a:solidFill>
                        </a:defRPr>
                      </a:pPr>
                      <a:t>[VALOR]</a:t>
                    </a:fld>
                    <a:r>
                      <a:rPr lang="en-US" baseline="0">
                        <a:solidFill>
                          <a:sysClr val="windowText" lastClr="000000"/>
                        </a:solidFill>
                      </a:rPr>
                      <a:t>; </a:t>
                    </a:r>
                    <a:fld id="{C4073A67-C947-4DAF-B34E-2898FA41BD08}" type="PERCENTAGE">
                      <a:rPr lang="en-US" baseline="0">
                        <a:solidFill>
                          <a:sysClr val="windowText" lastClr="000000"/>
                        </a:solidFill>
                      </a:rPr>
                      <a:pPr>
                        <a:defRPr>
                          <a:solidFill>
                            <a:sysClr val="windowText" lastClr="000000"/>
                          </a:solidFill>
                        </a:defRPr>
                      </a:pPr>
                      <a:t>[PORCENTAGEM]</a:t>
                    </a:fld>
                    <a:endParaRPr lang="en-US"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pt-BR"/>
                </a:p>
              </c:txPr>
              <c:dLblPos val="bestFit"/>
              <c:showLegendKey val="0"/>
              <c:showVal val="1"/>
              <c:showCatName val="1"/>
              <c:showSerName val="0"/>
              <c:showPercent val="1"/>
              <c:showBubbleSize val="0"/>
              <c:extLst>
                <c:ext xmlns:c15="http://schemas.microsoft.com/office/drawing/2012/chart" uri="{CE6537A1-D6FC-4f65-9D91-7224C49458BB}">
                  <c15:layout>
                    <c:manualLayout>
                      <c:w val="0.2999179689718105"/>
                      <c:h val="0.17876822820432645"/>
                    </c:manualLayout>
                  </c15:layout>
                  <c15:dlblFieldTable/>
                  <c15:showDataLabelsRange val="0"/>
                </c:ext>
                <c:ext xmlns:c16="http://schemas.microsoft.com/office/drawing/2014/chart" uri="{C3380CC4-5D6E-409C-BE32-E72D297353CC}">
                  <c16:uniqueId val="{00000005-064E-4B00-A201-96FD3B7E155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pt-BR"/>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GRÁFICOS!$I$69:$I$71</c:f>
              <c:numCache>
                <c:formatCode>General</c:formatCode>
                <c:ptCount val="3"/>
                <c:pt idx="0">
                  <c:v>13</c:v>
                </c:pt>
                <c:pt idx="1">
                  <c:v>1</c:v>
                </c:pt>
                <c:pt idx="2">
                  <c:v>2</c:v>
                </c:pt>
              </c:numCache>
            </c:numRef>
          </c:val>
          <c:extLst>
            <c:ext xmlns:c16="http://schemas.microsoft.com/office/drawing/2014/chart" uri="{C3380CC4-5D6E-409C-BE32-E72D297353CC}">
              <c16:uniqueId val="{00000006-064E-4B00-A201-96FD3B7E155F}"/>
            </c:ext>
          </c:extLst>
        </c:ser>
        <c:ser>
          <c:idx val="1"/>
          <c:order val="1"/>
          <c:tx>
            <c:strRef>
              <c:f>GRÁFICOS!$H$70</c:f>
              <c:strCache>
                <c:ptCount val="1"/>
                <c:pt idx="0">
                  <c:v>MÉDIO IMPACTO</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2B52-41BC-B95F-BFC5C5531804}"/>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pt-BR"/>
                </a:p>
              </c:txPr>
              <c:dLblPos val="outEnd"/>
              <c:showLegendKey val="0"/>
              <c:showVal val="1"/>
              <c:showCatName val="0"/>
              <c:showSerName val="0"/>
              <c:showPercent val="0"/>
              <c:showBubbleSize val="0"/>
              <c:extLst>
                <c:ext xmlns:c16="http://schemas.microsoft.com/office/drawing/2014/chart" uri="{C3380CC4-5D6E-409C-BE32-E72D297353CC}">
                  <c16:uniqueId val="{00000009-2B52-41BC-B95F-BFC5C5531804}"/>
                </c:ext>
              </c:extLst>
            </c:dLbl>
            <c:spPr>
              <a:noFill/>
              <a:ln>
                <a:noFill/>
              </a:ln>
              <a:effectLst/>
            </c:sp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GRÁFICOS!$I$70</c:f>
              <c:numCache>
                <c:formatCode>General</c:formatCode>
                <c:ptCount val="1"/>
                <c:pt idx="0">
                  <c:v>1</c:v>
                </c:pt>
              </c:numCache>
            </c:numRef>
          </c:val>
          <c:extLst>
            <c:ext xmlns:c16="http://schemas.microsoft.com/office/drawing/2014/chart" uri="{C3380CC4-5D6E-409C-BE32-E72D297353CC}">
              <c16:uniqueId val="{00000007-2B52-41BC-B95F-BFC5C5531804}"/>
            </c:ext>
          </c:extLst>
        </c:ser>
        <c:ser>
          <c:idx val="2"/>
          <c:order val="2"/>
          <c:tx>
            <c:strRef>
              <c:f>GRÁFICOS!$H$71</c:f>
              <c:strCache>
                <c:ptCount val="1"/>
                <c:pt idx="0">
                  <c:v>ALTO IMPACTO</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2B52-41BC-B95F-BFC5C5531804}"/>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pt-BR"/>
                </a:p>
              </c:txPr>
              <c:dLblPos val="outEnd"/>
              <c:showLegendKey val="0"/>
              <c:showVal val="1"/>
              <c:showCatName val="0"/>
              <c:showSerName val="0"/>
              <c:showPercent val="0"/>
              <c:showBubbleSize val="0"/>
              <c:extLst>
                <c:ext xmlns:c16="http://schemas.microsoft.com/office/drawing/2014/chart" uri="{C3380CC4-5D6E-409C-BE32-E72D297353CC}">
                  <c16:uniqueId val="{0000000A-2B52-41BC-B95F-BFC5C5531804}"/>
                </c:ext>
              </c:extLst>
            </c:dLbl>
            <c:spPr>
              <a:noFill/>
              <a:ln>
                <a:noFill/>
              </a:ln>
              <a:effectLst/>
            </c:sp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GRÁFICOS!$I$71</c:f>
              <c:numCache>
                <c:formatCode>General</c:formatCode>
                <c:ptCount val="1"/>
                <c:pt idx="0">
                  <c:v>2</c:v>
                </c:pt>
              </c:numCache>
            </c:numRef>
          </c:val>
          <c:extLst>
            <c:ext xmlns:c16="http://schemas.microsoft.com/office/drawing/2014/chart" uri="{C3380CC4-5D6E-409C-BE32-E72D297353CC}">
              <c16:uniqueId val="{00000008-2B52-41BC-B95F-BFC5C5531804}"/>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pt-BR" sz="1800" b="1" i="0" baseline="0">
                <a:effectLst/>
              </a:rPr>
              <a:t>Matriz de Exposição ao Risco</a:t>
            </a:r>
            <a:endParaRPr lang="pt-BR">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65000"/>
                    <a:lumOff val="35000"/>
                  </a:srgbClr>
                </a:solidFill>
              </a:defRPr>
            </a:pPr>
            <a:endParaRPr lang="pt-BR"/>
          </a:p>
        </c:rich>
      </c:tx>
      <c:layout>
        <c:manualLayout>
          <c:xMode val="edge"/>
          <c:yMode val="edge"/>
          <c:x val="0.37390892176213819"/>
          <c:y val="2.546689303904923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pt-BR"/>
        </a:p>
      </c:txPr>
    </c:title>
    <c:autoTitleDeleted val="0"/>
    <c:plotArea>
      <c:layout>
        <c:manualLayout>
          <c:layoutTarget val="inner"/>
          <c:xMode val="edge"/>
          <c:yMode val="edge"/>
          <c:x val="2.561538393559391E-2"/>
          <c:y val="0.17051321768432123"/>
          <c:w val="0.9604137967602534"/>
          <c:h val="0.77029440522124526"/>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3"/>
              <c:layout>
                <c:manualLayout>
                  <c:x val="-4.4893378226711729E-3"/>
                  <c:y val="-3.630017851069008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535-4474-99C3-4A992700D6D1}"/>
                </c:ext>
              </c:extLst>
            </c:dLbl>
            <c:dLbl>
              <c:idx val="6"/>
              <c:layout>
                <c:manualLayout>
                  <c:x val="-4.4893378226711592E-2"/>
                  <c:y val="-1.954624996729465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535-4474-99C3-4A992700D6D1}"/>
                </c:ext>
              </c:extLst>
            </c:dLbl>
            <c:dLbl>
              <c:idx val="10"/>
              <c:layout>
                <c:manualLayout>
                  <c:x val="-2.6038159371492706E-2"/>
                  <c:y val="-2.792321423899247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535-4474-99C3-4A992700D6D1}"/>
                </c:ext>
              </c:extLst>
            </c:dLbl>
            <c:dLbl>
              <c:idx val="15"/>
              <c:layout>
                <c:manualLayout>
                  <c:x val="-8.9786756453423121E-4"/>
                  <c:y val="-1.116928569559694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535-4474-99C3-4A992700D6D1}"/>
                </c:ext>
              </c:extLst>
            </c:dLbl>
            <c:dLbl>
              <c:idx val="17"/>
              <c:layout>
                <c:manualLayout>
                  <c:x val="-4.4893378226711557E-2"/>
                  <c:y val="-1.954624996729465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535-4474-99C3-4A992700D6D1}"/>
                </c:ext>
              </c:extLst>
            </c:dLbl>
            <c:dLbl>
              <c:idx val="22"/>
              <c:layout>
                <c:manualLayout>
                  <c:x val="-8.0808080808082126E-3"/>
                  <c:y val="-3.071553566289160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535-4474-99C3-4A992700D6D1}"/>
                </c:ext>
              </c:extLst>
            </c:dLbl>
            <c:dLbl>
              <c:idx val="23"/>
              <c:layout>
                <c:manualLayout>
                  <c:x val="-8.9786756453423128E-3"/>
                  <c:y val="2.513089281509313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535-4474-99C3-4A992700D6D1}"/>
                </c:ext>
              </c:extLst>
            </c:dLbl>
            <c:dLbl>
              <c:idx val="24"/>
              <c:layout>
                <c:manualLayout>
                  <c:x val="-7.1829405162738497E-3"/>
                  <c:y val="-1.396160711949618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535-4474-99C3-4A992700D6D1}"/>
                </c:ext>
              </c:extLst>
            </c:dLbl>
            <c:dLbl>
              <c:idx val="27"/>
              <c:layout>
                <c:manualLayout>
                  <c:x val="-2.6936026936026937E-3"/>
                  <c:y val="-3.630017851069008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535-4474-99C3-4A992700D6D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'BASE DA MATRIZ DE RISCOS'!$N$78:$N$109</c:f>
              <c:strCache>
                <c:ptCount val="16"/>
                <c:pt idx="0">
                  <c:v>[P1]</c:v>
                </c:pt>
                <c:pt idx="1">
                  <c:v>[P2]</c:v>
                </c:pt>
                <c:pt idx="2">
                  <c:v>[P3]</c:v>
                </c:pt>
                <c:pt idx="3">
                  <c:v>[P4]</c:v>
                </c:pt>
                <c:pt idx="4">
                  <c:v>[P5]</c:v>
                </c:pt>
                <c:pt idx="5">
                  <c:v>[P6]</c:v>
                </c:pt>
                <c:pt idx="6">
                  <c:v>[P7]</c:v>
                </c:pt>
                <c:pt idx="7">
                  <c:v>[P8]</c:v>
                </c:pt>
                <c:pt idx="8">
                  <c:v>[P9]</c:v>
                </c:pt>
                <c:pt idx="9">
                  <c:v>[P10]</c:v>
                </c:pt>
                <c:pt idx="10">
                  <c:v>[P11]</c:v>
                </c:pt>
                <c:pt idx="11">
                  <c:v>[P12]</c:v>
                </c:pt>
                <c:pt idx="12">
                  <c:v>[P13]</c:v>
                </c:pt>
                <c:pt idx="13">
                  <c:v>[P14]</c:v>
                </c:pt>
                <c:pt idx="14">
                  <c:v>[P15]</c:v>
                </c:pt>
                <c:pt idx="15">
                  <c:v>[P16]</c:v>
                </c:pt>
              </c:strCache>
            </c:strRef>
          </c:xVal>
          <c:yVal>
            <c:numRef>
              <c:f>'BASE DA MATRIZ DE RISCOS'!$O$78:$O$109</c:f>
              <c:numCache>
                <c:formatCode>General</c:formatCode>
                <c:ptCount val="32"/>
                <c:pt idx="0">
                  <c:v>30</c:v>
                </c:pt>
                <c:pt idx="1">
                  <c:v>30</c:v>
                </c:pt>
                <c:pt idx="2">
                  <c:v>8</c:v>
                </c:pt>
                <c:pt idx="3">
                  <c:v>15</c:v>
                </c:pt>
                <c:pt idx="4">
                  <c:v>5</c:v>
                </c:pt>
                <c:pt idx="5">
                  <c:v>4</c:v>
                </c:pt>
                <c:pt idx="6">
                  <c:v>60</c:v>
                </c:pt>
                <c:pt idx="7">
                  <c:v>40</c:v>
                </c:pt>
                <c:pt idx="8">
                  <c:v>80</c:v>
                </c:pt>
                <c:pt idx="9">
                  <c:v>48</c:v>
                </c:pt>
                <c:pt idx="10">
                  <c:v>100</c:v>
                </c:pt>
                <c:pt idx="11">
                  <c:v>4</c:v>
                </c:pt>
                <c:pt idx="12">
                  <c:v>9</c:v>
                </c:pt>
                <c:pt idx="13">
                  <c:v>25</c:v>
                </c:pt>
                <c:pt idx="14">
                  <c:v>18</c:v>
                </c:pt>
                <c:pt idx="15">
                  <c:v>24</c:v>
                </c:pt>
              </c:numCache>
            </c:numRef>
          </c:yVal>
          <c:smooth val="1"/>
          <c:extLst>
            <c:ext xmlns:c16="http://schemas.microsoft.com/office/drawing/2014/chart" uri="{C3380CC4-5D6E-409C-BE32-E72D297353CC}">
              <c16:uniqueId val="{00000000-5503-4562-B9BD-F6B445AA33C5}"/>
            </c:ext>
          </c:extLst>
        </c:ser>
        <c:dLbls>
          <c:showLegendKey val="0"/>
          <c:showVal val="0"/>
          <c:showCatName val="0"/>
          <c:showSerName val="0"/>
          <c:showPercent val="0"/>
          <c:showBubbleSize val="0"/>
        </c:dLbls>
        <c:axId val="546923007"/>
        <c:axId val="546921759"/>
      </c:scatterChart>
      <c:valAx>
        <c:axId val="546923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46921759"/>
        <c:crosses val="autoZero"/>
        <c:crossBetween val="midCat"/>
        <c:majorUnit val="1"/>
      </c:valAx>
      <c:valAx>
        <c:axId val="546921759"/>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46923007"/>
        <c:crosses val="autoZero"/>
        <c:crossBetween val="midCat"/>
        <c:majorUnit val="10"/>
        <c:minorUnit val="2"/>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5"/>
    </mc:Choice>
    <mc:Fallback>
      <c:style val="5"/>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pt-BR"/>
        </a:p>
      </c:txPr>
    </c:title>
    <c:autoTitleDeleted val="0"/>
    <c:plotArea>
      <c:layout/>
      <c:radarChart>
        <c:radarStyle val="marker"/>
        <c:varyColors val="1"/>
        <c:ser>
          <c:idx val="0"/>
          <c:order val="0"/>
          <c:tx>
            <c:strRef>
              <c:f>'BASE DA MATRIZ DE RISCOS'!$G$77</c:f>
              <c:strCache>
                <c:ptCount val="1"/>
                <c:pt idx="0">
                  <c:v>Probabilidade</c:v>
                </c:pt>
              </c:strCache>
            </c:strRef>
          </c:tx>
          <c:marker>
            <c:symbol val="none"/>
          </c:marker>
          <c:dPt>
            <c:idx val="0"/>
            <c:marker>
              <c:symbol val="none"/>
            </c:marker>
            <c:bubble3D val="0"/>
            <c:spPr>
              <a:ln w="15875" cap="rnd">
                <a:solidFill>
                  <a:schemeClr val="accent3">
                    <a:shade val="34000"/>
                  </a:schemeClr>
                </a:solidFill>
                <a:round/>
              </a:ln>
              <a:effectLst/>
            </c:spPr>
            <c:extLst>
              <c:ext xmlns:c16="http://schemas.microsoft.com/office/drawing/2014/chart" uri="{C3380CC4-5D6E-409C-BE32-E72D297353CC}">
                <c16:uniqueId val="{00000001-D945-4AC0-9BF6-2CAA5846D695}"/>
              </c:ext>
            </c:extLst>
          </c:dPt>
          <c:dPt>
            <c:idx val="1"/>
            <c:marker>
              <c:symbol val="none"/>
            </c:marker>
            <c:bubble3D val="0"/>
            <c:spPr>
              <a:ln w="15875" cap="rnd">
                <a:solidFill>
                  <a:schemeClr val="accent3">
                    <a:shade val="39000"/>
                  </a:schemeClr>
                </a:solidFill>
                <a:round/>
              </a:ln>
              <a:effectLst/>
            </c:spPr>
            <c:extLst>
              <c:ext xmlns:c16="http://schemas.microsoft.com/office/drawing/2014/chart" uri="{C3380CC4-5D6E-409C-BE32-E72D297353CC}">
                <c16:uniqueId val="{00000003-D945-4AC0-9BF6-2CAA5846D695}"/>
              </c:ext>
            </c:extLst>
          </c:dPt>
          <c:dPt>
            <c:idx val="2"/>
            <c:marker>
              <c:symbol val="none"/>
            </c:marker>
            <c:bubble3D val="0"/>
            <c:spPr>
              <a:ln w="15875" cap="rnd">
                <a:solidFill>
                  <a:schemeClr val="accent3">
                    <a:shade val="43000"/>
                  </a:schemeClr>
                </a:solidFill>
                <a:round/>
              </a:ln>
              <a:effectLst/>
            </c:spPr>
            <c:extLst>
              <c:ext xmlns:c16="http://schemas.microsoft.com/office/drawing/2014/chart" uri="{C3380CC4-5D6E-409C-BE32-E72D297353CC}">
                <c16:uniqueId val="{00000005-D945-4AC0-9BF6-2CAA5846D695}"/>
              </c:ext>
            </c:extLst>
          </c:dPt>
          <c:dPt>
            <c:idx val="3"/>
            <c:marker>
              <c:symbol val="none"/>
            </c:marker>
            <c:bubble3D val="0"/>
            <c:spPr>
              <a:ln w="15875" cap="rnd">
                <a:solidFill>
                  <a:schemeClr val="accent3">
                    <a:shade val="48000"/>
                  </a:schemeClr>
                </a:solidFill>
                <a:round/>
              </a:ln>
              <a:effectLst/>
            </c:spPr>
            <c:extLst>
              <c:ext xmlns:c16="http://schemas.microsoft.com/office/drawing/2014/chart" uri="{C3380CC4-5D6E-409C-BE32-E72D297353CC}">
                <c16:uniqueId val="{00000007-D945-4AC0-9BF6-2CAA5846D695}"/>
              </c:ext>
            </c:extLst>
          </c:dPt>
          <c:dPt>
            <c:idx val="4"/>
            <c:marker>
              <c:symbol val="none"/>
            </c:marker>
            <c:bubble3D val="0"/>
            <c:spPr>
              <a:ln w="15875" cap="rnd">
                <a:solidFill>
                  <a:schemeClr val="accent3">
                    <a:shade val="52000"/>
                  </a:schemeClr>
                </a:solidFill>
                <a:round/>
              </a:ln>
              <a:effectLst/>
            </c:spPr>
            <c:extLst>
              <c:ext xmlns:c16="http://schemas.microsoft.com/office/drawing/2014/chart" uri="{C3380CC4-5D6E-409C-BE32-E72D297353CC}">
                <c16:uniqueId val="{00000009-D945-4AC0-9BF6-2CAA5846D695}"/>
              </c:ext>
            </c:extLst>
          </c:dPt>
          <c:dPt>
            <c:idx val="5"/>
            <c:marker>
              <c:symbol val="none"/>
            </c:marker>
            <c:bubble3D val="0"/>
            <c:spPr>
              <a:ln w="15875" cap="rnd">
                <a:solidFill>
                  <a:schemeClr val="accent3">
                    <a:shade val="57000"/>
                  </a:schemeClr>
                </a:solidFill>
                <a:round/>
              </a:ln>
              <a:effectLst/>
            </c:spPr>
            <c:extLst>
              <c:ext xmlns:c16="http://schemas.microsoft.com/office/drawing/2014/chart" uri="{C3380CC4-5D6E-409C-BE32-E72D297353CC}">
                <c16:uniqueId val="{0000000B-D945-4AC0-9BF6-2CAA5846D695}"/>
              </c:ext>
            </c:extLst>
          </c:dPt>
          <c:dPt>
            <c:idx val="6"/>
            <c:marker>
              <c:symbol val="none"/>
            </c:marker>
            <c:bubble3D val="0"/>
            <c:spPr>
              <a:ln w="15875" cap="rnd">
                <a:solidFill>
                  <a:schemeClr val="accent3">
                    <a:shade val="61000"/>
                  </a:schemeClr>
                </a:solidFill>
                <a:round/>
              </a:ln>
              <a:effectLst/>
            </c:spPr>
            <c:extLst>
              <c:ext xmlns:c16="http://schemas.microsoft.com/office/drawing/2014/chart" uri="{C3380CC4-5D6E-409C-BE32-E72D297353CC}">
                <c16:uniqueId val="{0000000D-D945-4AC0-9BF6-2CAA5846D695}"/>
              </c:ext>
            </c:extLst>
          </c:dPt>
          <c:dPt>
            <c:idx val="7"/>
            <c:marker>
              <c:symbol val="none"/>
            </c:marker>
            <c:bubble3D val="0"/>
            <c:spPr>
              <a:ln w="15875" cap="rnd">
                <a:solidFill>
                  <a:schemeClr val="accent3">
                    <a:shade val="66000"/>
                  </a:schemeClr>
                </a:solidFill>
                <a:round/>
              </a:ln>
              <a:effectLst/>
            </c:spPr>
            <c:extLst>
              <c:ext xmlns:c16="http://schemas.microsoft.com/office/drawing/2014/chart" uri="{C3380CC4-5D6E-409C-BE32-E72D297353CC}">
                <c16:uniqueId val="{0000000F-D945-4AC0-9BF6-2CAA5846D695}"/>
              </c:ext>
            </c:extLst>
          </c:dPt>
          <c:dPt>
            <c:idx val="8"/>
            <c:marker>
              <c:symbol val="none"/>
            </c:marker>
            <c:bubble3D val="0"/>
            <c:spPr>
              <a:ln w="15875" cap="rnd">
                <a:solidFill>
                  <a:schemeClr val="accent3">
                    <a:shade val="70000"/>
                  </a:schemeClr>
                </a:solidFill>
                <a:round/>
              </a:ln>
              <a:effectLst/>
            </c:spPr>
            <c:extLst>
              <c:ext xmlns:c16="http://schemas.microsoft.com/office/drawing/2014/chart" uri="{C3380CC4-5D6E-409C-BE32-E72D297353CC}">
                <c16:uniqueId val="{00000011-D945-4AC0-9BF6-2CAA5846D695}"/>
              </c:ext>
            </c:extLst>
          </c:dPt>
          <c:dPt>
            <c:idx val="9"/>
            <c:marker>
              <c:symbol val="none"/>
            </c:marker>
            <c:bubble3D val="0"/>
            <c:spPr>
              <a:ln w="15875" cap="rnd">
                <a:solidFill>
                  <a:schemeClr val="accent3">
                    <a:shade val="75000"/>
                  </a:schemeClr>
                </a:solidFill>
                <a:round/>
              </a:ln>
              <a:effectLst/>
            </c:spPr>
            <c:extLst>
              <c:ext xmlns:c16="http://schemas.microsoft.com/office/drawing/2014/chart" uri="{C3380CC4-5D6E-409C-BE32-E72D297353CC}">
                <c16:uniqueId val="{00000013-D945-4AC0-9BF6-2CAA5846D695}"/>
              </c:ext>
            </c:extLst>
          </c:dPt>
          <c:dPt>
            <c:idx val="10"/>
            <c:marker>
              <c:symbol val="none"/>
            </c:marker>
            <c:bubble3D val="0"/>
            <c:spPr>
              <a:ln w="15875" cap="rnd">
                <a:solidFill>
                  <a:schemeClr val="accent3">
                    <a:shade val="79000"/>
                  </a:schemeClr>
                </a:solidFill>
                <a:round/>
              </a:ln>
              <a:effectLst/>
            </c:spPr>
            <c:extLst>
              <c:ext xmlns:c16="http://schemas.microsoft.com/office/drawing/2014/chart" uri="{C3380CC4-5D6E-409C-BE32-E72D297353CC}">
                <c16:uniqueId val="{00000015-D945-4AC0-9BF6-2CAA5846D695}"/>
              </c:ext>
            </c:extLst>
          </c:dPt>
          <c:dPt>
            <c:idx val="11"/>
            <c:marker>
              <c:symbol val="none"/>
            </c:marker>
            <c:bubble3D val="0"/>
            <c:spPr>
              <a:ln w="15875" cap="rnd">
                <a:solidFill>
                  <a:schemeClr val="accent3">
                    <a:shade val="84000"/>
                  </a:schemeClr>
                </a:solidFill>
                <a:round/>
              </a:ln>
              <a:effectLst/>
            </c:spPr>
            <c:extLst>
              <c:ext xmlns:c16="http://schemas.microsoft.com/office/drawing/2014/chart" uri="{C3380CC4-5D6E-409C-BE32-E72D297353CC}">
                <c16:uniqueId val="{00000017-D945-4AC0-9BF6-2CAA5846D695}"/>
              </c:ext>
            </c:extLst>
          </c:dPt>
          <c:dPt>
            <c:idx val="12"/>
            <c:marker>
              <c:symbol val="none"/>
            </c:marker>
            <c:bubble3D val="0"/>
            <c:spPr>
              <a:ln w="15875" cap="rnd">
                <a:solidFill>
                  <a:schemeClr val="accent3">
                    <a:shade val="88000"/>
                  </a:schemeClr>
                </a:solidFill>
                <a:round/>
              </a:ln>
              <a:effectLst/>
            </c:spPr>
            <c:extLst>
              <c:ext xmlns:c16="http://schemas.microsoft.com/office/drawing/2014/chart" uri="{C3380CC4-5D6E-409C-BE32-E72D297353CC}">
                <c16:uniqueId val="{00000019-D945-4AC0-9BF6-2CAA5846D695}"/>
              </c:ext>
            </c:extLst>
          </c:dPt>
          <c:dPt>
            <c:idx val="13"/>
            <c:marker>
              <c:symbol val="none"/>
            </c:marker>
            <c:bubble3D val="0"/>
            <c:spPr>
              <a:ln w="15875" cap="rnd">
                <a:solidFill>
                  <a:schemeClr val="accent3">
                    <a:shade val="93000"/>
                  </a:schemeClr>
                </a:solidFill>
                <a:round/>
              </a:ln>
              <a:effectLst/>
            </c:spPr>
            <c:extLst>
              <c:ext xmlns:c16="http://schemas.microsoft.com/office/drawing/2014/chart" uri="{C3380CC4-5D6E-409C-BE32-E72D297353CC}">
                <c16:uniqueId val="{0000001B-D945-4AC0-9BF6-2CAA5846D695}"/>
              </c:ext>
            </c:extLst>
          </c:dPt>
          <c:dPt>
            <c:idx val="14"/>
            <c:marker>
              <c:symbol val="none"/>
            </c:marker>
            <c:bubble3D val="0"/>
            <c:spPr>
              <a:ln w="15875" cap="rnd">
                <a:solidFill>
                  <a:schemeClr val="accent3">
                    <a:shade val="97000"/>
                  </a:schemeClr>
                </a:solidFill>
                <a:round/>
              </a:ln>
              <a:effectLst/>
            </c:spPr>
            <c:extLst>
              <c:ext xmlns:c16="http://schemas.microsoft.com/office/drawing/2014/chart" uri="{C3380CC4-5D6E-409C-BE32-E72D297353CC}">
                <c16:uniqueId val="{0000001D-D945-4AC0-9BF6-2CAA5846D695}"/>
              </c:ext>
            </c:extLst>
          </c:dPt>
          <c:dPt>
            <c:idx val="15"/>
            <c:marker>
              <c:symbol val="none"/>
            </c:marker>
            <c:bubble3D val="0"/>
            <c:spPr>
              <a:ln w="15875" cap="rnd">
                <a:solidFill>
                  <a:schemeClr val="accent3">
                    <a:tint val="98000"/>
                  </a:schemeClr>
                </a:solidFill>
                <a:round/>
              </a:ln>
              <a:effectLst/>
            </c:spPr>
            <c:extLst>
              <c:ext xmlns:c16="http://schemas.microsoft.com/office/drawing/2014/chart" uri="{C3380CC4-5D6E-409C-BE32-E72D297353CC}">
                <c16:uniqueId val="{0000001F-D945-4AC0-9BF6-2CAA5846D695}"/>
              </c:ext>
            </c:extLst>
          </c:dPt>
          <c:dPt>
            <c:idx val="16"/>
            <c:marker>
              <c:symbol val="none"/>
            </c:marker>
            <c:bubble3D val="0"/>
            <c:spPr>
              <a:ln w="15875" cap="rnd">
                <a:solidFill>
                  <a:schemeClr val="accent3">
                    <a:tint val="94000"/>
                  </a:schemeClr>
                </a:solidFill>
                <a:round/>
              </a:ln>
              <a:effectLst/>
            </c:spPr>
            <c:extLst>
              <c:ext xmlns:c16="http://schemas.microsoft.com/office/drawing/2014/chart" uri="{C3380CC4-5D6E-409C-BE32-E72D297353CC}">
                <c16:uniqueId val="{00000021-D945-4AC0-9BF6-2CAA5846D695}"/>
              </c:ext>
            </c:extLst>
          </c:dPt>
          <c:dPt>
            <c:idx val="17"/>
            <c:marker>
              <c:symbol val="none"/>
            </c:marker>
            <c:bubble3D val="0"/>
            <c:spPr>
              <a:ln w="15875" cap="rnd">
                <a:solidFill>
                  <a:schemeClr val="accent3">
                    <a:tint val="89000"/>
                  </a:schemeClr>
                </a:solidFill>
                <a:round/>
              </a:ln>
              <a:effectLst/>
            </c:spPr>
            <c:extLst>
              <c:ext xmlns:c16="http://schemas.microsoft.com/office/drawing/2014/chart" uri="{C3380CC4-5D6E-409C-BE32-E72D297353CC}">
                <c16:uniqueId val="{00000023-D945-4AC0-9BF6-2CAA5846D695}"/>
              </c:ext>
            </c:extLst>
          </c:dPt>
          <c:dPt>
            <c:idx val="18"/>
            <c:marker>
              <c:symbol val="none"/>
            </c:marker>
            <c:bubble3D val="0"/>
            <c:spPr>
              <a:ln w="15875" cap="rnd">
                <a:solidFill>
                  <a:schemeClr val="accent3">
                    <a:tint val="85000"/>
                  </a:schemeClr>
                </a:solidFill>
                <a:round/>
              </a:ln>
              <a:effectLst/>
            </c:spPr>
            <c:extLst>
              <c:ext xmlns:c16="http://schemas.microsoft.com/office/drawing/2014/chart" uri="{C3380CC4-5D6E-409C-BE32-E72D297353CC}">
                <c16:uniqueId val="{00000025-D945-4AC0-9BF6-2CAA5846D695}"/>
              </c:ext>
            </c:extLst>
          </c:dPt>
          <c:dPt>
            <c:idx val="19"/>
            <c:marker>
              <c:symbol val="none"/>
            </c:marker>
            <c:bubble3D val="0"/>
            <c:spPr>
              <a:ln w="15875" cap="rnd">
                <a:solidFill>
                  <a:schemeClr val="accent3">
                    <a:tint val="80000"/>
                  </a:schemeClr>
                </a:solidFill>
                <a:round/>
              </a:ln>
              <a:effectLst/>
            </c:spPr>
            <c:extLst>
              <c:ext xmlns:c16="http://schemas.microsoft.com/office/drawing/2014/chart" uri="{C3380CC4-5D6E-409C-BE32-E72D297353CC}">
                <c16:uniqueId val="{00000027-D945-4AC0-9BF6-2CAA5846D695}"/>
              </c:ext>
            </c:extLst>
          </c:dPt>
          <c:dPt>
            <c:idx val="20"/>
            <c:marker>
              <c:symbol val="none"/>
            </c:marker>
            <c:bubble3D val="0"/>
            <c:spPr>
              <a:ln w="15875" cap="rnd">
                <a:solidFill>
                  <a:schemeClr val="accent3">
                    <a:tint val="76000"/>
                  </a:schemeClr>
                </a:solidFill>
                <a:round/>
              </a:ln>
              <a:effectLst/>
            </c:spPr>
            <c:extLst>
              <c:ext xmlns:c16="http://schemas.microsoft.com/office/drawing/2014/chart" uri="{C3380CC4-5D6E-409C-BE32-E72D297353CC}">
                <c16:uniqueId val="{00000029-D945-4AC0-9BF6-2CAA5846D695}"/>
              </c:ext>
            </c:extLst>
          </c:dPt>
          <c:dPt>
            <c:idx val="21"/>
            <c:marker>
              <c:symbol val="none"/>
            </c:marker>
            <c:bubble3D val="0"/>
            <c:spPr>
              <a:ln w="15875" cap="rnd">
                <a:solidFill>
                  <a:schemeClr val="accent3">
                    <a:tint val="71000"/>
                  </a:schemeClr>
                </a:solidFill>
                <a:round/>
              </a:ln>
              <a:effectLst/>
            </c:spPr>
            <c:extLst>
              <c:ext xmlns:c16="http://schemas.microsoft.com/office/drawing/2014/chart" uri="{C3380CC4-5D6E-409C-BE32-E72D297353CC}">
                <c16:uniqueId val="{0000002B-D945-4AC0-9BF6-2CAA5846D695}"/>
              </c:ext>
            </c:extLst>
          </c:dPt>
          <c:dPt>
            <c:idx val="22"/>
            <c:marker>
              <c:symbol val="none"/>
            </c:marker>
            <c:bubble3D val="0"/>
            <c:spPr>
              <a:ln w="15875" cap="rnd">
                <a:solidFill>
                  <a:schemeClr val="accent3">
                    <a:tint val="67000"/>
                  </a:schemeClr>
                </a:solidFill>
                <a:round/>
              </a:ln>
              <a:effectLst/>
            </c:spPr>
            <c:extLst>
              <c:ext xmlns:c16="http://schemas.microsoft.com/office/drawing/2014/chart" uri="{C3380CC4-5D6E-409C-BE32-E72D297353CC}">
                <c16:uniqueId val="{0000002D-D945-4AC0-9BF6-2CAA5846D695}"/>
              </c:ext>
            </c:extLst>
          </c:dPt>
          <c:dPt>
            <c:idx val="23"/>
            <c:marker>
              <c:symbol val="none"/>
            </c:marker>
            <c:bubble3D val="0"/>
            <c:spPr>
              <a:ln w="15875" cap="rnd">
                <a:solidFill>
                  <a:schemeClr val="accent3">
                    <a:tint val="62000"/>
                  </a:schemeClr>
                </a:solidFill>
                <a:round/>
              </a:ln>
              <a:effectLst/>
            </c:spPr>
            <c:extLst>
              <c:ext xmlns:c16="http://schemas.microsoft.com/office/drawing/2014/chart" uri="{C3380CC4-5D6E-409C-BE32-E72D297353CC}">
                <c16:uniqueId val="{0000002F-D945-4AC0-9BF6-2CAA5846D695}"/>
              </c:ext>
            </c:extLst>
          </c:dPt>
          <c:dPt>
            <c:idx val="24"/>
            <c:marker>
              <c:symbol val="none"/>
            </c:marker>
            <c:bubble3D val="0"/>
            <c:spPr>
              <a:ln w="15875" cap="rnd">
                <a:solidFill>
                  <a:schemeClr val="accent3">
                    <a:tint val="58000"/>
                  </a:schemeClr>
                </a:solidFill>
                <a:round/>
              </a:ln>
              <a:effectLst/>
            </c:spPr>
            <c:extLst>
              <c:ext xmlns:c16="http://schemas.microsoft.com/office/drawing/2014/chart" uri="{C3380CC4-5D6E-409C-BE32-E72D297353CC}">
                <c16:uniqueId val="{00000031-D945-4AC0-9BF6-2CAA5846D695}"/>
              </c:ext>
            </c:extLst>
          </c:dPt>
          <c:dPt>
            <c:idx val="25"/>
            <c:marker>
              <c:symbol val="none"/>
            </c:marker>
            <c:bubble3D val="0"/>
            <c:spPr>
              <a:ln w="15875" cap="rnd">
                <a:solidFill>
                  <a:schemeClr val="accent3">
                    <a:tint val="53000"/>
                  </a:schemeClr>
                </a:solidFill>
                <a:round/>
              </a:ln>
              <a:effectLst/>
            </c:spPr>
            <c:extLst>
              <c:ext xmlns:c16="http://schemas.microsoft.com/office/drawing/2014/chart" uri="{C3380CC4-5D6E-409C-BE32-E72D297353CC}">
                <c16:uniqueId val="{00000033-D945-4AC0-9BF6-2CAA5846D695}"/>
              </c:ext>
            </c:extLst>
          </c:dPt>
          <c:dPt>
            <c:idx val="26"/>
            <c:marker>
              <c:symbol val="none"/>
            </c:marker>
            <c:bubble3D val="0"/>
            <c:spPr>
              <a:ln w="15875" cap="rnd">
                <a:solidFill>
                  <a:schemeClr val="accent3">
                    <a:tint val="49000"/>
                  </a:schemeClr>
                </a:solidFill>
                <a:round/>
              </a:ln>
              <a:effectLst/>
            </c:spPr>
            <c:extLst>
              <c:ext xmlns:c16="http://schemas.microsoft.com/office/drawing/2014/chart" uri="{C3380CC4-5D6E-409C-BE32-E72D297353CC}">
                <c16:uniqueId val="{00000035-D945-4AC0-9BF6-2CAA5846D695}"/>
              </c:ext>
            </c:extLst>
          </c:dPt>
          <c:dPt>
            <c:idx val="27"/>
            <c:marker>
              <c:symbol val="none"/>
            </c:marker>
            <c:bubble3D val="0"/>
            <c:spPr>
              <a:ln w="15875" cap="rnd">
                <a:solidFill>
                  <a:schemeClr val="accent3">
                    <a:tint val="44000"/>
                  </a:schemeClr>
                </a:solidFill>
                <a:round/>
              </a:ln>
              <a:effectLst/>
            </c:spPr>
            <c:extLst>
              <c:ext xmlns:c16="http://schemas.microsoft.com/office/drawing/2014/chart" uri="{C3380CC4-5D6E-409C-BE32-E72D297353CC}">
                <c16:uniqueId val="{00000037-D945-4AC0-9BF6-2CAA5846D695}"/>
              </c:ext>
            </c:extLst>
          </c:dPt>
          <c:dPt>
            <c:idx val="28"/>
            <c:marker>
              <c:symbol val="none"/>
            </c:marker>
            <c:bubble3D val="0"/>
            <c:spPr>
              <a:ln w="15875" cap="rnd">
                <a:solidFill>
                  <a:schemeClr val="accent3">
                    <a:tint val="44000"/>
                  </a:schemeClr>
                </a:solidFill>
                <a:round/>
              </a:ln>
              <a:effectLst/>
            </c:spPr>
            <c:extLst>
              <c:ext xmlns:c16="http://schemas.microsoft.com/office/drawing/2014/chart" uri="{C3380CC4-5D6E-409C-BE32-E72D297353CC}">
                <c16:uniqueId val="{00000039-D945-4AC0-9BF6-2CAA5846D695}"/>
              </c:ext>
            </c:extLst>
          </c:dPt>
          <c:dPt>
            <c:idx val="29"/>
            <c:marker>
              <c:symbol val="none"/>
            </c:marker>
            <c:bubble3D val="0"/>
            <c:spPr>
              <a:ln w="15875" cap="rnd">
                <a:solidFill>
                  <a:schemeClr val="accent3">
                    <a:tint val="35000"/>
                  </a:schemeClr>
                </a:solidFill>
                <a:round/>
              </a:ln>
              <a:effectLst/>
            </c:spPr>
            <c:extLst>
              <c:ext xmlns:c16="http://schemas.microsoft.com/office/drawing/2014/chart" uri="{C3380CC4-5D6E-409C-BE32-E72D297353CC}">
                <c16:uniqueId val="{0000003B-D945-4AC0-9BF6-2CAA5846D695}"/>
              </c:ext>
            </c:extLst>
          </c:dPt>
          <c:dPt>
            <c:idx val="30"/>
            <c:marker>
              <c:symbol val="none"/>
            </c:marker>
            <c:bubble3D val="0"/>
            <c:spPr>
              <a:ln w="15875" cap="rnd">
                <a:solidFill>
                  <a:schemeClr val="accent3">
                    <a:tint val="35000"/>
                  </a:schemeClr>
                </a:solidFill>
                <a:round/>
              </a:ln>
              <a:effectLst/>
            </c:spPr>
            <c:extLst>
              <c:ext xmlns:c16="http://schemas.microsoft.com/office/drawing/2014/chart" uri="{C3380CC4-5D6E-409C-BE32-E72D297353CC}">
                <c16:uniqueId val="{0000003D-5DF6-4A5C-851E-B5FB45772886}"/>
              </c:ext>
            </c:extLst>
          </c:dPt>
          <c:val>
            <c:numRef>
              <c:f>'BASE DA MATRIZ DE RISCOS'!$G$78:$G$93</c:f>
              <c:numCache>
                <c:formatCode>0</c:formatCode>
                <c:ptCount val="16"/>
                <c:pt idx="0">
                  <c:v>5</c:v>
                </c:pt>
                <c:pt idx="1">
                  <c:v>3</c:v>
                </c:pt>
                <c:pt idx="2">
                  <c:v>2</c:v>
                </c:pt>
                <c:pt idx="3">
                  <c:v>3</c:v>
                </c:pt>
                <c:pt idx="4">
                  <c:v>1</c:v>
                </c:pt>
                <c:pt idx="5">
                  <c:v>1</c:v>
                </c:pt>
                <c:pt idx="6">
                  <c:v>5</c:v>
                </c:pt>
                <c:pt idx="7">
                  <c:v>4</c:v>
                </c:pt>
                <c:pt idx="8">
                  <c:v>4</c:v>
                </c:pt>
                <c:pt idx="9">
                  <c:v>4</c:v>
                </c:pt>
                <c:pt idx="10">
                  <c:v>5</c:v>
                </c:pt>
                <c:pt idx="11">
                  <c:v>1</c:v>
                </c:pt>
                <c:pt idx="12">
                  <c:v>3</c:v>
                </c:pt>
                <c:pt idx="13">
                  <c:v>5</c:v>
                </c:pt>
                <c:pt idx="14">
                  <c:v>3</c:v>
                </c:pt>
                <c:pt idx="15">
                  <c:v>4</c:v>
                </c:pt>
              </c:numCache>
            </c:numRef>
          </c:val>
          <c:extLst>
            <c:ext xmlns:c16="http://schemas.microsoft.com/office/drawing/2014/chart" uri="{C3380CC4-5D6E-409C-BE32-E72D297353CC}">
              <c16:uniqueId val="{00000000-5A37-4793-8EDA-3CAAF3E15AFF}"/>
            </c:ext>
          </c:extLst>
        </c:ser>
        <c:dLbls>
          <c:showLegendKey val="0"/>
          <c:showVal val="0"/>
          <c:showCatName val="0"/>
          <c:showSerName val="0"/>
          <c:showPercent val="0"/>
          <c:showBubbleSize val="0"/>
        </c:dLbls>
        <c:axId val="117164442"/>
        <c:axId val="857302370"/>
      </c:radarChart>
      <c:catAx>
        <c:axId val="11716444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pt-B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pt-BR"/>
          </a:p>
        </c:txPr>
        <c:crossAx val="857302370"/>
        <c:crosses val="autoZero"/>
        <c:auto val="1"/>
        <c:lblAlgn val="ctr"/>
        <c:lblOffset val="100"/>
        <c:noMultiLvlLbl val="1"/>
      </c:catAx>
      <c:valAx>
        <c:axId val="85730237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pt-B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pt-B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pt-BR"/>
          </a:p>
        </c:txPr>
        <c:crossAx val="117164442"/>
        <c:crosses val="autoZero"/>
        <c:crossBetween val="between"/>
      </c:valAx>
      <c:spPr>
        <a:noFill/>
        <a:ln>
          <a:noFill/>
        </a:ln>
        <a:effectLst/>
      </c:spPr>
    </c:plotArea>
    <c:plotVisOnly val="1"/>
    <c:dispBlanksAs val="zero"/>
    <c:showDLblsOverMax val="1"/>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pt-BR"/>
        </a:p>
      </c:txPr>
    </c:title>
    <c:autoTitleDeleted val="0"/>
    <c:plotArea>
      <c:layout/>
      <c:radarChart>
        <c:radarStyle val="marker"/>
        <c:varyColors val="1"/>
        <c:ser>
          <c:idx val="0"/>
          <c:order val="0"/>
          <c:tx>
            <c:strRef>
              <c:f>'BASE DA MATRIZ DE RISCOS'!$H$77</c:f>
              <c:strCache>
                <c:ptCount val="1"/>
                <c:pt idx="0">
                  <c:v>Perdas/
Impacto</c:v>
                </c:pt>
              </c:strCache>
            </c:strRef>
          </c:tx>
          <c:marker>
            <c:symbol val="none"/>
          </c:marker>
          <c:dPt>
            <c:idx val="0"/>
            <c:marker>
              <c:symbol val="none"/>
            </c:marker>
            <c:bubble3D val="0"/>
            <c:spPr>
              <a:ln w="15875" cap="rnd">
                <a:solidFill>
                  <a:schemeClr val="accent1">
                    <a:shade val="34000"/>
                  </a:schemeClr>
                </a:solidFill>
                <a:round/>
              </a:ln>
              <a:effectLst/>
            </c:spPr>
            <c:extLst>
              <c:ext xmlns:c16="http://schemas.microsoft.com/office/drawing/2014/chart" uri="{C3380CC4-5D6E-409C-BE32-E72D297353CC}">
                <c16:uniqueId val="{00000001-ECF8-4859-B049-4DE848546E7C}"/>
              </c:ext>
            </c:extLst>
          </c:dPt>
          <c:dPt>
            <c:idx val="1"/>
            <c:marker>
              <c:symbol val="none"/>
            </c:marker>
            <c:bubble3D val="0"/>
            <c:spPr>
              <a:ln w="15875" cap="rnd">
                <a:solidFill>
                  <a:schemeClr val="accent1">
                    <a:shade val="39000"/>
                  </a:schemeClr>
                </a:solidFill>
                <a:round/>
              </a:ln>
              <a:effectLst/>
            </c:spPr>
            <c:extLst>
              <c:ext xmlns:c16="http://schemas.microsoft.com/office/drawing/2014/chart" uri="{C3380CC4-5D6E-409C-BE32-E72D297353CC}">
                <c16:uniqueId val="{00000003-ECF8-4859-B049-4DE848546E7C}"/>
              </c:ext>
            </c:extLst>
          </c:dPt>
          <c:dPt>
            <c:idx val="2"/>
            <c:marker>
              <c:symbol val="none"/>
            </c:marker>
            <c:bubble3D val="0"/>
            <c:spPr>
              <a:ln w="15875" cap="rnd">
                <a:solidFill>
                  <a:schemeClr val="accent1">
                    <a:shade val="43000"/>
                  </a:schemeClr>
                </a:solidFill>
                <a:round/>
              </a:ln>
              <a:effectLst/>
            </c:spPr>
            <c:extLst>
              <c:ext xmlns:c16="http://schemas.microsoft.com/office/drawing/2014/chart" uri="{C3380CC4-5D6E-409C-BE32-E72D297353CC}">
                <c16:uniqueId val="{00000005-ECF8-4859-B049-4DE848546E7C}"/>
              </c:ext>
            </c:extLst>
          </c:dPt>
          <c:dPt>
            <c:idx val="3"/>
            <c:marker>
              <c:symbol val="none"/>
            </c:marker>
            <c:bubble3D val="0"/>
            <c:spPr>
              <a:ln w="15875" cap="rnd">
                <a:solidFill>
                  <a:schemeClr val="accent1">
                    <a:shade val="48000"/>
                  </a:schemeClr>
                </a:solidFill>
                <a:round/>
              </a:ln>
              <a:effectLst/>
            </c:spPr>
            <c:extLst>
              <c:ext xmlns:c16="http://schemas.microsoft.com/office/drawing/2014/chart" uri="{C3380CC4-5D6E-409C-BE32-E72D297353CC}">
                <c16:uniqueId val="{00000007-ECF8-4859-B049-4DE848546E7C}"/>
              </c:ext>
            </c:extLst>
          </c:dPt>
          <c:dPt>
            <c:idx val="4"/>
            <c:marker>
              <c:symbol val="none"/>
            </c:marker>
            <c:bubble3D val="0"/>
            <c:spPr>
              <a:ln w="15875" cap="rnd">
                <a:solidFill>
                  <a:schemeClr val="accent1">
                    <a:shade val="52000"/>
                  </a:schemeClr>
                </a:solidFill>
                <a:round/>
              </a:ln>
              <a:effectLst/>
            </c:spPr>
            <c:extLst>
              <c:ext xmlns:c16="http://schemas.microsoft.com/office/drawing/2014/chart" uri="{C3380CC4-5D6E-409C-BE32-E72D297353CC}">
                <c16:uniqueId val="{00000009-ECF8-4859-B049-4DE848546E7C}"/>
              </c:ext>
            </c:extLst>
          </c:dPt>
          <c:dPt>
            <c:idx val="5"/>
            <c:marker>
              <c:symbol val="none"/>
            </c:marker>
            <c:bubble3D val="0"/>
            <c:spPr>
              <a:ln w="15875" cap="rnd">
                <a:solidFill>
                  <a:schemeClr val="accent1">
                    <a:shade val="57000"/>
                  </a:schemeClr>
                </a:solidFill>
                <a:round/>
              </a:ln>
              <a:effectLst/>
            </c:spPr>
            <c:extLst>
              <c:ext xmlns:c16="http://schemas.microsoft.com/office/drawing/2014/chart" uri="{C3380CC4-5D6E-409C-BE32-E72D297353CC}">
                <c16:uniqueId val="{0000000B-ECF8-4859-B049-4DE848546E7C}"/>
              </c:ext>
            </c:extLst>
          </c:dPt>
          <c:dPt>
            <c:idx val="6"/>
            <c:marker>
              <c:symbol val="none"/>
            </c:marker>
            <c:bubble3D val="0"/>
            <c:spPr>
              <a:ln w="15875" cap="rnd">
                <a:solidFill>
                  <a:schemeClr val="accent1">
                    <a:shade val="61000"/>
                  </a:schemeClr>
                </a:solidFill>
                <a:round/>
              </a:ln>
              <a:effectLst/>
            </c:spPr>
            <c:extLst>
              <c:ext xmlns:c16="http://schemas.microsoft.com/office/drawing/2014/chart" uri="{C3380CC4-5D6E-409C-BE32-E72D297353CC}">
                <c16:uniqueId val="{0000000D-ECF8-4859-B049-4DE848546E7C}"/>
              </c:ext>
            </c:extLst>
          </c:dPt>
          <c:dPt>
            <c:idx val="7"/>
            <c:marker>
              <c:symbol val="none"/>
            </c:marker>
            <c:bubble3D val="0"/>
            <c:spPr>
              <a:ln w="15875" cap="rnd">
                <a:solidFill>
                  <a:schemeClr val="accent1">
                    <a:shade val="66000"/>
                  </a:schemeClr>
                </a:solidFill>
                <a:round/>
              </a:ln>
              <a:effectLst/>
            </c:spPr>
            <c:extLst>
              <c:ext xmlns:c16="http://schemas.microsoft.com/office/drawing/2014/chart" uri="{C3380CC4-5D6E-409C-BE32-E72D297353CC}">
                <c16:uniqueId val="{0000000F-ECF8-4859-B049-4DE848546E7C}"/>
              </c:ext>
            </c:extLst>
          </c:dPt>
          <c:dPt>
            <c:idx val="8"/>
            <c:marker>
              <c:symbol val="none"/>
            </c:marker>
            <c:bubble3D val="0"/>
            <c:spPr>
              <a:ln w="15875" cap="rnd">
                <a:solidFill>
                  <a:schemeClr val="accent1">
                    <a:shade val="70000"/>
                  </a:schemeClr>
                </a:solidFill>
                <a:round/>
              </a:ln>
              <a:effectLst/>
            </c:spPr>
            <c:extLst>
              <c:ext xmlns:c16="http://schemas.microsoft.com/office/drawing/2014/chart" uri="{C3380CC4-5D6E-409C-BE32-E72D297353CC}">
                <c16:uniqueId val="{00000011-ECF8-4859-B049-4DE848546E7C}"/>
              </c:ext>
            </c:extLst>
          </c:dPt>
          <c:dPt>
            <c:idx val="9"/>
            <c:marker>
              <c:symbol val="none"/>
            </c:marker>
            <c:bubble3D val="0"/>
            <c:spPr>
              <a:ln w="15875" cap="rnd">
                <a:solidFill>
                  <a:schemeClr val="accent1">
                    <a:shade val="75000"/>
                  </a:schemeClr>
                </a:solidFill>
                <a:round/>
              </a:ln>
              <a:effectLst/>
            </c:spPr>
            <c:extLst>
              <c:ext xmlns:c16="http://schemas.microsoft.com/office/drawing/2014/chart" uri="{C3380CC4-5D6E-409C-BE32-E72D297353CC}">
                <c16:uniqueId val="{00000013-ECF8-4859-B049-4DE848546E7C}"/>
              </c:ext>
            </c:extLst>
          </c:dPt>
          <c:dPt>
            <c:idx val="10"/>
            <c:marker>
              <c:symbol val="none"/>
            </c:marker>
            <c:bubble3D val="0"/>
            <c:spPr>
              <a:ln w="15875" cap="rnd">
                <a:solidFill>
                  <a:schemeClr val="accent1">
                    <a:shade val="79000"/>
                  </a:schemeClr>
                </a:solidFill>
                <a:round/>
              </a:ln>
              <a:effectLst/>
            </c:spPr>
            <c:extLst>
              <c:ext xmlns:c16="http://schemas.microsoft.com/office/drawing/2014/chart" uri="{C3380CC4-5D6E-409C-BE32-E72D297353CC}">
                <c16:uniqueId val="{00000015-ECF8-4859-B049-4DE848546E7C}"/>
              </c:ext>
            </c:extLst>
          </c:dPt>
          <c:dPt>
            <c:idx val="11"/>
            <c:marker>
              <c:symbol val="none"/>
            </c:marker>
            <c:bubble3D val="0"/>
            <c:spPr>
              <a:ln w="15875" cap="rnd">
                <a:solidFill>
                  <a:schemeClr val="accent1">
                    <a:shade val="84000"/>
                  </a:schemeClr>
                </a:solidFill>
                <a:round/>
              </a:ln>
              <a:effectLst/>
            </c:spPr>
            <c:extLst>
              <c:ext xmlns:c16="http://schemas.microsoft.com/office/drawing/2014/chart" uri="{C3380CC4-5D6E-409C-BE32-E72D297353CC}">
                <c16:uniqueId val="{00000017-ECF8-4859-B049-4DE848546E7C}"/>
              </c:ext>
            </c:extLst>
          </c:dPt>
          <c:dPt>
            <c:idx val="12"/>
            <c:marker>
              <c:symbol val="none"/>
            </c:marker>
            <c:bubble3D val="0"/>
            <c:spPr>
              <a:ln w="15875" cap="rnd">
                <a:solidFill>
                  <a:schemeClr val="accent1">
                    <a:shade val="88000"/>
                  </a:schemeClr>
                </a:solidFill>
                <a:round/>
              </a:ln>
              <a:effectLst/>
            </c:spPr>
            <c:extLst>
              <c:ext xmlns:c16="http://schemas.microsoft.com/office/drawing/2014/chart" uri="{C3380CC4-5D6E-409C-BE32-E72D297353CC}">
                <c16:uniqueId val="{00000019-ECF8-4859-B049-4DE848546E7C}"/>
              </c:ext>
            </c:extLst>
          </c:dPt>
          <c:dPt>
            <c:idx val="13"/>
            <c:marker>
              <c:symbol val="none"/>
            </c:marker>
            <c:bubble3D val="0"/>
            <c:spPr>
              <a:ln w="15875" cap="rnd">
                <a:solidFill>
                  <a:schemeClr val="accent1">
                    <a:shade val="93000"/>
                  </a:schemeClr>
                </a:solidFill>
                <a:round/>
              </a:ln>
              <a:effectLst/>
            </c:spPr>
            <c:extLst>
              <c:ext xmlns:c16="http://schemas.microsoft.com/office/drawing/2014/chart" uri="{C3380CC4-5D6E-409C-BE32-E72D297353CC}">
                <c16:uniqueId val="{0000001B-ECF8-4859-B049-4DE848546E7C}"/>
              </c:ext>
            </c:extLst>
          </c:dPt>
          <c:dPt>
            <c:idx val="14"/>
            <c:marker>
              <c:symbol val="none"/>
            </c:marker>
            <c:bubble3D val="0"/>
            <c:spPr>
              <a:ln w="15875" cap="rnd">
                <a:solidFill>
                  <a:schemeClr val="accent1">
                    <a:shade val="97000"/>
                  </a:schemeClr>
                </a:solidFill>
                <a:round/>
              </a:ln>
              <a:effectLst/>
            </c:spPr>
            <c:extLst>
              <c:ext xmlns:c16="http://schemas.microsoft.com/office/drawing/2014/chart" uri="{C3380CC4-5D6E-409C-BE32-E72D297353CC}">
                <c16:uniqueId val="{0000001D-ECF8-4859-B049-4DE848546E7C}"/>
              </c:ext>
            </c:extLst>
          </c:dPt>
          <c:dPt>
            <c:idx val="15"/>
            <c:marker>
              <c:symbol val="none"/>
            </c:marker>
            <c:bubble3D val="0"/>
            <c:spPr>
              <a:ln w="15875" cap="rnd">
                <a:solidFill>
                  <a:schemeClr val="accent1">
                    <a:tint val="98000"/>
                  </a:schemeClr>
                </a:solidFill>
                <a:round/>
              </a:ln>
              <a:effectLst/>
            </c:spPr>
            <c:extLst>
              <c:ext xmlns:c16="http://schemas.microsoft.com/office/drawing/2014/chart" uri="{C3380CC4-5D6E-409C-BE32-E72D297353CC}">
                <c16:uniqueId val="{0000001F-ECF8-4859-B049-4DE848546E7C}"/>
              </c:ext>
            </c:extLst>
          </c:dPt>
          <c:dPt>
            <c:idx val="16"/>
            <c:marker>
              <c:symbol val="none"/>
            </c:marker>
            <c:bubble3D val="0"/>
            <c:spPr>
              <a:ln w="15875" cap="rnd">
                <a:solidFill>
                  <a:schemeClr val="accent1">
                    <a:tint val="94000"/>
                  </a:schemeClr>
                </a:solidFill>
                <a:round/>
              </a:ln>
              <a:effectLst/>
            </c:spPr>
            <c:extLst>
              <c:ext xmlns:c16="http://schemas.microsoft.com/office/drawing/2014/chart" uri="{C3380CC4-5D6E-409C-BE32-E72D297353CC}">
                <c16:uniqueId val="{00000021-ECF8-4859-B049-4DE848546E7C}"/>
              </c:ext>
            </c:extLst>
          </c:dPt>
          <c:dPt>
            <c:idx val="17"/>
            <c:marker>
              <c:symbol val="none"/>
            </c:marker>
            <c:bubble3D val="0"/>
            <c:spPr>
              <a:ln w="15875" cap="rnd">
                <a:solidFill>
                  <a:schemeClr val="accent1">
                    <a:tint val="89000"/>
                  </a:schemeClr>
                </a:solidFill>
                <a:round/>
              </a:ln>
              <a:effectLst/>
            </c:spPr>
            <c:extLst>
              <c:ext xmlns:c16="http://schemas.microsoft.com/office/drawing/2014/chart" uri="{C3380CC4-5D6E-409C-BE32-E72D297353CC}">
                <c16:uniqueId val="{00000023-ECF8-4859-B049-4DE848546E7C}"/>
              </c:ext>
            </c:extLst>
          </c:dPt>
          <c:dPt>
            <c:idx val="18"/>
            <c:marker>
              <c:symbol val="none"/>
            </c:marker>
            <c:bubble3D val="0"/>
            <c:spPr>
              <a:ln w="15875" cap="rnd">
                <a:solidFill>
                  <a:schemeClr val="accent1">
                    <a:tint val="85000"/>
                  </a:schemeClr>
                </a:solidFill>
                <a:round/>
              </a:ln>
              <a:effectLst/>
            </c:spPr>
            <c:extLst>
              <c:ext xmlns:c16="http://schemas.microsoft.com/office/drawing/2014/chart" uri="{C3380CC4-5D6E-409C-BE32-E72D297353CC}">
                <c16:uniqueId val="{00000025-ECF8-4859-B049-4DE848546E7C}"/>
              </c:ext>
            </c:extLst>
          </c:dPt>
          <c:dPt>
            <c:idx val="19"/>
            <c:marker>
              <c:symbol val="none"/>
            </c:marker>
            <c:bubble3D val="0"/>
            <c:spPr>
              <a:ln w="15875" cap="rnd">
                <a:solidFill>
                  <a:schemeClr val="accent1">
                    <a:tint val="80000"/>
                  </a:schemeClr>
                </a:solidFill>
                <a:round/>
              </a:ln>
              <a:effectLst/>
            </c:spPr>
            <c:extLst>
              <c:ext xmlns:c16="http://schemas.microsoft.com/office/drawing/2014/chart" uri="{C3380CC4-5D6E-409C-BE32-E72D297353CC}">
                <c16:uniqueId val="{00000027-ECF8-4859-B049-4DE848546E7C}"/>
              </c:ext>
            </c:extLst>
          </c:dPt>
          <c:dPt>
            <c:idx val="20"/>
            <c:marker>
              <c:symbol val="none"/>
            </c:marker>
            <c:bubble3D val="0"/>
            <c:spPr>
              <a:ln w="15875" cap="rnd">
                <a:solidFill>
                  <a:schemeClr val="accent1">
                    <a:tint val="76000"/>
                  </a:schemeClr>
                </a:solidFill>
                <a:round/>
              </a:ln>
              <a:effectLst/>
            </c:spPr>
            <c:extLst>
              <c:ext xmlns:c16="http://schemas.microsoft.com/office/drawing/2014/chart" uri="{C3380CC4-5D6E-409C-BE32-E72D297353CC}">
                <c16:uniqueId val="{00000029-ECF8-4859-B049-4DE848546E7C}"/>
              </c:ext>
            </c:extLst>
          </c:dPt>
          <c:dPt>
            <c:idx val="21"/>
            <c:marker>
              <c:symbol val="none"/>
            </c:marker>
            <c:bubble3D val="0"/>
            <c:spPr>
              <a:ln w="15875" cap="rnd">
                <a:solidFill>
                  <a:schemeClr val="accent1">
                    <a:tint val="71000"/>
                  </a:schemeClr>
                </a:solidFill>
                <a:round/>
              </a:ln>
              <a:effectLst/>
            </c:spPr>
            <c:extLst>
              <c:ext xmlns:c16="http://schemas.microsoft.com/office/drawing/2014/chart" uri="{C3380CC4-5D6E-409C-BE32-E72D297353CC}">
                <c16:uniqueId val="{0000002B-ECF8-4859-B049-4DE848546E7C}"/>
              </c:ext>
            </c:extLst>
          </c:dPt>
          <c:dPt>
            <c:idx val="22"/>
            <c:marker>
              <c:symbol val="none"/>
            </c:marker>
            <c:bubble3D val="0"/>
            <c:spPr>
              <a:ln w="15875" cap="rnd">
                <a:solidFill>
                  <a:schemeClr val="accent1">
                    <a:tint val="67000"/>
                  </a:schemeClr>
                </a:solidFill>
                <a:round/>
              </a:ln>
              <a:effectLst/>
            </c:spPr>
            <c:extLst>
              <c:ext xmlns:c16="http://schemas.microsoft.com/office/drawing/2014/chart" uri="{C3380CC4-5D6E-409C-BE32-E72D297353CC}">
                <c16:uniqueId val="{0000002D-ECF8-4859-B049-4DE848546E7C}"/>
              </c:ext>
            </c:extLst>
          </c:dPt>
          <c:dPt>
            <c:idx val="23"/>
            <c:marker>
              <c:symbol val="none"/>
            </c:marker>
            <c:bubble3D val="0"/>
            <c:spPr>
              <a:ln w="15875" cap="rnd">
                <a:solidFill>
                  <a:schemeClr val="accent1">
                    <a:tint val="62000"/>
                  </a:schemeClr>
                </a:solidFill>
                <a:round/>
              </a:ln>
              <a:effectLst/>
            </c:spPr>
            <c:extLst>
              <c:ext xmlns:c16="http://schemas.microsoft.com/office/drawing/2014/chart" uri="{C3380CC4-5D6E-409C-BE32-E72D297353CC}">
                <c16:uniqueId val="{0000002F-ECF8-4859-B049-4DE848546E7C}"/>
              </c:ext>
            </c:extLst>
          </c:dPt>
          <c:dPt>
            <c:idx val="24"/>
            <c:marker>
              <c:symbol val="none"/>
            </c:marker>
            <c:bubble3D val="0"/>
            <c:spPr>
              <a:ln w="15875" cap="rnd">
                <a:solidFill>
                  <a:schemeClr val="accent1">
                    <a:tint val="58000"/>
                  </a:schemeClr>
                </a:solidFill>
                <a:round/>
              </a:ln>
              <a:effectLst/>
            </c:spPr>
            <c:extLst>
              <c:ext xmlns:c16="http://schemas.microsoft.com/office/drawing/2014/chart" uri="{C3380CC4-5D6E-409C-BE32-E72D297353CC}">
                <c16:uniqueId val="{00000031-ECF8-4859-B049-4DE848546E7C}"/>
              </c:ext>
            </c:extLst>
          </c:dPt>
          <c:dPt>
            <c:idx val="25"/>
            <c:marker>
              <c:symbol val="none"/>
            </c:marker>
            <c:bubble3D val="0"/>
            <c:spPr>
              <a:ln w="15875" cap="rnd">
                <a:solidFill>
                  <a:schemeClr val="accent1">
                    <a:tint val="53000"/>
                  </a:schemeClr>
                </a:solidFill>
                <a:round/>
              </a:ln>
              <a:effectLst/>
            </c:spPr>
            <c:extLst>
              <c:ext xmlns:c16="http://schemas.microsoft.com/office/drawing/2014/chart" uri="{C3380CC4-5D6E-409C-BE32-E72D297353CC}">
                <c16:uniqueId val="{00000033-ECF8-4859-B049-4DE848546E7C}"/>
              </c:ext>
            </c:extLst>
          </c:dPt>
          <c:dPt>
            <c:idx val="26"/>
            <c:marker>
              <c:symbol val="none"/>
            </c:marker>
            <c:bubble3D val="0"/>
            <c:spPr>
              <a:ln w="15875" cap="rnd">
                <a:solidFill>
                  <a:schemeClr val="accent1">
                    <a:tint val="49000"/>
                  </a:schemeClr>
                </a:solidFill>
                <a:round/>
              </a:ln>
              <a:effectLst/>
            </c:spPr>
            <c:extLst>
              <c:ext xmlns:c16="http://schemas.microsoft.com/office/drawing/2014/chart" uri="{C3380CC4-5D6E-409C-BE32-E72D297353CC}">
                <c16:uniqueId val="{00000035-ECF8-4859-B049-4DE848546E7C}"/>
              </c:ext>
            </c:extLst>
          </c:dPt>
          <c:dPt>
            <c:idx val="27"/>
            <c:marker>
              <c:symbol val="none"/>
            </c:marker>
            <c:bubble3D val="0"/>
            <c:spPr>
              <a:ln w="15875" cap="rnd">
                <a:solidFill>
                  <a:schemeClr val="accent1">
                    <a:tint val="44000"/>
                  </a:schemeClr>
                </a:solidFill>
                <a:round/>
              </a:ln>
              <a:effectLst/>
            </c:spPr>
            <c:extLst>
              <c:ext xmlns:c16="http://schemas.microsoft.com/office/drawing/2014/chart" uri="{C3380CC4-5D6E-409C-BE32-E72D297353CC}">
                <c16:uniqueId val="{00000037-ECF8-4859-B049-4DE848546E7C}"/>
              </c:ext>
            </c:extLst>
          </c:dPt>
          <c:dPt>
            <c:idx val="28"/>
            <c:marker>
              <c:symbol val="none"/>
            </c:marker>
            <c:bubble3D val="0"/>
            <c:spPr>
              <a:ln w="15875" cap="rnd">
                <a:solidFill>
                  <a:schemeClr val="accent1">
                    <a:tint val="44000"/>
                  </a:schemeClr>
                </a:solidFill>
                <a:round/>
              </a:ln>
              <a:effectLst/>
            </c:spPr>
            <c:extLst>
              <c:ext xmlns:c16="http://schemas.microsoft.com/office/drawing/2014/chart" uri="{C3380CC4-5D6E-409C-BE32-E72D297353CC}">
                <c16:uniqueId val="{00000039-ECF8-4859-B049-4DE848546E7C}"/>
              </c:ext>
            </c:extLst>
          </c:dPt>
          <c:dPt>
            <c:idx val="29"/>
            <c:marker>
              <c:symbol val="none"/>
            </c:marker>
            <c:bubble3D val="0"/>
            <c:spPr>
              <a:ln w="15875" cap="rnd">
                <a:solidFill>
                  <a:schemeClr val="accent1">
                    <a:tint val="35000"/>
                  </a:schemeClr>
                </a:solidFill>
                <a:round/>
              </a:ln>
              <a:effectLst/>
            </c:spPr>
            <c:extLst>
              <c:ext xmlns:c16="http://schemas.microsoft.com/office/drawing/2014/chart" uri="{C3380CC4-5D6E-409C-BE32-E72D297353CC}">
                <c16:uniqueId val="{0000003B-ECF8-4859-B049-4DE848546E7C}"/>
              </c:ext>
            </c:extLst>
          </c:dPt>
          <c:dPt>
            <c:idx val="30"/>
            <c:marker>
              <c:symbol val="none"/>
            </c:marker>
            <c:bubble3D val="0"/>
            <c:spPr>
              <a:ln w="15875" cap="rnd">
                <a:solidFill>
                  <a:schemeClr val="accent1">
                    <a:tint val="35000"/>
                  </a:schemeClr>
                </a:solidFill>
                <a:round/>
              </a:ln>
              <a:effectLst/>
            </c:spPr>
            <c:extLst>
              <c:ext xmlns:c16="http://schemas.microsoft.com/office/drawing/2014/chart" uri="{C3380CC4-5D6E-409C-BE32-E72D297353CC}">
                <c16:uniqueId val="{0000003D-64DB-4C3B-AEEC-F4E9EE640B87}"/>
              </c:ext>
            </c:extLst>
          </c:dPt>
          <c:val>
            <c:numRef>
              <c:f>'BASE DA MATRIZ DE RISCOS'!$H$78:$H$93</c:f>
              <c:numCache>
                <c:formatCode>General</c:formatCode>
                <c:ptCount val="16"/>
                <c:pt idx="0">
                  <c:v>2</c:v>
                </c:pt>
                <c:pt idx="1">
                  <c:v>2</c:v>
                </c:pt>
                <c:pt idx="2">
                  <c:v>1</c:v>
                </c:pt>
                <c:pt idx="3">
                  <c:v>1</c:v>
                </c:pt>
                <c:pt idx="4">
                  <c:v>1</c:v>
                </c:pt>
                <c:pt idx="5">
                  <c:v>1</c:v>
                </c:pt>
                <c:pt idx="6">
                  <c:v>3</c:v>
                </c:pt>
                <c:pt idx="7">
                  <c:v>2</c:v>
                </c:pt>
                <c:pt idx="8">
                  <c:v>4</c:v>
                </c:pt>
                <c:pt idx="9">
                  <c:v>4</c:v>
                </c:pt>
                <c:pt idx="10">
                  <c:v>5</c:v>
                </c:pt>
                <c:pt idx="11">
                  <c:v>1</c:v>
                </c:pt>
                <c:pt idx="12">
                  <c:v>1</c:v>
                </c:pt>
                <c:pt idx="13">
                  <c:v>1</c:v>
                </c:pt>
                <c:pt idx="14">
                  <c:v>2</c:v>
                </c:pt>
                <c:pt idx="15">
                  <c:v>2</c:v>
                </c:pt>
              </c:numCache>
            </c:numRef>
          </c:val>
          <c:extLst>
            <c:ext xmlns:c16="http://schemas.microsoft.com/office/drawing/2014/chart" uri="{C3380CC4-5D6E-409C-BE32-E72D297353CC}">
              <c16:uniqueId val="{00000000-D1CF-464B-9404-E67938B8EA12}"/>
            </c:ext>
          </c:extLst>
        </c:ser>
        <c:dLbls>
          <c:showLegendKey val="0"/>
          <c:showVal val="0"/>
          <c:showCatName val="0"/>
          <c:showSerName val="0"/>
          <c:showPercent val="0"/>
          <c:showBubbleSize val="0"/>
        </c:dLbls>
        <c:axId val="67284634"/>
        <c:axId val="719479761"/>
      </c:radarChart>
      <c:catAx>
        <c:axId val="6728463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pt-B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pt-BR"/>
          </a:p>
        </c:txPr>
        <c:crossAx val="719479761"/>
        <c:crosses val="autoZero"/>
        <c:auto val="1"/>
        <c:lblAlgn val="ctr"/>
        <c:lblOffset val="100"/>
        <c:noMultiLvlLbl val="1"/>
      </c:catAx>
      <c:valAx>
        <c:axId val="71947976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pt-B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pt-BR"/>
          </a:p>
        </c:txPr>
        <c:crossAx val="67284634"/>
        <c:crosses val="autoZero"/>
        <c:crossBetween val="between"/>
      </c:valAx>
      <c:spPr>
        <a:noFill/>
        <a:ln>
          <a:noFill/>
        </a:ln>
        <a:effectLst/>
      </c:spPr>
    </c:plotArea>
    <c:plotVisOnly val="1"/>
    <c:dispBlanksAs val="zero"/>
    <c:showDLblsOverMax val="1"/>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pt-BR"/>
        </a:p>
      </c:txPr>
    </c:title>
    <c:autoTitleDeleted val="0"/>
    <c:plotArea>
      <c:layout>
        <c:manualLayout>
          <c:layoutTarget val="inner"/>
          <c:xMode val="edge"/>
          <c:yMode val="edge"/>
          <c:x val="0.26517059564128148"/>
          <c:y val="0.16530590580914287"/>
          <c:w val="0.47215210773093497"/>
          <c:h val="0.69563211528677216"/>
        </c:manualLayout>
      </c:layout>
      <c:radarChart>
        <c:radarStyle val="marker"/>
        <c:varyColors val="1"/>
        <c:ser>
          <c:idx val="0"/>
          <c:order val="0"/>
          <c:tx>
            <c:strRef>
              <c:f>'BASE DA MATRIZ DE RISCOS'!$I$77</c:f>
              <c:strCache>
                <c:ptCount val="1"/>
                <c:pt idx="0">
                  <c:v>Exposição</c:v>
                </c:pt>
              </c:strCache>
            </c:strRef>
          </c:tx>
          <c:marker>
            <c:symbol val="none"/>
          </c:marker>
          <c:dPt>
            <c:idx val="0"/>
            <c:marker>
              <c:symbol val="none"/>
            </c:marker>
            <c:bubble3D val="0"/>
            <c:spPr>
              <a:ln w="15875" cap="rnd">
                <a:solidFill>
                  <a:schemeClr val="accent1">
                    <a:shade val="34000"/>
                  </a:schemeClr>
                </a:solidFill>
                <a:round/>
              </a:ln>
              <a:effectLst/>
            </c:spPr>
            <c:extLst>
              <c:ext xmlns:c16="http://schemas.microsoft.com/office/drawing/2014/chart" uri="{C3380CC4-5D6E-409C-BE32-E72D297353CC}">
                <c16:uniqueId val="{00000001-D285-41B3-9464-614A9A106855}"/>
              </c:ext>
            </c:extLst>
          </c:dPt>
          <c:dPt>
            <c:idx val="1"/>
            <c:marker>
              <c:symbol val="none"/>
            </c:marker>
            <c:bubble3D val="0"/>
            <c:spPr>
              <a:ln w="15875" cap="rnd">
                <a:solidFill>
                  <a:schemeClr val="accent1">
                    <a:shade val="39000"/>
                  </a:schemeClr>
                </a:solidFill>
                <a:round/>
              </a:ln>
              <a:effectLst/>
            </c:spPr>
            <c:extLst>
              <c:ext xmlns:c16="http://schemas.microsoft.com/office/drawing/2014/chart" uri="{C3380CC4-5D6E-409C-BE32-E72D297353CC}">
                <c16:uniqueId val="{00000003-D285-41B3-9464-614A9A106855}"/>
              </c:ext>
            </c:extLst>
          </c:dPt>
          <c:dPt>
            <c:idx val="2"/>
            <c:marker>
              <c:symbol val="none"/>
            </c:marker>
            <c:bubble3D val="0"/>
            <c:spPr>
              <a:ln w="15875" cap="rnd">
                <a:solidFill>
                  <a:schemeClr val="accent1">
                    <a:shade val="43000"/>
                  </a:schemeClr>
                </a:solidFill>
                <a:round/>
              </a:ln>
              <a:effectLst/>
            </c:spPr>
            <c:extLst>
              <c:ext xmlns:c16="http://schemas.microsoft.com/office/drawing/2014/chart" uri="{C3380CC4-5D6E-409C-BE32-E72D297353CC}">
                <c16:uniqueId val="{00000005-D285-41B3-9464-614A9A106855}"/>
              </c:ext>
            </c:extLst>
          </c:dPt>
          <c:dPt>
            <c:idx val="3"/>
            <c:marker>
              <c:symbol val="none"/>
            </c:marker>
            <c:bubble3D val="0"/>
            <c:spPr>
              <a:ln w="15875" cap="rnd">
                <a:solidFill>
                  <a:schemeClr val="accent1">
                    <a:shade val="48000"/>
                  </a:schemeClr>
                </a:solidFill>
                <a:round/>
              </a:ln>
              <a:effectLst/>
            </c:spPr>
            <c:extLst>
              <c:ext xmlns:c16="http://schemas.microsoft.com/office/drawing/2014/chart" uri="{C3380CC4-5D6E-409C-BE32-E72D297353CC}">
                <c16:uniqueId val="{00000007-D285-41B3-9464-614A9A106855}"/>
              </c:ext>
            </c:extLst>
          </c:dPt>
          <c:dPt>
            <c:idx val="4"/>
            <c:marker>
              <c:symbol val="none"/>
            </c:marker>
            <c:bubble3D val="0"/>
            <c:spPr>
              <a:ln w="15875" cap="rnd">
                <a:solidFill>
                  <a:schemeClr val="accent1">
                    <a:shade val="52000"/>
                  </a:schemeClr>
                </a:solidFill>
                <a:round/>
              </a:ln>
              <a:effectLst/>
            </c:spPr>
            <c:extLst>
              <c:ext xmlns:c16="http://schemas.microsoft.com/office/drawing/2014/chart" uri="{C3380CC4-5D6E-409C-BE32-E72D297353CC}">
                <c16:uniqueId val="{00000009-D285-41B3-9464-614A9A106855}"/>
              </c:ext>
            </c:extLst>
          </c:dPt>
          <c:dPt>
            <c:idx val="5"/>
            <c:marker>
              <c:symbol val="none"/>
            </c:marker>
            <c:bubble3D val="0"/>
            <c:spPr>
              <a:ln w="15875" cap="rnd">
                <a:solidFill>
                  <a:schemeClr val="accent1">
                    <a:shade val="57000"/>
                  </a:schemeClr>
                </a:solidFill>
                <a:round/>
              </a:ln>
              <a:effectLst/>
            </c:spPr>
            <c:extLst>
              <c:ext xmlns:c16="http://schemas.microsoft.com/office/drawing/2014/chart" uri="{C3380CC4-5D6E-409C-BE32-E72D297353CC}">
                <c16:uniqueId val="{0000000B-D285-41B3-9464-614A9A106855}"/>
              </c:ext>
            </c:extLst>
          </c:dPt>
          <c:dPt>
            <c:idx val="6"/>
            <c:marker>
              <c:symbol val="none"/>
            </c:marker>
            <c:bubble3D val="0"/>
            <c:spPr>
              <a:ln w="15875" cap="rnd">
                <a:solidFill>
                  <a:schemeClr val="accent1">
                    <a:shade val="61000"/>
                  </a:schemeClr>
                </a:solidFill>
                <a:round/>
              </a:ln>
              <a:effectLst/>
            </c:spPr>
            <c:extLst>
              <c:ext xmlns:c16="http://schemas.microsoft.com/office/drawing/2014/chart" uri="{C3380CC4-5D6E-409C-BE32-E72D297353CC}">
                <c16:uniqueId val="{0000000D-D285-41B3-9464-614A9A106855}"/>
              </c:ext>
            </c:extLst>
          </c:dPt>
          <c:dPt>
            <c:idx val="7"/>
            <c:marker>
              <c:symbol val="none"/>
            </c:marker>
            <c:bubble3D val="0"/>
            <c:spPr>
              <a:ln w="15875" cap="rnd">
                <a:solidFill>
                  <a:schemeClr val="accent1">
                    <a:shade val="66000"/>
                  </a:schemeClr>
                </a:solidFill>
                <a:round/>
              </a:ln>
              <a:effectLst/>
            </c:spPr>
            <c:extLst>
              <c:ext xmlns:c16="http://schemas.microsoft.com/office/drawing/2014/chart" uri="{C3380CC4-5D6E-409C-BE32-E72D297353CC}">
                <c16:uniqueId val="{0000000F-D285-41B3-9464-614A9A106855}"/>
              </c:ext>
            </c:extLst>
          </c:dPt>
          <c:dPt>
            <c:idx val="8"/>
            <c:marker>
              <c:symbol val="none"/>
            </c:marker>
            <c:bubble3D val="0"/>
            <c:spPr>
              <a:ln w="15875" cap="rnd">
                <a:solidFill>
                  <a:schemeClr val="accent1">
                    <a:shade val="70000"/>
                  </a:schemeClr>
                </a:solidFill>
                <a:round/>
              </a:ln>
              <a:effectLst/>
            </c:spPr>
            <c:extLst>
              <c:ext xmlns:c16="http://schemas.microsoft.com/office/drawing/2014/chart" uri="{C3380CC4-5D6E-409C-BE32-E72D297353CC}">
                <c16:uniqueId val="{00000011-D285-41B3-9464-614A9A106855}"/>
              </c:ext>
            </c:extLst>
          </c:dPt>
          <c:dPt>
            <c:idx val="9"/>
            <c:marker>
              <c:symbol val="none"/>
            </c:marker>
            <c:bubble3D val="0"/>
            <c:spPr>
              <a:ln w="15875" cap="rnd">
                <a:solidFill>
                  <a:schemeClr val="accent1">
                    <a:shade val="75000"/>
                  </a:schemeClr>
                </a:solidFill>
                <a:round/>
              </a:ln>
              <a:effectLst/>
            </c:spPr>
            <c:extLst>
              <c:ext xmlns:c16="http://schemas.microsoft.com/office/drawing/2014/chart" uri="{C3380CC4-5D6E-409C-BE32-E72D297353CC}">
                <c16:uniqueId val="{00000013-D285-41B3-9464-614A9A106855}"/>
              </c:ext>
            </c:extLst>
          </c:dPt>
          <c:dPt>
            <c:idx val="10"/>
            <c:marker>
              <c:symbol val="none"/>
            </c:marker>
            <c:bubble3D val="0"/>
            <c:spPr>
              <a:ln w="15875" cap="rnd">
                <a:solidFill>
                  <a:schemeClr val="accent1">
                    <a:shade val="79000"/>
                  </a:schemeClr>
                </a:solidFill>
                <a:round/>
              </a:ln>
              <a:effectLst/>
            </c:spPr>
            <c:extLst>
              <c:ext xmlns:c16="http://schemas.microsoft.com/office/drawing/2014/chart" uri="{C3380CC4-5D6E-409C-BE32-E72D297353CC}">
                <c16:uniqueId val="{00000015-D285-41B3-9464-614A9A106855}"/>
              </c:ext>
            </c:extLst>
          </c:dPt>
          <c:dPt>
            <c:idx val="11"/>
            <c:marker>
              <c:symbol val="none"/>
            </c:marker>
            <c:bubble3D val="0"/>
            <c:spPr>
              <a:ln w="15875" cap="rnd">
                <a:solidFill>
                  <a:schemeClr val="accent1">
                    <a:shade val="84000"/>
                  </a:schemeClr>
                </a:solidFill>
                <a:round/>
              </a:ln>
              <a:effectLst/>
            </c:spPr>
            <c:extLst>
              <c:ext xmlns:c16="http://schemas.microsoft.com/office/drawing/2014/chart" uri="{C3380CC4-5D6E-409C-BE32-E72D297353CC}">
                <c16:uniqueId val="{00000017-D285-41B3-9464-614A9A106855}"/>
              </c:ext>
            </c:extLst>
          </c:dPt>
          <c:dPt>
            <c:idx val="12"/>
            <c:marker>
              <c:symbol val="none"/>
            </c:marker>
            <c:bubble3D val="0"/>
            <c:spPr>
              <a:ln w="15875" cap="rnd">
                <a:solidFill>
                  <a:schemeClr val="accent1">
                    <a:shade val="88000"/>
                  </a:schemeClr>
                </a:solidFill>
                <a:round/>
              </a:ln>
              <a:effectLst/>
            </c:spPr>
            <c:extLst>
              <c:ext xmlns:c16="http://schemas.microsoft.com/office/drawing/2014/chart" uri="{C3380CC4-5D6E-409C-BE32-E72D297353CC}">
                <c16:uniqueId val="{00000019-D285-41B3-9464-614A9A106855}"/>
              </c:ext>
            </c:extLst>
          </c:dPt>
          <c:dPt>
            <c:idx val="13"/>
            <c:marker>
              <c:symbol val="none"/>
            </c:marker>
            <c:bubble3D val="0"/>
            <c:spPr>
              <a:ln w="15875" cap="rnd">
                <a:solidFill>
                  <a:schemeClr val="accent1">
                    <a:shade val="93000"/>
                  </a:schemeClr>
                </a:solidFill>
                <a:round/>
              </a:ln>
              <a:effectLst/>
            </c:spPr>
            <c:extLst>
              <c:ext xmlns:c16="http://schemas.microsoft.com/office/drawing/2014/chart" uri="{C3380CC4-5D6E-409C-BE32-E72D297353CC}">
                <c16:uniqueId val="{0000001B-D285-41B3-9464-614A9A106855}"/>
              </c:ext>
            </c:extLst>
          </c:dPt>
          <c:dPt>
            <c:idx val="14"/>
            <c:marker>
              <c:symbol val="none"/>
            </c:marker>
            <c:bubble3D val="0"/>
            <c:spPr>
              <a:ln w="15875" cap="rnd">
                <a:solidFill>
                  <a:schemeClr val="accent1">
                    <a:shade val="97000"/>
                  </a:schemeClr>
                </a:solidFill>
                <a:round/>
              </a:ln>
              <a:effectLst/>
            </c:spPr>
            <c:extLst>
              <c:ext xmlns:c16="http://schemas.microsoft.com/office/drawing/2014/chart" uri="{C3380CC4-5D6E-409C-BE32-E72D297353CC}">
                <c16:uniqueId val="{0000001D-D285-41B3-9464-614A9A106855}"/>
              </c:ext>
            </c:extLst>
          </c:dPt>
          <c:dPt>
            <c:idx val="15"/>
            <c:marker>
              <c:symbol val="none"/>
            </c:marker>
            <c:bubble3D val="0"/>
            <c:spPr>
              <a:ln w="15875" cap="rnd">
                <a:solidFill>
                  <a:schemeClr val="accent1">
                    <a:tint val="98000"/>
                  </a:schemeClr>
                </a:solidFill>
                <a:round/>
              </a:ln>
              <a:effectLst/>
            </c:spPr>
            <c:extLst>
              <c:ext xmlns:c16="http://schemas.microsoft.com/office/drawing/2014/chart" uri="{C3380CC4-5D6E-409C-BE32-E72D297353CC}">
                <c16:uniqueId val="{0000001F-D285-41B3-9464-614A9A106855}"/>
              </c:ext>
            </c:extLst>
          </c:dPt>
          <c:dPt>
            <c:idx val="16"/>
            <c:marker>
              <c:symbol val="none"/>
            </c:marker>
            <c:bubble3D val="0"/>
            <c:spPr>
              <a:ln w="15875" cap="rnd">
                <a:solidFill>
                  <a:schemeClr val="accent1">
                    <a:tint val="94000"/>
                  </a:schemeClr>
                </a:solidFill>
                <a:round/>
              </a:ln>
              <a:effectLst/>
            </c:spPr>
            <c:extLst>
              <c:ext xmlns:c16="http://schemas.microsoft.com/office/drawing/2014/chart" uri="{C3380CC4-5D6E-409C-BE32-E72D297353CC}">
                <c16:uniqueId val="{00000021-D285-41B3-9464-614A9A106855}"/>
              </c:ext>
            </c:extLst>
          </c:dPt>
          <c:dPt>
            <c:idx val="17"/>
            <c:marker>
              <c:symbol val="none"/>
            </c:marker>
            <c:bubble3D val="0"/>
            <c:spPr>
              <a:ln w="15875" cap="rnd">
                <a:solidFill>
                  <a:schemeClr val="accent1">
                    <a:tint val="89000"/>
                  </a:schemeClr>
                </a:solidFill>
                <a:round/>
              </a:ln>
              <a:effectLst/>
            </c:spPr>
            <c:extLst>
              <c:ext xmlns:c16="http://schemas.microsoft.com/office/drawing/2014/chart" uri="{C3380CC4-5D6E-409C-BE32-E72D297353CC}">
                <c16:uniqueId val="{00000023-D285-41B3-9464-614A9A106855}"/>
              </c:ext>
            </c:extLst>
          </c:dPt>
          <c:dPt>
            <c:idx val="18"/>
            <c:marker>
              <c:symbol val="none"/>
            </c:marker>
            <c:bubble3D val="0"/>
            <c:spPr>
              <a:ln w="15875" cap="rnd">
                <a:solidFill>
                  <a:schemeClr val="accent1">
                    <a:tint val="85000"/>
                  </a:schemeClr>
                </a:solidFill>
                <a:round/>
              </a:ln>
              <a:effectLst/>
            </c:spPr>
            <c:extLst>
              <c:ext xmlns:c16="http://schemas.microsoft.com/office/drawing/2014/chart" uri="{C3380CC4-5D6E-409C-BE32-E72D297353CC}">
                <c16:uniqueId val="{00000025-D285-41B3-9464-614A9A106855}"/>
              </c:ext>
            </c:extLst>
          </c:dPt>
          <c:dPt>
            <c:idx val="19"/>
            <c:marker>
              <c:symbol val="none"/>
            </c:marker>
            <c:bubble3D val="0"/>
            <c:spPr>
              <a:ln w="15875" cap="rnd">
                <a:solidFill>
                  <a:schemeClr val="accent1">
                    <a:tint val="80000"/>
                  </a:schemeClr>
                </a:solidFill>
                <a:round/>
              </a:ln>
              <a:effectLst/>
            </c:spPr>
            <c:extLst>
              <c:ext xmlns:c16="http://schemas.microsoft.com/office/drawing/2014/chart" uri="{C3380CC4-5D6E-409C-BE32-E72D297353CC}">
                <c16:uniqueId val="{00000027-D285-41B3-9464-614A9A106855}"/>
              </c:ext>
            </c:extLst>
          </c:dPt>
          <c:dPt>
            <c:idx val="20"/>
            <c:marker>
              <c:symbol val="none"/>
            </c:marker>
            <c:bubble3D val="0"/>
            <c:spPr>
              <a:ln w="15875" cap="rnd">
                <a:solidFill>
                  <a:schemeClr val="accent1">
                    <a:tint val="76000"/>
                  </a:schemeClr>
                </a:solidFill>
                <a:round/>
              </a:ln>
              <a:effectLst/>
            </c:spPr>
            <c:extLst>
              <c:ext xmlns:c16="http://schemas.microsoft.com/office/drawing/2014/chart" uri="{C3380CC4-5D6E-409C-BE32-E72D297353CC}">
                <c16:uniqueId val="{00000029-D285-41B3-9464-614A9A106855}"/>
              </c:ext>
            </c:extLst>
          </c:dPt>
          <c:dPt>
            <c:idx val="21"/>
            <c:marker>
              <c:symbol val="none"/>
            </c:marker>
            <c:bubble3D val="0"/>
            <c:spPr>
              <a:ln w="15875" cap="rnd">
                <a:solidFill>
                  <a:schemeClr val="accent1">
                    <a:tint val="71000"/>
                  </a:schemeClr>
                </a:solidFill>
                <a:round/>
              </a:ln>
              <a:effectLst/>
            </c:spPr>
            <c:extLst>
              <c:ext xmlns:c16="http://schemas.microsoft.com/office/drawing/2014/chart" uri="{C3380CC4-5D6E-409C-BE32-E72D297353CC}">
                <c16:uniqueId val="{0000002B-D285-41B3-9464-614A9A106855}"/>
              </c:ext>
            </c:extLst>
          </c:dPt>
          <c:dPt>
            <c:idx val="22"/>
            <c:marker>
              <c:symbol val="none"/>
            </c:marker>
            <c:bubble3D val="0"/>
            <c:spPr>
              <a:ln w="15875" cap="rnd">
                <a:solidFill>
                  <a:schemeClr val="accent1">
                    <a:tint val="67000"/>
                  </a:schemeClr>
                </a:solidFill>
                <a:round/>
              </a:ln>
              <a:effectLst/>
            </c:spPr>
            <c:extLst>
              <c:ext xmlns:c16="http://schemas.microsoft.com/office/drawing/2014/chart" uri="{C3380CC4-5D6E-409C-BE32-E72D297353CC}">
                <c16:uniqueId val="{0000002D-D285-41B3-9464-614A9A106855}"/>
              </c:ext>
            </c:extLst>
          </c:dPt>
          <c:dPt>
            <c:idx val="23"/>
            <c:marker>
              <c:symbol val="none"/>
            </c:marker>
            <c:bubble3D val="0"/>
            <c:spPr>
              <a:ln w="15875" cap="rnd">
                <a:solidFill>
                  <a:schemeClr val="accent1">
                    <a:tint val="62000"/>
                  </a:schemeClr>
                </a:solidFill>
                <a:round/>
              </a:ln>
              <a:effectLst/>
            </c:spPr>
            <c:extLst>
              <c:ext xmlns:c16="http://schemas.microsoft.com/office/drawing/2014/chart" uri="{C3380CC4-5D6E-409C-BE32-E72D297353CC}">
                <c16:uniqueId val="{0000002F-D285-41B3-9464-614A9A106855}"/>
              </c:ext>
            </c:extLst>
          </c:dPt>
          <c:dPt>
            <c:idx val="24"/>
            <c:marker>
              <c:symbol val="none"/>
            </c:marker>
            <c:bubble3D val="0"/>
            <c:spPr>
              <a:ln w="15875" cap="rnd">
                <a:solidFill>
                  <a:schemeClr val="accent1">
                    <a:tint val="58000"/>
                  </a:schemeClr>
                </a:solidFill>
                <a:round/>
              </a:ln>
              <a:effectLst/>
            </c:spPr>
            <c:extLst>
              <c:ext xmlns:c16="http://schemas.microsoft.com/office/drawing/2014/chart" uri="{C3380CC4-5D6E-409C-BE32-E72D297353CC}">
                <c16:uniqueId val="{00000031-D285-41B3-9464-614A9A106855}"/>
              </c:ext>
            </c:extLst>
          </c:dPt>
          <c:dPt>
            <c:idx val="25"/>
            <c:marker>
              <c:symbol val="none"/>
            </c:marker>
            <c:bubble3D val="0"/>
            <c:spPr>
              <a:ln w="15875" cap="rnd">
                <a:solidFill>
                  <a:schemeClr val="accent1">
                    <a:tint val="53000"/>
                  </a:schemeClr>
                </a:solidFill>
                <a:round/>
              </a:ln>
              <a:effectLst/>
            </c:spPr>
            <c:extLst>
              <c:ext xmlns:c16="http://schemas.microsoft.com/office/drawing/2014/chart" uri="{C3380CC4-5D6E-409C-BE32-E72D297353CC}">
                <c16:uniqueId val="{00000033-D285-41B3-9464-614A9A106855}"/>
              </c:ext>
            </c:extLst>
          </c:dPt>
          <c:dPt>
            <c:idx val="26"/>
            <c:marker>
              <c:symbol val="none"/>
            </c:marker>
            <c:bubble3D val="0"/>
            <c:spPr>
              <a:ln w="15875" cap="rnd">
                <a:solidFill>
                  <a:schemeClr val="accent1">
                    <a:tint val="49000"/>
                  </a:schemeClr>
                </a:solidFill>
                <a:round/>
              </a:ln>
              <a:effectLst/>
            </c:spPr>
            <c:extLst>
              <c:ext xmlns:c16="http://schemas.microsoft.com/office/drawing/2014/chart" uri="{C3380CC4-5D6E-409C-BE32-E72D297353CC}">
                <c16:uniqueId val="{00000035-D285-41B3-9464-614A9A106855}"/>
              </c:ext>
            </c:extLst>
          </c:dPt>
          <c:dPt>
            <c:idx val="27"/>
            <c:marker>
              <c:symbol val="none"/>
            </c:marker>
            <c:bubble3D val="0"/>
            <c:spPr>
              <a:ln w="15875" cap="rnd">
                <a:solidFill>
                  <a:schemeClr val="accent1">
                    <a:tint val="44000"/>
                  </a:schemeClr>
                </a:solidFill>
                <a:round/>
              </a:ln>
              <a:effectLst/>
            </c:spPr>
            <c:extLst>
              <c:ext xmlns:c16="http://schemas.microsoft.com/office/drawing/2014/chart" uri="{C3380CC4-5D6E-409C-BE32-E72D297353CC}">
                <c16:uniqueId val="{00000037-D285-41B3-9464-614A9A106855}"/>
              </c:ext>
            </c:extLst>
          </c:dPt>
          <c:dPt>
            <c:idx val="28"/>
            <c:marker>
              <c:symbol val="none"/>
            </c:marker>
            <c:bubble3D val="0"/>
            <c:spPr>
              <a:ln w="15875" cap="rnd">
                <a:solidFill>
                  <a:schemeClr val="accent1">
                    <a:tint val="44000"/>
                  </a:schemeClr>
                </a:solidFill>
                <a:round/>
              </a:ln>
              <a:effectLst/>
            </c:spPr>
            <c:extLst>
              <c:ext xmlns:c16="http://schemas.microsoft.com/office/drawing/2014/chart" uri="{C3380CC4-5D6E-409C-BE32-E72D297353CC}">
                <c16:uniqueId val="{00000039-D285-41B3-9464-614A9A106855}"/>
              </c:ext>
            </c:extLst>
          </c:dPt>
          <c:dPt>
            <c:idx val="29"/>
            <c:marker>
              <c:symbol val="none"/>
            </c:marker>
            <c:bubble3D val="0"/>
            <c:spPr>
              <a:ln w="15875" cap="rnd">
                <a:solidFill>
                  <a:schemeClr val="accent1">
                    <a:tint val="35000"/>
                  </a:schemeClr>
                </a:solidFill>
                <a:round/>
              </a:ln>
              <a:effectLst/>
            </c:spPr>
            <c:extLst>
              <c:ext xmlns:c16="http://schemas.microsoft.com/office/drawing/2014/chart" uri="{C3380CC4-5D6E-409C-BE32-E72D297353CC}">
                <c16:uniqueId val="{0000003B-D285-41B3-9464-614A9A106855}"/>
              </c:ext>
            </c:extLst>
          </c:dPt>
          <c:dPt>
            <c:idx val="30"/>
            <c:marker>
              <c:symbol val="none"/>
            </c:marker>
            <c:bubble3D val="0"/>
            <c:spPr>
              <a:ln w="15875" cap="rnd">
                <a:solidFill>
                  <a:schemeClr val="accent1">
                    <a:tint val="35000"/>
                  </a:schemeClr>
                </a:solidFill>
                <a:round/>
              </a:ln>
              <a:effectLst/>
            </c:spPr>
            <c:extLst>
              <c:ext xmlns:c16="http://schemas.microsoft.com/office/drawing/2014/chart" uri="{C3380CC4-5D6E-409C-BE32-E72D297353CC}">
                <c16:uniqueId val="{0000003D-812A-4A80-8406-CFB2CCFD439A}"/>
              </c:ext>
            </c:extLst>
          </c:dPt>
          <c:val>
            <c:numRef>
              <c:f>'BASE DA MATRIZ DE RISCOS'!$I$78:$I$93</c:f>
              <c:numCache>
                <c:formatCode>General</c:formatCode>
                <c:ptCount val="16"/>
                <c:pt idx="0">
                  <c:v>30</c:v>
                </c:pt>
                <c:pt idx="1">
                  <c:v>30</c:v>
                </c:pt>
                <c:pt idx="2">
                  <c:v>8</c:v>
                </c:pt>
                <c:pt idx="3">
                  <c:v>15</c:v>
                </c:pt>
                <c:pt idx="4">
                  <c:v>5</c:v>
                </c:pt>
                <c:pt idx="5">
                  <c:v>4</c:v>
                </c:pt>
                <c:pt idx="6">
                  <c:v>60</c:v>
                </c:pt>
                <c:pt idx="7">
                  <c:v>40</c:v>
                </c:pt>
                <c:pt idx="8">
                  <c:v>80</c:v>
                </c:pt>
                <c:pt idx="9">
                  <c:v>48</c:v>
                </c:pt>
                <c:pt idx="10">
                  <c:v>100</c:v>
                </c:pt>
                <c:pt idx="11">
                  <c:v>4</c:v>
                </c:pt>
                <c:pt idx="12">
                  <c:v>9</c:v>
                </c:pt>
                <c:pt idx="13">
                  <c:v>25</c:v>
                </c:pt>
                <c:pt idx="14">
                  <c:v>18</c:v>
                </c:pt>
                <c:pt idx="15">
                  <c:v>24</c:v>
                </c:pt>
              </c:numCache>
            </c:numRef>
          </c:val>
          <c:extLst>
            <c:ext xmlns:c16="http://schemas.microsoft.com/office/drawing/2014/chart" uri="{C3380CC4-5D6E-409C-BE32-E72D297353CC}">
              <c16:uniqueId val="{00000000-2CB7-4844-AABB-AF0B3D007E36}"/>
            </c:ext>
          </c:extLst>
        </c:ser>
        <c:dLbls>
          <c:showLegendKey val="0"/>
          <c:showVal val="0"/>
          <c:showCatName val="0"/>
          <c:showSerName val="0"/>
          <c:showPercent val="0"/>
          <c:showBubbleSize val="0"/>
        </c:dLbls>
        <c:axId val="203026759"/>
        <c:axId val="1416952617"/>
      </c:radarChart>
      <c:catAx>
        <c:axId val="203026759"/>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pt-B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pt-BR"/>
          </a:p>
        </c:txPr>
        <c:crossAx val="1416952617"/>
        <c:crosses val="autoZero"/>
        <c:auto val="1"/>
        <c:lblAlgn val="ctr"/>
        <c:lblOffset val="100"/>
        <c:noMultiLvlLbl val="1"/>
      </c:catAx>
      <c:valAx>
        <c:axId val="141695261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pt-B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pt-BR"/>
          </a:p>
        </c:txPr>
        <c:crossAx val="203026759"/>
        <c:crosses val="autoZero"/>
        <c:crossBetween val="between"/>
      </c:valAx>
      <c:spPr>
        <a:noFill/>
        <a:ln>
          <a:noFill/>
        </a:ln>
        <a:effectLst/>
      </c:spPr>
    </c:plotArea>
    <c:plotVisOnly val="1"/>
    <c:dispBlanksAs val="zero"/>
    <c:showDLblsOverMax val="1"/>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Grafico por Tipo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doughnutChart>
        <c:varyColors val="1"/>
        <c:ser>
          <c:idx val="0"/>
          <c:order val="0"/>
          <c:tx>
            <c:v>% Grafico</c:v>
          </c:tx>
          <c:dPt>
            <c:idx val="0"/>
            <c:bubble3D val="0"/>
            <c:spPr>
              <a:solidFill>
                <a:srgbClr val="92D050"/>
              </a:solidFill>
              <a:ln w="19050">
                <a:solidFill>
                  <a:schemeClr val="lt1"/>
                </a:solidFill>
              </a:ln>
              <a:effectLst/>
            </c:spPr>
            <c:extLst>
              <c:ext xmlns:c16="http://schemas.microsoft.com/office/drawing/2014/chart" uri="{C3380CC4-5D6E-409C-BE32-E72D297353CC}">
                <c16:uniqueId val="{00000001-5A4B-4644-945F-E1C9203398D0}"/>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5A4B-4644-945F-E1C9203398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4B-4644-945F-E1C9203398D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A4B-4644-945F-E1C9203398D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A4B-4644-945F-E1C9203398D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A4B-4644-945F-E1C9203398D0}"/>
              </c:ext>
            </c:extLst>
          </c:dPt>
          <c:dLbls>
            <c:dLbl>
              <c:idx val="0"/>
              <c:layout>
                <c:manualLayout>
                  <c:x val="8.2342525230393523E-2"/>
                  <c:y val="-4.53364850718318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A4B-4644-945F-E1C9203398D0}"/>
                </c:ext>
              </c:extLst>
            </c:dLbl>
            <c:dLbl>
              <c:idx val="1"/>
              <c:layout>
                <c:manualLayout>
                  <c:x val="8.802132007386905E-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A4B-4644-945F-E1C9203398D0}"/>
                </c:ext>
              </c:extLst>
            </c:dLbl>
            <c:dLbl>
              <c:idx val="2"/>
              <c:layout>
                <c:manualLayout>
                  <c:x val="-0.11641529429124615"/>
                  <c:y val="2.266824253591592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A4B-4644-945F-E1C9203398D0}"/>
                </c:ext>
              </c:extLst>
            </c:dLbl>
            <c:dLbl>
              <c:idx val="3"/>
              <c:layout>
                <c:manualLayout>
                  <c:x val="-1.9875781952163926E-2"/>
                  <c:y val="-7.93388488757057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A4B-4644-945F-E1C9203398D0}"/>
                </c:ext>
              </c:extLst>
            </c:dLbl>
            <c:dLbl>
              <c:idx val="4"/>
              <c:delete val="1"/>
              <c:extLst>
                <c:ext xmlns:c15="http://schemas.microsoft.com/office/drawing/2012/chart" uri="{CE6537A1-D6FC-4f65-9D91-7224C49458BB}"/>
                <c:ext xmlns:c16="http://schemas.microsoft.com/office/drawing/2014/chart" uri="{C3380CC4-5D6E-409C-BE32-E72D297353CC}">
                  <c16:uniqueId val="{00000009-5A4B-4644-945F-E1C9203398D0}"/>
                </c:ext>
              </c:extLst>
            </c:dLbl>
            <c:dLbl>
              <c:idx val="5"/>
              <c:delete val="1"/>
              <c:extLst>
                <c:ext xmlns:c15="http://schemas.microsoft.com/office/drawing/2012/chart" uri="{CE6537A1-D6FC-4f65-9D91-7224C49458BB}"/>
                <c:ext xmlns:c16="http://schemas.microsoft.com/office/drawing/2014/chart" uri="{C3380CC4-5D6E-409C-BE32-E72D297353CC}">
                  <c16:uniqueId val="{0000000B-5A4B-4644-945F-E1C9203398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1"/>
            <c:showSerName val="0"/>
            <c:showPercent val="1"/>
            <c:showBubbleSize val="0"/>
            <c:showLeaderLines val="0"/>
            <c:extLst>
              <c:ext xmlns:c15="http://schemas.microsoft.com/office/drawing/2012/chart" uri="{CE6537A1-D6FC-4f65-9D91-7224C49458BB}"/>
            </c:extLst>
          </c:dLbls>
          <c:cat>
            <c:strRef>
              <c:f>'BASE DA MATRIZ DE RISCOS'!$G$30:$G$35</c:f>
              <c:strCache>
                <c:ptCount val="6"/>
                <c:pt idx="0">
                  <c:v>Estratégico</c:v>
                </c:pt>
                <c:pt idx="1">
                  <c:v>Financeiro</c:v>
                </c:pt>
                <c:pt idx="2">
                  <c:v>Operacional</c:v>
                </c:pt>
                <c:pt idx="3">
                  <c:v>Legal</c:v>
                </c:pt>
                <c:pt idx="4">
                  <c:v>Tecnologia</c:v>
                </c:pt>
                <c:pt idx="5">
                  <c:v>Imagem</c:v>
                </c:pt>
              </c:strCache>
            </c:strRef>
          </c:cat>
          <c:val>
            <c:numRef>
              <c:f>'BASE DA MATRIZ DE RISCOS'!$H$30:$H$35</c:f>
              <c:numCache>
                <c:formatCode>0%</c:formatCode>
                <c:ptCount val="6"/>
                <c:pt idx="0">
                  <c:v>6.25E-2</c:v>
                </c:pt>
                <c:pt idx="1">
                  <c:v>0.375</c:v>
                </c:pt>
                <c:pt idx="2">
                  <c:v>0.25</c:v>
                </c:pt>
                <c:pt idx="3">
                  <c:v>0.3125</c:v>
                </c:pt>
                <c:pt idx="4">
                  <c:v>0</c:v>
                </c:pt>
                <c:pt idx="5">
                  <c:v>0</c:v>
                </c:pt>
              </c:numCache>
            </c:numRef>
          </c:val>
          <c:extLst>
            <c:ext xmlns:c16="http://schemas.microsoft.com/office/drawing/2014/chart" uri="{C3380CC4-5D6E-409C-BE32-E72D297353CC}">
              <c16:uniqueId val="{0000000C-5A4B-4644-945F-E1C9203398D0}"/>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pt-BR"/>
              <a:t>QUANTIDADE DE PONTOS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pt-BR"/>
        </a:p>
      </c:txPr>
    </c:title>
    <c:autoTitleDeleted val="0"/>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ED87-4E53-BFA2-D60DB9666E90}"/>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ED87-4E53-BFA2-D60DB9666E90}"/>
              </c:ext>
            </c:extLst>
          </c:dPt>
          <c:dPt>
            <c:idx val="2"/>
            <c:bubble3D val="0"/>
            <c:spPr>
              <a:solidFill>
                <a:srgbClr val="39799D"/>
              </a:solidFill>
              <a:ln>
                <a:solidFill>
                  <a:srgbClr val="27536B"/>
                </a:solidFill>
              </a:ln>
              <a:effectLst>
                <a:outerShdw blurRad="88900" sx="102000" sy="102000" algn="ctr" rotWithShape="0">
                  <a:prstClr val="black">
                    <a:alpha val="20000"/>
                  </a:prstClr>
                </a:outerShdw>
              </a:effectLst>
              <a:scene3d>
                <a:camera prst="orthographicFront"/>
                <a:lightRig rig="threePt" dir="t"/>
              </a:scene3d>
              <a:sp3d prstMaterial="matte">
                <a:contourClr>
                  <a:srgbClr val="27536B"/>
                </a:contourClr>
              </a:sp3d>
            </c:spPr>
            <c:extLst>
              <c:ext xmlns:c16="http://schemas.microsoft.com/office/drawing/2014/chart" uri="{C3380CC4-5D6E-409C-BE32-E72D297353CC}">
                <c16:uniqueId val="{00000005-ED87-4E53-BFA2-D60DB9666E90}"/>
              </c:ext>
            </c:extLst>
          </c:dPt>
          <c:dLbls>
            <c:dLbl>
              <c:idx val="1"/>
              <c:layout>
                <c:manualLayout>
                  <c:x val="-2.7244317147885656E-2"/>
                  <c:y val="-1.1748869528781186E-2"/>
                </c:manualLayout>
              </c:layout>
              <c:tx>
                <c:rich>
                  <a:bodyPr/>
                  <a:lstStyle/>
                  <a:p>
                    <a:fld id="{5A5833A6-E437-435E-BF0F-707B13B756E5}" type="CATEGORYNAME">
                      <a:rPr lang="en-US">
                        <a:solidFill>
                          <a:schemeClr val="bg2">
                            <a:lumMod val="50000"/>
                          </a:schemeClr>
                        </a:solidFill>
                      </a:rPr>
                      <a:pPr/>
                      <a:t>[NOME DA CATEGORIA]</a:t>
                    </a:fld>
                    <a:r>
                      <a:rPr lang="en-US" baseline="0">
                        <a:solidFill>
                          <a:schemeClr val="bg2">
                            <a:lumMod val="50000"/>
                          </a:schemeClr>
                        </a:solidFill>
                      </a:rPr>
                      <a:t>; </a:t>
                    </a:r>
                    <a:fld id="{CE43E071-605C-40B6-BAFA-8A760A0B6344}" type="VALUE">
                      <a:rPr lang="en-US" baseline="0">
                        <a:solidFill>
                          <a:schemeClr val="bg2">
                            <a:lumMod val="50000"/>
                          </a:schemeClr>
                        </a:solidFill>
                      </a:rPr>
                      <a:pPr/>
                      <a:t>[VALOR]</a:t>
                    </a:fld>
                    <a:r>
                      <a:rPr lang="en-US" baseline="0">
                        <a:solidFill>
                          <a:schemeClr val="bg2">
                            <a:lumMod val="50000"/>
                          </a:schemeClr>
                        </a:solidFill>
                      </a:rPr>
                      <a:t>; </a:t>
                    </a:r>
                    <a:fld id="{A4DCC5B4-F0F7-4E2C-857F-0196B2F1956F}" type="PERCENTAGE">
                      <a:rPr lang="en-US" baseline="0">
                        <a:solidFill>
                          <a:schemeClr val="bg2">
                            <a:lumMod val="50000"/>
                          </a:schemeClr>
                        </a:solidFill>
                      </a:rPr>
                      <a:pPr/>
                      <a:t>[PORCENTAGEM]</a:t>
                    </a:fld>
                    <a:endParaRPr lang="en-US" baseline="0">
                      <a:solidFill>
                        <a:schemeClr val="bg2">
                          <a:lumMod val="50000"/>
                        </a:schemeClr>
                      </a:solidFill>
                    </a:endParaRP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D87-4E53-BFA2-D60DB9666E90}"/>
                </c:ext>
              </c:extLst>
            </c:dLbl>
            <c:dLbl>
              <c:idx val="2"/>
              <c:layout>
                <c:manualLayout>
                  <c:x val="0.18028905413636373"/>
                  <c:y val="9.9540478726190235E-2"/>
                </c:manualLayout>
              </c:layout>
              <c:tx>
                <c:rich>
                  <a:bodyPr/>
                  <a:lstStyle/>
                  <a:p>
                    <a:fld id="{6F30808B-CFC5-468A-A515-2213FB12BD2D}" type="CATEGORYNAME">
                      <a:rPr lang="en-US"/>
                      <a:pPr/>
                      <a:t>[NOME DA CATEGORIA]</a:t>
                    </a:fld>
                    <a:r>
                      <a:rPr lang="en-US"/>
                      <a:t>; </a:t>
                    </a:r>
                    <a:fld id="{79D9C166-BE0F-4445-8769-F59A0635438E}" type="VALUE">
                      <a:rPr lang="en-US"/>
                      <a:pPr/>
                      <a:t>[VALOR]</a:t>
                    </a:fld>
                    <a:r>
                      <a:rPr lang="en-US"/>
                      <a:t>; </a:t>
                    </a:r>
                    <a:fld id="{C4073A67-C947-4DAF-B34E-2898FA41BD08}" type="PERCENTAGE">
                      <a:rPr lang="en-US"/>
                      <a:pPr/>
                      <a:t>[PORCENTAGEM]</a:t>
                    </a:fld>
                    <a:endParaRPr lang="en-US"/>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D87-4E53-BFA2-D60DB9666E9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pt-BR"/>
              </a:p>
            </c:txPr>
            <c:dLblPos val="inEnd"/>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GRÁFICOS!$H$69:$H$71</c:f>
              <c:strCache>
                <c:ptCount val="3"/>
                <c:pt idx="0">
                  <c:v>BAIXO IMPACTO</c:v>
                </c:pt>
                <c:pt idx="1">
                  <c:v>MÉDIO IMPACTO</c:v>
                </c:pt>
                <c:pt idx="2">
                  <c:v>ALTO IMPACTO</c:v>
                </c:pt>
              </c:strCache>
            </c:strRef>
          </c:cat>
          <c:val>
            <c:numRef>
              <c:f>GRÁFICOS!$I$69:$I$71</c:f>
              <c:numCache>
                <c:formatCode>General</c:formatCode>
                <c:ptCount val="3"/>
                <c:pt idx="0">
                  <c:v>13</c:v>
                </c:pt>
                <c:pt idx="1">
                  <c:v>1</c:v>
                </c:pt>
                <c:pt idx="2">
                  <c:v>2</c:v>
                </c:pt>
              </c:numCache>
            </c:numRef>
          </c:val>
          <c:extLst>
            <c:ext xmlns:c16="http://schemas.microsoft.com/office/drawing/2014/chart" uri="{C3380CC4-5D6E-409C-BE32-E72D297353CC}">
              <c16:uniqueId val="{00000006-ED87-4E53-BFA2-D60DB9666E90}"/>
            </c:ext>
          </c:extLst>
        </c:ser>
        <c:dLbls>
          <c:dLblPos val="inEnd"/>
          <c:showLegendKey val="0"/>
          <c:showVal val="1"/>
          <c:showCatName val="0"/>
          <c:showSerName val="0"/>
          <c:showPercent val="0"/>
          <c:showBubbleSize val="0"/>
          <c:showLeaderLines val="1"/>
        </c:dLbls>
      </c:pie3D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Matriz de Exposição ao Risco</a:t>
            </a:r>
          </a:p>
          <a:p>
            <a:pPr>
              <a:defRPr/>
            </a:pPr>
            <a:endParaRPr lang="pt-BR"/>
          </a:p>
        </c:rich>
      </c:tx>
      <c:layout>
        <c:manualLayout>
          <c:xMode val="edge"/>
          <c:yMode val="edge"/>
          <c:x val="0.37390892176213819"/>
          <c:y val="2.54668930390492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manualLayout>
          <c:layoutTarget val="inner"/>
          <c:xMode val="edge"/>
          <c:yMode val="edge"/>
          <c:x val="2.561538393559391E-2"/>
          <c:y val="0.17051321768432123"/>
          <c:w val="0.9604137967602534"/>
          <c:h val="0.77029440522124526"/>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3"/>
              <c:layout>
                <c:manualLayout>
                  <c:x val="-8.9786756453423121E-4"/>
                  <c:y val="-8.3769642716977118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E44-4C25-9B7E-36ACCB00C335}"/>
                </c:ext>
              </c:extLst>
            </c:dLbl>
            <c:dLbl>
              <c:idx val="6"/>
              <c:layout>
                <c:manualLayout>
                  <c:x val="-4.0404040404040435E-2"/>
                  <c:y val="-8.3769642716978142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E44-4C25-9B7E-36ACCB00C335}"/>
                </c:ext>
              </c:extLst>
            </c:dLbl>
            <c:dLbl>
              <c:idx val="10"/>
              <c:layout>
                <c:manualLayout>
                  <c:x val="-1.3468013468013533E-2"/>
                  <c:y val="-2.792321423899237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E44-4C25-9B7E-36ACCB00C335}"/>
                </c:ext>
              </c:extLst>
            </c:dLbl>
            <c:dLbl>
              <c:idx val="11"/>
              <c:layout>
                <c:manualLayout>
                  <c:x val="0"/>
                  <c:y val="-1.116928569559705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E44-4C25-9B7E-36ACCB00C335}"/>
                </c:ext>
              </c:extLst>
            </c:dLbl>
            <c:dLbl>
              <c:idx val="17"/>
              <c:layout>
                <c:manualLayout>
                  <c:x val="-4.3097643097643031E-2"/>
                  <c:y val="-5.5846428477985769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E44-4C25-9B7E-36ACCB00C335}"/>
                </c:ext>
              </c:extLst>
            </c:dLbl>
            <c:dLbl>
              <c:idx val="18"/>
              <c:layout>
                <c:manualLayout>
                  <c:x val="0"/>
                  <c:y val="-1.116928569559694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E44-4C25-9B7E-36ACCB00C335}"/>
                </c:ext>
              </c:extLst>
            </c:dLbl>
            <c:dLbl>
              <c:idx val="22"/>
              <c:layout>
                <c:manualLayout>
                  <c:x val="-8.0808080808080808E-3"/>
                  <c:y val="-2.792321423899237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44-4C25-9B7E-36ACCB00C335}"/>
                </c:ext>
              </c:extLst>
            </c:dLbl>
            <c:dLbl>
              <c:idx val="23"/>
              <c:layout>
                <c:manualLayout>
                  <c:x val="0"/>
                  <c:y val="-3.071553566289150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E44-4C25-9B7E-36ACCB00C335}"/>
                </c:ext>
              </c:extLst>
            </c:dLbl>
            <c:dLbl>
              <c:idx val="24"/>
              <c:layout>
                <c:manualLayout>
                  <c:x val="-3.5914702581369248E-3"/>
                  <c:y val="-8.3769642716977118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E44-4C25-9B7E-36ACCB00C335}"/>
                </c:ext>
              </c:extLst>
            </c:dLbl>
            <c:dLbl>
              <c:idx val="27"/>
              <c:layout>
                <c:manualLayout>
                  <c:x val="-8.0808080808080808E-3"/>
                  <c:y val="-3.630017851068997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E44-4C25-9B7E-36ACCB00C3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'BASE DA MATRIZ DE RISCOS'!$N$78:$N$109</c:f>
              <c:strCache>
                <c:ptCount val="16"/>
                <c:pt idx="0">
                  <c:v>[P1]</c:v>
                </c:pt>
                <c:pt idx="1">
                  <c:v>[P2]</c:v>
                </c:pt>
                <c:pt idx="2">
                  <c:v>[P3]</c:v>
                </c:pt>
                <c:pt idx="3">
                  <c:v>[P4]</c:v>
                </c:pt>
                <c:pt idx="4">
                  <c:v>[P5]</c:v>
                </c:pt>
                <c:pt idx="5">
                  <c:v>[P6]</c:v>
                </c:pt>
                <c:pt idx="6">
                  <c:v>[P7]</c:v>
                </c:pt>
                <c:pt idx="7">
                  <c:v>[P8]</c:v>
                </c:pt>
                <c:pt idx="8">
                  <c:v>[P9]</c:v>
                </c:pt>
                <c:pt idx="9">
                  <c:v>[P10]</c:v>
                </c:pt>
                <c:pt idx="10">
                  <c:v>[P11]</c:v>
                </c:pt>
                <c:pt idx="11">
                  <c:v>[P12]</c:v>
                </c:pt>
                <c:pt idx="12">
                  <c:v>[P13]</c:v>
                </c:pt>
                <c:pt idx="13">
                  <c:v>[P14]</c:v>
                </c:pt>
                <c:pt idx="14">
                  <c:v>[P15]</c:v>
                </c:pt>
                <c:pt idx="15">
                  <c:v>[P16]</c:v>
                </c:pt>
              </c:strCache>
            </c:strRef>
          </c:xVal>
          <c:yVal>
            <c:numRef>
              <c:f>'BASE DA MATRIZ DE RISCOS'!$O$78:$O$109</c:f>
              <c:numCache>
                <c:formatCode>General</c:formatCode>
                <c:ptCount val="32"/>
                <c:pt idx="0">
                  <c:v>30</c:v>
                </c:pt>
                <c:pt idx="1">
                  <c:v>30</c:v>
                </c:pt>
                <c:pt idx="2">
                  <c:v>8</c:v>
                </c:pt>
                <c:pt idx="3">
                  <c:v>15</c:v>
                </c:pt>
                <c:pt idx="4">
                  <c:v>5</c:v>
                </c:pt>
                <c:pt idx="5">
                  <c:v>4</c:v>
                </c:pt>
                <c:pt idx="6">
                  <c:v>60</c:v>
                </c:pt>
                <c:pt idx="7">
                  <c:v>40</c:v>
                </c:pt>
                <c:pt idx="8">
                  <c:v>80</c:v>
                </c:pt>
                <c:pt idx="9">
                  <c:v>48</c:v>
                </c:pt>
                <c:pt idx="10">
                  <c:v>100</c:v>
                </c:pt>
                <c:pt idx="11">
                  <c:v>4</c:v>
                </c:pt>
                <c:pt idx="12">
                  <c:v>9</c:v>
                </c:pt>
                <c:pt idx="13">
                  <c:v>25</c:v>
                </c:pt>
                <c:pt idx="14">
                  <c:v>18</c:v>
                </c:pt>
                <c:pt idx="15">
                  <c:v>24</c:v>
                </c:pt>
              </c:numCache>
            </c:numRef>
          </c:yVal>
          <c:smooth val="1"/>
          <c:extLst>
            <c:ext xmlns:c16="http://schemas.microsoft.com/office/drawing/2014/chart" uri="{C3380CC4-5D6E-409C-BE32-E72D297353CC}">
              <c16:uniqueId val="{00000000-1E44-4C25-9B7E-36ACCB00C335}"/>
            </c:ext>
          </c:extLst>
        </c:ser>
        <c:dLbls>
          <c:showLegendKey val="0"/>
          <c:showVal val="0"/>
          <c:showCatName val="0"/>
          <c:showSerName val="0"/>
          <c:showPercent val="0"/>
          <c:showBubbleSize val="0"/>
        </c:dLbls>
        <c:axId val="546923007"/>
        <c:axId val="546921759"/>
      </c:scatterChart>
      <c:valAx>
        <c:axId val="546923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46921759"/>
        <c:crosses val="autoZero"/>
        <c:crossBetween val="midCat"/>
        <c:majorUnit val="1"/>
      </c:valAx>
      <c:valAx>
        <c:axId val="546921759"/>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469230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Grafico por Tipo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doughnutChart>
        <c:varyColors val="1"/>
        <c:ser>
          <c:idx val="0"/>
          <c:order val="0"/>
          <c:tx>
            <c:v>% Grafico</c:v>
          </c:tx>
          <c:dPt>
            <c:idx val="0"/>
            <c:bubble3D val="0"/>
            <c:spPr>
              <a:solidFill>
                <a:srgbClr val="92D050"/>
              </a:solidFill>
              <a:ln w="19050">
                <a:solidFill>
                  <a:schemeClr val="lt1"/>
                </a:solidFill>
              </a:ln>
              <a:effectLst/>
            </c:spPr>
            <c:extLst>
              <c:ext xmlns:c16="http://schemas.microsoft.com/office/drawing/2014/chart" uri="{C3380CC4-5D6E-409C-BE32-E72D297353CC}">
                <c16:uniqueId val="{00000001-5A4B-4644-945F-E1C9203398D0}"/>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5A4B-4644-945F-E1C9203398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4B-4644-945F-E1C9203398D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A4B-4644-945F-E1C9203398D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A4B-4644-945F-E1C9203398D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A4B-4644-945F-E1C9203398D0}"/>
              </c:ext>
            </c:extLst>
          </c:dPt>
          <c:dLbls>
            <c:dLbl>
              <c:idx val="0"/>
              <c:layout>
                <c:manualLayout>
                  <c:x val="8.2342525230393523E-2"/>
                  <c:y val="-4.53364850718318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A4B-4644-945F-E1C9203398D0}"/>
                </c:ext>
              </c:extLst>
            </c:dLbl>
            <c:dLbl>
              <c:idx val="1"/>
              <c:layout>
                <c:manualLayout>
                  <c:x val="8.802132007386905E-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A4B-4644-945F-E1C9203398D0}"/>
                </c:ext>
              </c:extLst>
            </c:dLbl>
            <c:dLbl>
              <c:idx val="2"/>
              <c:layout>
                <c:manualLayout>
                  <c:x val="-0.11641529429124615"/>
                  <c:y val="2.266824253591592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A4B-4644-945F-E1C9203398D0}"/>
                </c:ext>
              </c:extLst>
            </c:dLbl>
            <c:dLbl>
              <c:idx val="3"/>
              <c:layout>
                <c:manualLayout>
                  <c:x val="-1.9875781952163926E-2"/>
                  <c:y val="-7.93388488757057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A4B-4644-945F-E1C9203398D0}"/>
                </c:ext>
              </c:extLst>
            </c:dLbl>
            <c:dLbl>
              <c:idx val="4"/>
              <c:delete val="1"/>
              <c:extLst>
                <c:ext xmlns:c15="http://schemas.microsoft.com/office/drawing/2012/chart" uri="{CE6537A1-D6FC-4f65-9D91-7224C49458BB}"/>
                <c:ext xmlns:c16="http://schemas.microsoft.com/office/drawing/2014/chart" uri="{C3380CC4-5D6E-409C-BE32-E72D297353CC}">
                  <c16:uniqueId val="{00000009-5A4B-4644-945F-E1C9203398D0}"/>
                </c:ext>
              </c:extLst>
            </c:dLbl>
            <c:dLbl>
              <c:idx val="5"/>
              <c:delete val="1"/>
              <c:extLst>
                <c:ext xmlns:c15="http://schemas.microsoft.com/office/drawing/2012/chart" uri="{CE6537A1-D6FC-4f65-9D91-7224C49458BB}"/>
                <c:ext xmlns:c16="http://schemas.microsoft.com/office/drawing/2014/chart" uri="{C3380CC4-5D6E-409C-BE32-E72D297353CC}">
                  <c16:uniqueId val="{0000000B-5A4B-4644-945F-E1C9203398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1"/>
            <c:showSerName val="0"/>
            <c:showPercent val="1"/>
            <c:showBubbleSize val="0"/>
            <c:showLeaderLines val="0"/>
            <c:extLst>
              <c:ext xmlns:c15="http://schemas.microsoft.com/office/drawing/2012/chart" uri="{CE6537A1-D6FC-4f65-9D91-7224C49458BB}"/>
            </c:extLst>
          </c:dLbls>
          <c:cat>
            <c:strRef>
              <c:f>'BASE DA MATRIZ DE RISCOS'!$G$30:$G$35</c:f>
              <c:strCache>
                <c:ptCount val="6"/>
                <c:pt idx="0">
                  <c:v>Estratégico</c:v>
                </c:pt>
                <c:pt idx="1">
                  <c:v>Financeiro</c:v>
                </c:pt>
                <c:pt idx="2">
                  <c:v>Operacional</c:v>
                </c:pt>
                <c:pt idx="3">
                  <c:v>Legal</c:v>
                </c:pt>
                <c:pt idx="4">
                  <c:v>Tecnologia</c:v>
                </c:pt>
                <c:pt idx="5">
                  <c:v>Imagem</c:v>
                </c:pt>
              </c:strCache>
            </c:strRef>
          </c:cat>
          <c:val>
            <c:numRef>
              <c:f>'BASE DA MATRIZ DE RISCOS'!$H$30:$H$35</c:f>
              <c:numCache>
                <c:formatCode>0%</c:formatCode>
                <c:ptCount val="6"/>
                <c:pt idx="0">
                  <c:v>6.25E-2</c:v>
                </c:pt>
                <c:pt idx="1">
                  <c:v>0.375</c:v>
                </c:pt>
                <c:pt idx="2">
                  <c:v>0.25</c:v>
                </c:pt>
                <c:pt idx="3">
                  <c:v>0.3125</c:v>
                </c:pt>
                <c:pt idx="4">
                  <c:v>0</c:v>
                </c:pt>
                <c:pt idx="5">
                  <c:v>0</c:v>
                </c:pt>
              </c:numCache>
            </c:numRef>
          </c:val>
          <c:extLst>
            <c:ext xmlns:c16="http://schemas.microsoft.com/office/drawing/2014/chart" uri="{C3380CC4-5D6E-409C-BE32-E72D297353CC}">
              <c16:uniqueId val="{0000000C-5A4B-4644-945F-E1C9203398D0}"/>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zero"/>
    <c:showDLblsOverMax val="1"/>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autoTitleDeleted val="1"/>
    <c:plotArea>
      <c:layout/>
      <c:bubbleChart>
        <c:varyColors val="1"/>
        <c:ser>
          <c:idx val="0"/>
          <c:order val="0"/>
          <c:tx>
            <c:strRef>
              <c:f>'BASE DA MATRIZ DE RISCOS'!$H$77</c:f>
              <c:strCache>
                <c:ptCount val="1"/>
                <c:pt idx="0">
                  <c:v>Perdas/
Impacto</c:v>
                </c:pt>
              </c:strCache>
            </c:strRef>
          </c:tx>
          <c:invertIfNegative val="1"/>
          <c:dLbls>
            <c:spPr>
              <a:noFill/>
              <a:ln>
                <a:noFill/>
              </a:ln>
              <a:effectLst/>
            </c:sp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strRef>
              <c:f>'BASE DA MATRIZ DE RISCOS'!$C$78</c:f>
              <c:strCache>
                <c:ptCount val="1"/>
                <c:pt idx="0">
                  <c:v>[P1]</c:v>
                </c:pt>
              </c:strCache>
            </c:strRef>
          </c:xVal>
          <c:yVal>
            <c:numRef>
              <c:f>'BASE DA MATRIZ DE RISCOS'!$H$78</c:f>
              <c:numCache>
                <c:formatCode>General</c:formatCode>
                <c:ptCount val="1"/>
                <c:pt idx="0">
                  <c:v>2</c:v>
                </c:pt>
              </c:numCache>
            </c:numRef>
          </c:yVal>
          <c:bubbleSize>
            <c:numRef>
              <c:f>'BASE DA MATRIZ DE RISCOS'!$I$78</c:f>
              <c:numCache>
                <c:formatCode>General</c:formatCode>
                <c:ptCount val="1"/>
                <c:pt idx="0">
                  <c:v>30</c:v>
                </c:pt>
              </c:numCache>
            </c:numRef>
          </c:bubbleSize>
          <c:bubble3D val="0"/>
          <c:extLst>
            <c:ext xmlns:c16="http://schemas.microsoft.com/office/drawing/2014/chart" uri="{C3380CC4-5D6E-409C-BE32-E72D297353CC}">
              <c16:uniqueId val="{00000000-B2EF-469F-A0BC-6155D4243DB3}"/>
            </c:ext>
          </c:extLst>
        </c:ser>
        <c:dLbls>
          <c:showLegendKey val="0"/>
          <c:showVal val="0"/>
          <c:showCatName val="0"/>
          <c:showSerName val="0"/>
          <c:showPercent val="0"/>
          <c:showBubbleSize val="0"/>
        </c:dLbls>
        <c:bubbleScale val="100"/>
        <c:showNegBubbles val="1"/>
        <c:axId val="23307919"/>
        <c:axId val="724234340"/>
      </c:bubbleChart>
      <c:valAx>
        <c:axId val="23307919"/>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pt-B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pt-BR"/>
          </a:p>
        </c:txPr>
        <c:crossAx val="724234340"/>
        <c:crosses val="autoZero"/>
        <c:crossBetween val="midCat"/>
      </c:valAx>
      <c:valAx>
        <c:axId val="72423434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pt-B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pt-BR"/>
          </a:p>
        </c:txPr>
        <c:crossAx val="23307919"/>
        <c:crosses val="autoZero"/>
        <c:crossBetween val="midCat"/>
      </c:valAx>
    </c:plotArea>
    <c:legend>
      <c:legendPos val="b"/>
      <c:overlay val="0"/>
      <c:txPr>
        <a:bodyPr/>
        <a:lstStyle/>
        <a:p>
          <a:pPr lvl="0">
            <a:defRPr sz="900"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7.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8.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9.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10.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11.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12.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13.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14.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15.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16.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17.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18.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19.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20.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21.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22.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23.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24.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25.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26.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27.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28.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29.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30.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31.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32.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33.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34.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35.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36.xml.rels><?xml version="1.0" encoding="UTF-8" standalone="yes"?>
<Relationships xmlns="http://schemas.openxmlformats.org/package/2006/relationships"><Relationship Id="rId1" Type="http://schemas.openxmlformats.org/officeDocument/2006/relationships/hyperlink" Target="#'Base da Matriz de RIsco'!_Toc54348655"/></Relationships>
</file>

<file path=xl/drawings/_rels/drawing3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0</xdr:col>
      <xdr:colOff>296334</xdr:colOff>
      <xdr:row>0</xdr:row>
      <xdr:rowOff>74084</xdr:rowOff>
    </xdr:from>
    <xdr:to>
      <xdr:col>1</xdr:col>
      <xdr:colOff>1193294</xdr:colOff>
      <xdr:row>1</xdr:row>
      <xdr:rowOff>48718</xdr:rowOff>
    </xdr:to>
    <xdr:pic>
      <xdr:nvPicPr>
        <xdr:cNvPr id="4" name="Imagem 3">
          <a:extLst>
            <a:ext uri="{FF2B5EF4-FFF2-40B4-BE49-F238E27FC236}">
              <a16:creationId xmlns:a16="http://schemas.microsoft.com/office/drawing/2014/main" id="{1FF6119B-56E0-44E8-9F4D-5E09BEB817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6334" y="74084"/>
          <a:ext cx="1203877" cy="5355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7</xdr:col>
      <xdr:colOff>298450</xdr:colOff>
      <xdr:row>24</xdr:row>
      <xdr:rowOff>34925</xdr:rowOff>
    </xdr:from>
    <xdr:ext cx="3857625" cy="2647950"/>
    <xdr:graphicFrame macro="">
      <xdr:nvGraphicFramePr>
        <xdr:cNvPr id="559018003" name="Chart 1">
          <a:extLst>
            <a:ext uri="{FF2B5EF4-FFF2-40B4-BE49-F238E27FC236}">
              <a16:creationId xmlns:a16="http://schemas.microsoft.com/office/drawing/2014/main" id="{00000000-0008-0000-0100-000013F051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12</xdr:col>
      <xdr:colOff>187325</xdr:colOff>
      <xdr:row>18</xdr:row>
      <xdr:rowOff>9525</xdr:rowOff>
    </xdr:from>
    <xdr:ext cx="3181350" cy="1066800"/>
    <xdr:graphicFrame macro="">
      <xdr:nvGraphicFramePr>
        <xdr:cNvPr id="1297371501" name="Chart 2">
          <a:extLst>
            <a:ext uri="{FF2B5EF4-FFF2-40B4-BE49-F238E27FC236}">
              <a16:creationId xmlns:a16="http://schemas.microsoft.com/office/drawing/2014/main" id="{00000000-0008-0000-0100-00006D5154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2</xdr:col>
      <xdr:colOff>525031</xdr:colOff>
      <xdr:row>1</xdr:row>
      <xdr:rowOff>92411</xdr:rowOff>
    </xdr:to>
    <xdr:pic>
      <xdr:nvPicPr>
        <xdr:cNvPr id="3" name="Imagem 2">
          <a:extLst>
            <a:ext uri="{FF2B5EF4-FFF2-40B4-BE49-F238E27FC236}">
              <a16:creationId xmlns:a16="http://schemas.microsoft.com/office/drawing/2014/main" id="{B0BF3733-31F0-43E8-8520-E1C972DB81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4500" y="95250"/>
          <a:ext cx="1207656" cy="52103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174625</xdr:colOff>
      <xdr:row>0</xdr:row>
      <xdr:rowOff>95250</xdr:rowOff>
    </xdr:from>
    <xdr:to>
      <xdr:col>2</xdr:col>
      <xdr:colOff>629806</xdr:colOff>
      <xdr:row>1</xdr:row>
      <xdr:rowOff>105111</xdr:rowOff>
    </xdr:to>
    <xdr:pic>
      <xdr:nvPicPr>
        <xdr:cNvPr id="2" name="Imagem 1">
          <a:extLst>
            <a:ext uri="{FF2B5EF4-FFF2-40B4-BE49-F238E27FC236}">
              <a16:creationId xmlns:a16="http://schemas.microsoft.com/office/drawing/2014/main" id="{6160A29E-D5B6-46DF-8974-016C473733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2125" y="95250"/>
          <a:ext cx="1217181" cy="5178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359833</xdr:colOff>
      <xdr:row>21</xdr:row>
      <xdr:rowOff>19049</xdr:rowOff>
    </xdr:from>
    <xdr:to>
      <xdr:col>9</xdr:col>
      <xdr:colOff>254000</xdr:colOff>
      <xdr:row>44</xdr:row>
      <xdr:rowOff>95249</xdr:rowOff>
    </xdr:to>
    <xdr:graphicFrame macro="">
      <xdr:nvGraphicFramePr>
        <xdr:cNvPr id="6" name="Gráfico 5">
          <a:extLst>
            <a:ext uri="{FF2B5EF4-FFF2-40B4-BE49-F238E27FC236}">
              <a16:creationId xmlns:a16="http://schemas.microsoft.com/office/drawing/2014/main" id="{E8EEEB9F-F37C-4277-BBA7-21CDF5A0C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623357</xdr:colOff>
      <xdr:row>44</xdr:row>
      <xdr:rowOff>157692</xdr:rowOff>
    </xdr:from>
    <xdr:to>
      <xdr:col>27</xdr:col>
      <xdr:colOff>497416</xdr:colOff>
      <xdr:row>71</xdr:row>
      <xdr:rowOff>137583</xdr:rowOff>
    </xdr:to>
    <xdr:graphicFrame macro="">
      <xdr:nvGraphicFramePr>
        <xdr:cNvPr id="7" name="Gráfico 6">
          <a:extLst>
            <a:ext uri="{FF2B5EF4-FFF2-40B4-BE49-F238E27FC236}">
              <a16:creationId xmlns:a16="http://schemas.microsoft.com/office/drawing/2014/main" id="{A0C87FAE-A123-4E04-81C7-506E20922D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15</xdr:col>
      <xdr:colOff>202671</xdr:colOff>
      <xdr:row>22</xdr:row>
      <xdr:rowOff>46038</xdr:rowOff>
    </xdr:from>
    <xdr:ext cx="4441031" cy="3107530"/>
    <xdr:graphicFrame macro="">
      <xdr:nvGraphicFramePr>
        <xdr:cNvPr id="9" name="Chart 5">
          <a:extLst>
            <a:ext uri="{FF2B5EF4-FFF2-40B4-BE49-F238E27FC236}">
              <a16:creationId xmlns:a16="http://schemas.microsoft.com/office/drawing/2014/main" id="{C9CD6792-CF37-467B-BF52-A77D0331BD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9</xdr:col>
      <xdr:colOff>337079</xdr:colOff>
      <xdr:row>20</xdr:row>
      <xdr:rowOff>127001</xdr:rowOff>
    </xdr:from>
    <xdr:ext cx="4266672" cy="3557853"/>
    <xdr:graphicFrame macro="">
      <xdr:nvGraphicFramePr>
        <xdr:cNvPr id="10" name="Chart 6">
          <a:extLst>
            <a:ext uri="{FF2B5EF4-FFF2-40B4-BE49-F238E27FC236}">
              <a16:creationId xmlns:a16="http://schemas.microsoft.com/office/drawing/2014/main" id="{142F9006-0944-4C0A-AF65-73BA74C19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13</xdr:col>
      <xdr:colOff>362478</xdr:colOff>
      <xdr:row>0</xdr:row>
      <xdr:rowOff>108479</xdr:rowOff>
    </xdr:from>
    <xdr:ext cx="5292090" cy="3457257"/>
    <xdr:graphicFrame macro="">
      <xdr:nvGraphicFramePr>
        <xdr:cNvPr id="11" name="Chart 3">
          <a:extLst>
            <a:ext uri="{FF2B5EF4-FFF2-40B4-BE49-F238E27FC236}">
              <a16:creationId xmlns:a16="http://schemas.microsoft.com/office/drawing/2014/main" id="{AE0D7E54-25ED-4A15-BBF4-FB3D92CAB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0</xdr:col>
      <xdr:colOff>121180</xdr:colOff>
      <xdr:row>7</xdr:row>
      <xdr:rowOff>144463</xdr:rowOff>
    </xdr:from>
    <xdr:ext cx="4472780" cy="3361531"/>
    <xdr:graphicFrame macro="">
      <xdr:nvGraphicFramePr>
        <xdr:cNvPr id="12" name="Chart 7">
          <a:extLst>
            <a:ext uri="{FF2B5EF4-FFF2-40B4-BE49-F238E27FC236}">
              <a16:creationId xmlns:a16="http://schemas.microsoft.com/office/drawing/2014/main" id="{7BCC912B-0D66-484F-986A-A2639D324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twoCellAnchor>
    <xdr:from>
      <xdr:col>1</xdr:col>
      <xdr:colOff>269874</xdr:colOff>
      <xdr:row>2</xdr:row>
      <xdr:rowOff>153987</xdr:rowOff>
    </xdr:from>
    <xdr:to>
      <xdr:col>7</xdr:col>
      <xdr:colOff>447675</xdr:colOff>
      <xdr:row>18</xdr:row>
      <xdr:rowOff>173037</xdr:rowOff>
    </xdr:to>
    <xdr:graphicFrame macro="">
      <xdr:nvGraphicFramePr>
        <xdr:cNvPr id="14" name="Gráfico 13">
          <a:extLst>
            <a:ext uri="{FF2B5EF4-FFF2-40B4-BE49-F238E27FC236}">
              <a16:creationId xmlns:a16="http://schemas.microsoft.com/office/drawing/2014/main" id="{30CE1A94-35EB-42E7-BB4F-EE9BF9E0DA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104775</xdr:colOff>
      <xdr:row>75</xdr:row>
      <xdr:rowOff>125412</xdr:rowOff>
    </xdr:from>
    <xdr:to>
      <xdr:col>32</xdr:col>
      <xdr:colOff>414337</xdr:colOff>
      <xdr:row>99</xdr:row>
      <xdr:rowOff>180975</xdr:rowOff>
    </xdr:to>
    <xdr:graphicFrame macro="">
      <xdr:nvGraphicFramePr>
        <xdr:cNvPr id="15" name="Gráfico 14">
          <a:extLst>
            <a:ext uri="{FF2B5EF4-FFF2-40B4-BE49-F238E27FC236}">
              <a16:creationId xmlns:a16="http://schemas.microsoft.com/office/drawing/2014/main" id="{7A6E76A7-C6FC-4E3D-A7D4-A578A07D8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8</xdr:col>
      <xdr:colOff>586847</xdr:colOff>
      <xdr:row>0</xdr:row>
      <xdr:rowOff>168277</xdr:rowOff>
    </xdr:from>
    <xdr:ext cx="4472780" cy="3361531"/>
    <xdr:graphicFrame macro="">
      <xdr:nvGraphicFramePr>
        <xdr:cNvPr id="13" name="Chart 7">
          <a:extLst>
            <a:ext uri="{FF2B5EF4-FFF2-40B4-BE49-F238E27FC236}">
              <a16:creationId xmlns:a16="http://schemas.microsoft.com/office/drawing/2014/main" id="{2D8EE712-A0A4-3815-A259-3064FF63C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3" name="Shape 3">
          <a:hlinkClick xmlns:r="http://schemas.openxmlformats.org/officeDocument/2006/relationships" r:id="rId1"/>
          <a:extLst>
            <a:ext uri="{FF2B5EF4-FFF2-40B4-BE49-F238E27FC236}">
              <a16:creationId xmlns:a16="http://schemas.microsoft.com/office/drawing/2014/main" id="{00000000-0008-0000-0500-000003000000}"/>
            </a:ext>
          </a:extLst>
        </xdr:cNvPr>
        <xdr:cNvSpPr/>
      </xdr:nvSpPr>
      <xdr:spPr>
        <a:xfrm>
          <a:off x="4736400" y="3479963"/>
          <a:ext cx="1219200" cy="600075"/>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3BDA6B16-748F-4CE8-98F4-F71029B6A5AE}"/>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CD3795AB-B476-42B5-9F99-1E0C98CA4C53}"/>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31917633-CCD6-4102-AE9A-1B3E1F74A909}"/>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94B9EEFC-984A-434A-84D0-47140DF65F6C}"/>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7AF78E1A-EE4B-4F3C-9BEF-18CB688F40FC}"/>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3DC30911-8014-4375-A24C-5D9ADBCCB4C2}"/>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D8B3F364-B5AD-410F-8547-6B8F5123A6F2}"/>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E319D0EB-CD76-4BFE-8EAB-9DB08CC6D578}"/>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B4FBCCA4-9C8F-4E2E-8396-080E7DC90676}"/>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040B7FE1-1283-4BB2-A2B6-524F9EC87B74}"/>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610193BF-548A-4DBB-8540-9A21CC354700}"/>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18.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A6548957-4575-4866-B3CB-EDC04B974A48}"/>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19.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28D9793C-139B-408E-B923-98E0A162F10B}"/>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20.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60CE962A-822B-4F1D-9E00-2221B9B7D0E6}"/>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21.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A6BE9A2C-2134-4E36-9997-AA3BE6E88F5E}"/>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22.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D78E908C-00C1-4474-B3C2-0B536ADA0E83}"/>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23.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FE146A59-F285-4956-9A2B-11EE89FAC215}"/>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24.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889682F0-2040-4660-878F-E2F8C4F6748A}"/>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25.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46464543-4D0A-43FA-A509-0257A31CFFB8}"/>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26.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5E3872FC-0E40-4355-8B04-7A2B336E5239}"/>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27.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5651AFB4-5B31-4395-8D3C-3CF334CF9E02}"/>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28.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78E2A162-9A79-46DD-8DFD-8E6CF735F289}"/>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29.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1283FB88-1555-48F1-9C8F-C28715334EE3}"/>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30.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021A51BD-B731-40FD-9A10-02AF01405CB7}"/>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31.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6DD70612-47B8-40AD-AA74-D17AC4241162}"/>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32.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E233E971-AEF6-47C5-B727-03B1E1906D0E}"/>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33.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17D8C712-F11B-421D-8F8F-5A95803BC7D1}"/>
            </a:ext>
          </a:extLst>
        </xdr:cNvPr>
        <xdr:cNvSpPr/>
      </xdr:nvSpPr>
      <xdr:spPr>
        <a:xfrm>
          <a:off x="1050988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34.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06977E5F-2B9F-4026-893C-174B798C18EF}"/>
            </a:ext>
          </a:extLst>
        </xdr:cNvPr>
        <xdr:cNvSpPr/>
      </xdr:nvSpPr>
      <xdr:spPr>
        <a:xfrm>
          <a:off x="1047432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35.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6983241D-EF38-4CA6-9373-DF43CBEB3595}"/>
            </a:ext>
          </a:extLst>
        </xdr:cNvPr>
        <xdr:cNvSpPr/>
      </xdr:nvSpPr>
      <xdr:spPr>
        <a:xfrm>
          <a:off x="1047432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36.xml><?xml version="1.0" encoding="utf-8"?>
<xdr:wsDr xmlns:xdr="http://schemas.openxmlformats.org/drawingml/2006/spreadsheetDrawing" xmlns:a="http://schemas.openxmlformats.org/drawingml/2006/main">
  <xdr:oneCellAnchor>
    <xdr:from>
      <xdr:col>11</xdr:col>
      <xdr:colOff>352425</xdr:colOff>
      <xdr:row>0</xdr:row>
      <xdr:rowOff>66675</xdr:rowOff>
    </xdr:from>
    <xdr:ext cx="1228725" cy="609600"/>
    <xdr:sp macro="" textlink="">
      <xdr:nvSpPr>
        <xdr:cNvPr id="2" name="Shape 3">
          <a:hlinkClick xmlns:r="http://schemas.openxmlformats.org/officeDocument/2006/relationships" r:id="rId1"/>
          <a:extLst>
            <a:ext uri="{FF2B5EF4-FFF2-40B4-BE49-F238E27FC236}">
              <a16:creationId xmlns:a16="http://schemas.microsoft.com/office/drawing/2014/main" id="{27E606C4-04C0-4C7F-906E-E84ED62F5ABF}"/>
            </a:ext>
          </a:extLst>
        </xdr:cNvPr>
        <xdr:cNvSpPr/>
      </xdr:nvSpPr>
      <xdr:spPr>
        <a:xfrm>
          <a:off x="10474325" y="66675"/>
          <a:ext cx="1228725" cy="609600"/>
        </a:xfrm>
        <a:prstGeom prst="leftArrow">
          <a:avLst>
            <a:gd name="adj1" fmla="val 50000"/>
            <a:gd name="adj2" fmla="val 50000"/>
          </a:avLst>
        </a:prstGeom>
        <a:solidFill>
          <a:schemeClr val="accen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Matriz de Risco</a:t>
          </a:r>
          <a:endParaRPr sz="1400"/>
        </a:p>
      </xdr:txBody>
    </xdr:sp>
    <xdr:clientData fLocksWithSheet="0"/>
  </xdr:oneCellAnchor>
</xdr:wsDr>
</file>

<file path=xl/drawings/drawing37.xml><?xml version="1.0" encoding="utf-8"?>
<xdr:wsDr xmlns:xdr="http://schemas.openxmlformats.org/drawingml/2006/spreadsheetDrawing" xmlns:a="http://schemas.openxmlformats.org/drawingml/2006/main">
  <xdr:oneCellAnchor>
    <xdr:from>
      <xdr:col>1</xdr:col>
      <xdr:colOff>38100</xdr:colOff>
      <xdr:row>0</xdr:row>
      <xdr:rowOff>123825</xdr:rowOff>
    </xdr:from>
    <xdr:ext cx="9258300" cy="3381375"/>
    <xdr:graphicFrame macro="">
      <xdr:nvGraphicFramePr>
        <xdr:cNvPr id="910206910" name="Chart 9">
          <a:extLst>
            <a:ext uri="{FF2B5EF4-FFF2-40B4-BE49-F238E27FC236}">
              <a16:creationId xmlns:a16="http://schemas.microsoft.com/office/drawing/2014/main" id="{00000000-0008-0000-2700-0000BEA740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Mario/Desktop/Vorcon/Enersolar/WP/Enersolar_-_WP_Tabula&#231;&#227;o_10.10.2019_11.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Lançamentos"/>
      <sheetName val="2. Veículos e Máquinas"/>
      <sheetName val="3. Receitas Operacionais"/>
      <sheetName val="Fluxo Flávio"/>
      <sheetName val="FC"/>
      <sheetName val="Extratos"/>
      <sheetName val="Listas"/>
      <sheetName val="Pontos de Controle_1"/>
      <sheetName val="Pontos de Controle_2"/>
      <sheetName val="Pontos de Controle_3"/>
      <sheetName val="Assertivas"/>
      <sheetName val="Progressão"/>
      <sheetName val="Questionamentos"/>
      <sheetName val="Ticks"/>
      <sheetName val="Enersolar_-_WP_Tabulação_10.10"/>
    </sheetNames>
    <sheetDataSet>
      <sheetData sheetId="0" refreshError="1">
        <row r="57">
          <cell r="D57">
            <v>11</v>
          </cell>
          <cell r="E57">
            <v>2018</v>
          </cell>
          <cell r="H57" t="str">
            <v>Custo c/ Locações: Locação de Máquina</v>
          </cell>
          <cell r="J57" t="str">
            <v>FLAVIO SANTANA PEREIRA</v>
          </cell>
          <cell r="K57">
            <v>-1400</v>
          </cell>
        </row>
        <row r="58">
          <cell r="D58">
            <v>11</v>
          </cell>
          <cell r="E58">
            <v>2018</v>
          </cell>
          <cell r="H58" t="str">
            <v>Custo c/ Locações: Locação de Máquina</v>
          </cell>
          <cell r="J58" t="str">
            <v>FLAVIO SANTANA PEREIRA</v>
          </cell>
          <cell r="K58">
            <v>-541.55999999999995</v>
          </cell>
        </row>
        <row r="111">
          <cell r="D111">
            <v>12</v>
          </cell>
          <cell r="E111">
            <v>2018</v>
          </cell>
          <cell r="H111" t="str">
            <v>Custo c/ Locações: Locação de Máquina</v>
          </cell>
          <cell r="J111" t="str">
            <v>FLAVIO SANTANA PEREIRA</v>
          </cell>
          <cell r="K111">
            <v>-459.18</v>
          </cell>
        </row>
        <row r="112">
          <cell r="D112">
            <v>12</v>
          </cell>
          <cell r="E112">
            <v>2018</v>
          </cell>
          <cell r="H112" t="str">
            <v>Custo c/ Locações: Locação de Máquina</v>
          </cell>
          <cell r="J112" t="str">
            <v>FLAVIO SANTANA PEREIRA</v>
          </cell>
          <cell r="K112">
            <v>-1473.9</v>
          </cell>
        </row>
        <row r="170">
          <cell r="D170">
            <v>1</v>
          </cell>
          <cell r="E170">
            <v>2019</v>
          </cell>
          <cell r="H170" t="str">
            <v>Custo c/ Locações: Locação de Máquina</v>
          </cell>
          <cell r="J170" t="str">
            <v>FLAVIO SANTANA PEREIRA</v>
          </cell>
          <cell r="K170">
            <v>-200</v>
          </cell>
        </row>
        <row r="171">
          <cell r="D171">
            <v>1</v>
          </cell>
          <cell r="E171">
            <v>2019</v>
          </cell>
          <cell r="H171" t="str">
            <v>Custo c/ Locações: Locação de Máquina</v>
          </cell>
          <cell r="J171" t="str">
            <v>FLAVIO SANTANA PEREIRA</v>
          </cell>
          <cell r="K171">
            <v>-512.1</v>
          </cell>
        </row>
        <row r="173">
          <cell r="D173">
            <v>1</v>
          </cell>
          <cell r="E173">
            <v>2019</v>
          </cell>
          <cell r="H173" t="str">
            <v>Custo c/ Locações: Locação de Equipamento</v>
          </cell>
          <cell r="J173" t="str">
            <v>FLAVIO SANTANA PEREIRA</v>
          </cell>
          <cell r="K173">
            <v>-300</v>
          </cell>
        </row>
        <row r="174">
          <cell r="D174">
            <v>1</v>
          </cell>
          <cell r="E174">
            <v>2019</v>
          </cell>
          <cell r="H174" t="str">
            <v>Custo c/ Locações: Locação de Máquina</v>
          </cell>
          <cell r="J174" t="str">
            <v>FLAVIO SANTANA PEREIRA</v>
          </cell>
          <cell r="K174">
            <v>-236.9</v>
          </cell>
        </row>
        <row r="189">
          <cell r="D189">
            <v>1</v>
          </cell>
          <cell r="E189">
            <v>2019</v>
          </cell>
          <cell r="H189" t="str">
            <v>Custo c/ Locações: Locação de Máquina</v>
          </cell>
          <cell r="J189" t="str">
            <v>FLAVIO SANTANA PEREIRA</v>
          </cell>
          <cell r="K189">
            <v>-1002.5</v>
          </cell>
        </row>
        <row r="190">
          <cell r="D190">
            <v>1</v>
          </cell>
          <cell r="E190">
            <v>2019</v>
          </cell>
          <cell r="H190" t="str">
            <v>Custo c/ Locações: Locação de Máquina</v>
          </cell>
          <cell r="J190" t="str">
            <v>FLAVIO SANTANA PEREIRA</v>
          </cell>
          <cell r="K190">
            <v>-975.53</v>
          </cell>
        </row>
        <row r="474">
          <cell r="D474">
            <v>3</v>
          </cell>
          <cell r="E474">
            <v>2019</v>
          </cell>
          <cell r="H474" t="str">
            <v>Transferência</v>
          </cell>
          <cell r="J474" t="str">
            <v>FLAVIO SANTANA PEREIRA</v>
          </cell>
          <cell r="K474">
            <v>-2000</v>
          </cell>
        </row>
        <row r="571">
          <cell r="D571">
            <v>4</v>
          </cell>
          <cell r="E571">
            <v>2019</v>
          </cell>
          <cell r="H571" t="str">
            <v>Custo c/ Locações: Locação de Máquina</v>
          </cell>
          <cell r="J571" t="str">
            <v>FLAVIO SANTANA PEREIRA</v>
          </cell>
          <cell r="K571">
            <v>-3049.76</v>
          </cell>
        </row>
        <row r="580">
          <cell r="D580">
            <v>4</v>
          </cell>
          <cell r="E580">
            <v>2019</v>
          </cell>
          <cell r="H580" t="str">
            <v>Custo c/ Locações: Locação de Máquina</v>
          </cell>
          <cell r="J580" t="str">
            <v>FLAVIO SANTANA PEREIRA</v>
          </cell>
          <cell r="K580">
            <v>-777.59</v>
          </cell>
        </row>
        <row r="584">
          <cell r="D584">
            <v>4</v>
          </cell>
          <cell r="E584">
            <v>2019</v>
          </cell>
          <cell r="H584" t="str">
            <v>Custo c/ Locações: Locação de Máquina</v>
          </cell>
          <cell r="J584" t="str">
            <v>FLAVIO SANTANA PEREIRA</v>
          </cell>
          <cell r="K584">
            <v>-500</v>
          </cell>
        </row>
        <row r="591">
          <cell r="D591">
            <v>4</v>
          </cell>
          <cell r="E591">
            <v>2019</v>
          </cell>
          <cell r="H591" t="str">
            <v>Custo c/ Locações: Locação de Máquina</v>
          </cell>
          <cell r="J591" t="str">
            <v>FLAVIO SANTANA PEREIRA</v>
          </cell>
          <cell r="K591">
            <v>-388.15</v>
          </cell>
        </row>
        <row r="622">
          <cell r="D622">
            <v>5</v>
          </cell>
          <cell r="E622">
            <v>2019</v>
          </cell>
          <cell r="H622" t="str">
            <v>Custo c/ Locações: Locação de Máquina</v>
          </cell>
          <cell r="J622" t="str">
            <v>FLAVIO SANTANA PEREIRA</v>
          </cell>
          <cell r="K622">
            <v>-190.73</v>
          </cell>
        </row>
        <row r="672">
          <cell r="D672">
            <v>6</v>
          </cell>
          <cell r="E672">
            <v>2019</v>
          </cell>
          <cell r="H672" t="str">
            <v>Transferência</v>
          </cell>
          <cell r="J672" t="str">
            <v>FLAVIO SANTANA PEREIRA</v>
          </cell>
          <cell r="K672">
            <v>-5000</v>
          </cell>
        </row>
        <row r="828">
          <cell r="D828">
            <v>4</v>
          </cell>
          <cell r="E828">
            <v>2018</v>
          </cell>
          <cell r="H828" t="str">
            <v>Investimentos:Aquisição de Ferramentas de Montagem</v>
          </cell>
          <cell r="J828" t="str">
            <v>FLAVIO SANTANA PEREIRA</v>
          </cell>
          <cell r="K828">
            <v>-13073</v>
          </cell>
        </row>
        <row r="829">
          <cell r="D829">
            <v>4</v>
          </cell>
          <cell r="E829">
            <v>2018</v>
          </cell>
          <cell r="H829" t="str">
            <v>Investimentos:Aquisição de Ferramentas de Montagem</v>
          </cell>
          <cell r="J829" t="str">
            <v>FLAVIO SANTANA PEREIRA</v>
          </cell>
          <cell r="K829">
            <v>-17995.439999999999</v>
          </cell>
        </row>
        <row r="858">
          <cell r="D858">
            <v>4</v>
          </cell>
          <cell r="E858">
            <v>2018</v>
          </cell>
          <cell r="H858" t="str">
            <v>Custo c/ Locações: Locação de Máquina</v>
          </cell>
          <cell r="J858" t="str">
            <v>FLAVIO SANTANA PEREIRA</v>
          </cell>
          <cell r="K858">
            <v>-5000</v>
          </cell>
        </row>
        <row r="859">
          <cell r="D859">
            <v>4</v>
          </cell>
          <cell r="E859">
            <v>2018</v>
          </cell>
          <cell r="H859" t="str">
            <v>Custo c/ Locações: Locação de Máquina</v>
          </cell>
          <cell r="J859" t="str">
            <v>FLAVIO SANTANA PEREIRA</v>
          </cell>
          <cell r="K859">
            <v>-6428.55</v>
          </cell>
        </row>
        <row r="860">
          <cell r="D860">
            <v>4</v>
          </cell>
          <cell r="E860">
            <v>2018</v>
          </cell>
          <cell r="H860" t="str">
            <v>Custo c/ Locações: Locação de Máquina</v>
          </cell>
          <cell r="J860" t="str">
            <v>FLAVIO SANTANA PEREIRA</v>
          </cell>
          <cell r="K860">
            <v>-4567.9799999999996</v>
          </cell>
        </row>
        <row r="861">
          <cell r="D861">
            <v>4</v>
          </cell>
          <cell r="E861">
            <v>2018</v>
          </cell>
          <cell r="H861" t="str">
            <v>Custo c/ Locações: Locação de Máquina</v>
          </cell>
          <cell r="J861" t="str">
            <v>FLAVIO SANTANA PEREIRA</v>
          </cell>
          <cell r="K861">
            <v>-4285.71</v>
          </cell>
        </row>
        <row r="862">
          <cell r="D862">
            <v>4</v>
          </cell>
          <cell r="E862">
            <v>2018</v>
          </cell>
          <cell r="H862" t="str">
            <v>Custo c/ Locações: Locação de Máquina</v>
          </cell>
          <cell r="J862" t="str">
            <v>FLAVIO SANTANA PEREIRA</v>
          </cell>
          <cell r="K862">
            <v>-5500</v>
          </cell>
        </row>
        <row r="863">
          <cell r="D863">
            <v>4</v>
          </cell>
          <cell r="E863">
            <v>2018</v>
          </cell>
          <cell r="H863" t="str">
            <v>Custo c/ Locações: Locação de Máquina</v>
          </cell>
          <cell r="J863" t="str">
            <v>FLAVIO SANTANA PEREIRA</v>
          </cell>
          <cell r="K863">
            <v>-5500</v>
          </cell>
        </row>
        <row r="944">
          <cell r="D944">
            <v>5</v>
          </cell>
          <cell r="E944">
            <v>2018</v>
          </cell>
          <cell r="H944" t="str">
            <v>Receitas Financeiras:Emprestimo Obtido de Terceiros (Recebimento)</v>
          </cell>
          <cell r="J944" t="str">
            <v>FLAVIO SANTANA PEREIRA</v>
          </cell>
          <cell r="K944">
            <v>20000</v>
          </cell>
        </row>
        <row r="1031">
          <cell r="D1031">
            <v>5</v>
          </cell>
          <cell r="E1031">
            <v>2018</v>
          </cell>
          <cell r="H1031" t="str">
            <v>Despesas Financeiras:Emprestimo Obtido de Terceiros</v>
          </cell>
          <cell r="J1031" t="str">
            <v>FLAVIO SANTANA PEREIRA</v>
          </cell>
          <cell r="K1031">
            <v>-20000</v>
          </cell>
        </row>
        <row r="1109">
          <cell r="D1109">
            <v>5</v>
          </cell>
          <cell r="E1109">
            <v>2018</v>
          </cell>
          <cell r="H1109" t="str">
            <v>Custo c/ Mão-de-Obra:Salários</v>
          </cell>
          <cell r="J1109" t="str">
            <v>FLAVIO SANTANA PEREIRA</v>
          </cell>
          <cell r="K1109">
            <v>-5000</v>
          </cell>
        </row>
        <row r="1120">
          <cell r="D1120">
            <v>5</v>
          </cell>
          <cell r="E1120">
            <v>2018</v>
          </cell>
          <cell r="H1120" t="str">
            <v>Custo c/ Locações: Locação de Máquina</v>
          </cell>
          <cell r="J1120" t="str">
            <v>FLAVIO SANTANA PEREIRA</v>
          </cell>
          <cell r="K1120">
            <v>-8000</v>
          </cell>
        </row>
        <row r="1121">
          <cell r="D1121">
            <v>5</v>
          </cell>
          <cell r="E1121">
            <v>2018</v>
          </cell>
          <cell r="H1121" t="str">
            <v>Custo c/ Mobilização: Mobilização de Máquina</v>
          </cell>
          <cell r="J1121" t="str">
            <v>FLAVIO SANTANA PEREIRA</v>
          </cell>
          <cell r="K1121">
            <v>-1000</v>
          </cell>
        </row>
        <row r="1135">
          <cell r="D1135">
            <v>5</v>
          </cell>
          <cell r="E1135">
            <v>2018</v>
          </cell>
          <cell r="H1135" t="str">
            <v>Custo c/ Mobilização: Mobilização de Máquina</v>
          </cell>
          <cell r="J1135" t="str">
            <v>FLAVIO SANTANA PEREIRA</v>
          </cell>
          <cell r="K1135">
            <v>-9500</v>
          </cell>
        </row>
        <row r="1136">
          <cell r="D1136">
            <v>5</v>
          </cell>
          <cell r="E1136">
            <v>2018</v>
          </cell>
          <cell r="H1136" t="str">
            <v>Custo c/ Mobilização: Mobilização de Máquina</v>
          </cell>
          <cell r="J1136" t="str">
            <v>FLAVIO SANTANA PEREIRA</v>
          </cell>
          <cell r="K1136">
            <v>-1500</v>
          </cell>
        </row>
        <row r="1143">
          <cell r="D1143">
            <v>5</v>
          </cell>
          <cell r="E1143">
            <v>2018</v>
          </cell>
          <cell r="H1143" t="str">
            <v>(D) Custo c/ Mobilização: Mobilização de Máquina</v>
          </cell>
          <cell r="J1143" t="str">
            <v>FLAVIO SANTANA PEREIRA</v>
          </cell>
          <cell r="K1143">
            <v>-2000</v>
          </cell>
        </row>
        <row r="1179">
          <cell r="D1179">
            <v>5</v>
          </cell>
          <cell r="E1179">
            <v>2018</v>
          </cell>
          <cell r="H1179" t="str">
            <v>Custo c/ Mobilização: Mobilização de Máquina</v>
          </cell>
          <cell r="J1179" t="str">
            <v>FLAVIO SANTANA PEREIRA</v>
          </cell>
          <cell r="K1179">
            <v>-22000</v>
          </cell>
        </row>
        <row r="1186">
          <cell r="D1186">
            <v>5</v>
          </cell>
          <cell r="E1186">
            <v>2018</v>
          </cell>
          <cell r="H1186" t="str">
            <v>Custo c/ Mobilização: Mobilização de Máquina</v>
          </cell>
        </row>
        <row r="1187">
          <cell r="D1187">
            <v>5</v>
          </cell>
          <cell r="E1187">
            <v>2018</v>
          </cell>
          <cell r="H1187" t="str">
            <v>(D) Custo c/ Mobilização: Mobilização de Máquina</v>
          </cell>
        </row>
        <row r="1546">
          <cell r="D1546">
            <v>7</v>
          </cell>
          <cell r="E1546">
            <v>2018</v>
          </cell>
          <cell r="H1546" t="str">
            <v>Custo c/ Mão-de-Obra:Salários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02DF01-0959-4725-A18F-F15AF42E0D7C}" name="Tabela1" displayName="Tabela1" ref="B6:N54" totalsRowShown="0" headerRowDxfId="253" dataDxfId="252" headerRowCellStyle="Normal 4 2" dataCellStyle="Normal 4 2">
  <autoFilter ref="B6:N54" xr:uid="{ABA35257-5BDB-4470-86C2-0D39048471C6}"/>
  <tableColumns count="13">
    <tableColumn id="1" xr3:uid="{2610C0EA-9EEF-42FB-8099-3008F9754525}" name="Etapas" dataDxfId="251" dataCellStyle="Normal 4 2"/>
    <tableColumn id="2" xr3:uid="{EFEC2637-0214-4E93-961E-85BBB45D0B9C}" name="Análise do Contrato   - Auditoria conforme a NBC TA 800" dataDxfId="250" dataCellStyle="Normal 4 2"/>
    <tableColumn id="3" xr3:uid="{544C1B23-85B2-483C-9A17-C8C4E833C32C}" name="Responsável" dataDxfId="249" dataCellStyle="Normal 4 2"/>
    <tableColumn id="4" xr3:uid="{3A5006B7-8457-48F7-8B6B-1804D76C9F38}" name="Código Vorcon" dataDxfId="248" dataCellStyle="Normal 4 2"/>
    <tableColumn id="5" xr3:uid="{A3868146-85A5-4DE8-92D3-A742F40DB829}" name="Cliente " dataDxfId="247" dataCellStyle="Normal 4 2"/>
    <tableColumn id="6" xr3:uid="{C924A038-1D74-4D53-8813-5ACB2E153460}" name="Testes e Procedimentos de Auditoria realizados" dataDxfId="246" dataCellStyle="Normal 4 2"/>
    <tableColumn id="7" xr3:uid="{BC34489E-6FB0-42F4-932D-DE6187646CBA}" name="Código do Teste" dataDxfId="245" dataCellStyle="Normal 4 2"/>
    <tableColumn id="8" xr3:uid="{F308BAB0-CF2C-4BDD-94F1-C97D5F7DDDB8}" name="Status testes" dataDxfId="244" dataCellStyle="Normal 4 2"/>
    <tableColumn id="9" xr3:uid="{4D88C4D3-8304-49F7-BFE4-CEF248D27187}" name="Responsável " dataDxfId="243" dataCellStyle="Normal 4 2"/>
    <tableColumn id="10" xr3:uid="{8BC78411-2021-4AFD-B2B5-8E80D1EF34AF}" name="Pedido de análise" dataDxfId="242" dataCellStyle="Normal 4 2"/>
    <tableColumn id="11" xr3:uid="{C2C51B73-2836-47C3-AD70-5445481C5294}" name="Descrição no Pedido de Análise" dataDxfId="241" dataCellStyle="Normal 4 2"/>
    <tableColumn id="12" xr3:uid="{F463E3C4-C37F-4BF5-B2B0-AC61E2895E2D}" name="Status pedido de análise" dataDxfId="240" dataCellStyle="Normal 5"/>
    <tableColumn id="13" xr3:uid="{BACD6B6E-09AF-4DAA-8BCB-A8E8106DD992}" name="Observações" dataDxfId="239" dataCellStyle="Normal 4 2"/>
  </tableColumns>
  <tableStyleInfo name="TableStyleLight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F3AD1E-08B9-4EEC-B8F5-32C0D9E744AA}" name="Tabela2" displayName="Tabela2" ref="P6:R10" totalsRowShown="0" headerRowDxfId="238" dataDxfId="237" tableBorderDxfId="236" headerRowCellStyle="Normal 4 2">
  <tableColumns count="3">
    <tableColumn id="1" xr3:uid="{9E2D929A-2D90-48A5-A5D2-36C2CFE1898D}" name="Simbolo" dataDxfId="235"/>
    <tableColumn id="2" xr3:uid="{C7662C2E-5A9D-416B-9909-CC77A66DE6C5}" name="Tipo" dataDxfId="234"/>
    <tableColumn id="3" xr3:uid="{CF0B1434-14B9-41FD-9A0B-998658824658}" name="Conclusão" dataDxfId="233"/>
  </tableColumns>
  <tableStyleInfo name="TableStyleLight3" showFirstColumn="0" showLastColumn="0" showRowStripes="1" showColumnStripes="0"/>
</table>
</file>

<file path=xl/theme/theme1.xml><?xml version="1.0" encoding="utf-8"?>
<a:theme xmlns:a="http://schemas.openxmlformats.org/drawingml/2006/main" name="Sheets">
  <a:themeElements>
    <a:clrScheme name="Personalizada 7">
      <a:dk1>
        <a:srgbClr val="000000"/>
      </a:dk1>
      <a:lt1>
        <a:sysClr val="window" lastClr="FFFFFF"/>
      </a:lt1>
      <a:dk2>
        <a:srgbClr val="5E5E5E"/>
      </a:dk2>
      <a:lt2>
        <a:srgbClr val="DDDDDD"/>
      </a:lt2>
      <a:accent1>
        <a:srgbClr val="418AB3"/>
      </a:accent1>
      <a:accent2>
        <a:srgbClr val="A5A5A5"/>
      </a:accent2>
      <a:accent3>
        <a:srgbClr val="418AB3"/>
      </a:accent3>
      <a:accent4>
        <a:srgbClr val="FFC65F"/>
      </a:accent4>
      <a:accent5>
        <a:srgbClr val="FEC306"/>
      </a:accent5>
      <a:accent6>
        <a:srgbClr val="DF5327"/>
      </a:accent6>
      <a:hlink>
        <a:srgbClr val="F59E00"/>
      </a:hlink>
      <a:folHlink>
        <a:srgbClr val="B2B2B2"/>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E6551-62C7-4341-8BDE-6D1B51DAABE5}">
  <sheetPr>
    <tabColor rgb="FF273A77"/>
  </sheetPr>
  <dimension ref="B1:R65"/>
  <sheetViews>
    <sheetView showGridLines="0" zoomScale="60" zoomScaleNormal="60" workbookViewId="0">
      <selection activeCell="H10" sqref="H10"/>
    </sheetView>
  </sheetViews>
  <sheetFormatPr defaultColWidth="9" defaultRowHeight="14.4" outlineLevelCol="2" x14ac:dyDescent="0.3"/>
  <cols>
    <col min="1" max="1" width="4.09765625" style="118" customWidth="1"/>
    <col min="2" max="2" width="21.59765625" style="118" bestFit="1" customWidth="1"/>
    <col min="3" max="3" width="46.59765625" style="118" hidden="1" customWidth="1"/>
    <col min="4" max="4" width="18.296875" style="118" hidden="1" customWidth="1"/>
    <col min="5" max="5" width="10.796875" style="118" customWidth="1"/>
    <col min="6" max="6" width="8.5" style="120" customWidth="1"/>
    <col min="7" max="7" width="49.3984375" style="118" customWidth="1"/>
    <col min="8" max="8" width="41.69921875" style="120" customWidth="1"/>
    <col min="9" max="9" width="14.8984375" style="120" bestFit="1" customWidth="1" outlineLevel="2"/>
    <col min="10" max="10" width="13.19921875" style="124" customWidth="1" outlineLevel="2"/>
    <col min="11" max="11" width="25.8984375" style="243" customWidth="1"/>
    <col min="12" max="12" width="41.5" style="118" hidden="1" customWidth="1"/>
    <col min="13" max="13" width="13.69921875" style="119" hidden="1" customWidth="1" outlineLevel="1"/>
    <col min="14" max="14" width="31.09765625" style="119" customWidth="1" collapsed="1"/>
    <col min="15" max="15" width="6.5" style="118" customWidth="1"/>
    <col min="16" max="16" width="9.69921875" style="118" customWidth="1"/>
    <col min="17" max="17" width="14" style="118" customWidth="1"/>
    <col min="18" max="18" width="11.296875" style="118" bestFit="1" customWidth="1"/>
    <col min="19" max="16384" width="9" style="118"/>
  </cols>
  <sheetData>
    <row r="1" spans="2:18" ht="44.55" customHeight="1" x14ac:dyDescent="0.3">
      <c r="M1" s="118"/>
      <c r="N1" s="118"/>
    </row>
    <row r="2" spans="2:18" x14ac:dyDescent="0.3">
      <c r="B2" s="234" t="s">
        <v>904</v>
      </c>
      <c r="M2" s="118"/>
      <c r="N2" s="118"/>
    </row>
    <row r="3" spans="2:18" x14ac:dyDescent="0.3">
      <c r="B3" s="235" t="s">
        <v>754</v>
      </c>
      <c r="M3" s="118"/>
      <c r="N3" s="118"/>
    </row>
    <row r="4" spans="2:18" x14ac:dyDescent="0.3">
      <c r="B4" s="236" t="s">
        <v>905</v>
      </c>
      <c r="M4" s="118"/>
      <c r="N4" s="118"/>
    </row>
    <row r="5" spans="2:18" x14ac:dyDescent="0.3">
      <c r="M5" s="118"/>
      <c r="N5" s="118"/>
    </row>
    <row r="6" spans="2:18" ht="41.25" customHeight="1" x14ac:dyDescent="0.3">
      <c r="B6" s="233" t="s">
        <v>621</v>
      </c>
      <c r="C6" s="233" t="s">
        <v>571</v>
      </c>
      <c r="D6" s="233" t="s">
        <v>572</v>
      </c>
      <c r="E6" s="233" t="s">
        <v>573</v>
      </c>
      <c r="F6" s="233" t="s">
        <v>574</v>
      </c>
      <c r="G6" s="233" t="s">
        <v>575</v>
      </c>
      <c r="H6" s="233" t="s">
        <v>576</v>
      </c>
      <c r="I6" s="233" t="s">
        <v>623</v>
      </c>
      <c r="J6" s="233" t="s">
        <v>627</v>
      </c>
      <c r="K6" s="244" t="s">
        <v>577</v>
      </c>
      <c r="L6" s="233" t="s">
        <v>620</v>
      </c>
      <c r="M6" s="233" t="s">
        <v>622</v>
      </c>
      <c r="N6" s="233" t="s">
        <v>626</v>
      </c>
      <c r="P6" s="233" t="s">
        <v>747</v>
      </c>
      <c r="Q6" s="233" t="s">
        <v>46</v>
      </c>
      <c r="R6" s="233" t="s">
        <v>748</v>
      </c>
    </row>
    <row r="7" spans="2:18" ht="41.25" customHeight="1" x14ac:dyDescent="0.3">
      <c r="B7" s="154" t="s">
        <v>578</v>
      </c>
      <c r="C7" s="154"/>
      <c r="D7" s="154"/>
      <c r="E7" s="154" t="s">
        <v>757</v>
      </c>
      <c r="F7" s="237" t="s">
        <v>805</v>
      </c>
      <c r="G7" s="154" t="s">
        <v>579</v>
      </c>
      <c r="H7" s="155" t="s">
        <v>816</v>
      </c>
      <c r="I7" s="238" t="s">
        <v>550</v>
      </c>
      <c r="J7" s="239" t="s">
        <v>750</v>
      </c>
      <c r="K7" s="237" t="s">
        <v>135</v>
      </c>
      <c r="L7" s="154"/>
      <c r="M7" s="240" t="s">
        <v>80</v>
      </c>
      <c r="N7" s="154"/>
      <c r="P7" s="157" t="s">
        <v>550</v>
      </c>
      <c r="Q7" s="154" t="s">
        <v>624</v>
      </c>
      <c r="R7" s="158">
        <f>COUNTIFS(I7:I54,"a")/COUNTA(H7:H54)</f>
        <v>0.41666666666666669</v>
      </c>
    </row>
    <row r="8" spans="2:18" ht="41.25" customHeight="1" x14ac:dyDescent="0.3">
      <c r="B8" s="154" t="s">
        <v>578</v>
      </c>
      <c r="C8" s="154"/>
      <c r="D8" s="154"/>
      <c r="E8" s="154" t="s">
        <v>758</v>
      </c>
      <c r="F8" s="237" t="s">
        <v>805</v>
      </c>
      <c r="G8" s="154" t="s">
        <v>806</v>
      </c>
      <c r="H8" s="155" t="s">
        <v>817</v>
      </c>
      <c r="I8" s="238" t="s">
        <v>550</v>
      </c>
      <c r="J8" s="239" t="s">
        <v>750</v>
      </c>
      <c r="K8" s="245" t="s">
        <v>135</v>
      </c>
      <c r="L8" s="155"/>
      <c r="M8" s="240" t="s">
        <v>80</v>
      </c>
      <c r="N8" s="155"/>
      <c r="P8" s="157" t="s">
        <v>80</v>
      </c>
      <c r="Q8" s="154" t="s">
        <v>619</v>
      </c>
      <c r="R8" s="158">
        <f>COUNTIFS(I7:I54,"x")/COUNTA(H7:H54)</f>
        <v>0.27083333333333331</v>
      </c>
    </row>
    <row r="9" spans="2:18" ht="41.25" customHeight="1" x14ac:dyDescent="0.3">
      <c r="B9" s="154" t="s">
        <v>578</v>
      </c>
      <c r="C9" s="154"/>
      <c r="D9" s="154"/>
      <c r="E9" s="154" t="s">
        <v>759</v>
      </c>
      <c r="F9" s="237" t="s">
        <v>805</v>
      </c>
      <c r="G9" s="154" t="s">
        <v>815</v>
      </c>
      <c r="H9" s="155" t="s">
        <v>818</v>
      </c>
      <c r="I9" s="238" t="s">
        <v>550</v>
      </c>
      <c r="J9" s="239" t="s">
        <v>750</v>
      </c>
      <c r="K9" s="237" t="s">
        <v>135</v>
      </c>
      <c r="L9" s="154"/>
      <c r="M9" s="240" t="s">
        <v>80</v>
      </c>
      <c r="N9" s="154"/>
      <c r="P9" s="157" t="s">
        <v>553</v>
      </c>
      <c r="Q9" s="154" t="s">
        <v>554</v>
      </c>
      <c r="R9" s="158">
        <f>COUNTIFS(I7:I54,"")/COUNTA(H7:H54)</f>
        <v>0.10416666666666667</v>
      </c>
    </row>
    <row r="10" spans="2:18" ht="41.25" customHeight="1" x14ac:dyDescent="0.3">
      <c r="B10" s="154" t="s">
        <v>578</v>
      </c>
      <c r="C10" s="154"/>
      <c r="D10" s="154"/>
      <c r="E10" s="154" t="s">
        <v>760</v>
      </c>
      <c r="F10" s="237" t="s">
        <v>805</v>
      </c>
      <c r="G10" s="154" t="s">
        <v>580</v>
      </c>
      <c r="H10" s="155" t="s">
        <v>819</v>
      </c>
      <c r="I10" s="238" t="s">
        <v>550</v>
      </c>
      <c r="J10" s="239" t="s">
        <v>750</v>
      </c>
      <c r="K10" s="237" t="s">
        <v>865</v>
      </c>
      <c r="L10" s="154"/>
      <c r="M10" s="240" t="s">
        <v>550</v>
      </c>
      <c r="N10" s="154"/>
      <c r="P10" s="157" t="s">
        <v>628</v>
      </c>
      <c r="Q10" s="154" t="s">
        <v>629</v>
      </c>
      <c r="R10" s="158">
        <f>COUNTIFS(I9:I56,"q")/COUNTA(H9:H56)</f>
        <v>2.1739130434782608E-2</v>
      </c>
    </row>
    <row r="11" spans="2:18" ht="41.25" customHeight="1" x14ac:dyDescent="0.3">
      <c r="B11" s="154" t="s">
        <v>578</v>
      </c>
      <c r="C11" s="154"/>
      <c r="D11" s="154"/>
      <c r="E11" s="154" t="s">
        <v>761</v>
      </c>
      <c r="F11" s="237" t="s">
        <v>805</v>
      </c>
      <c r="G11" s="154" t="s">
        <v>807</v>
      </c>
      <c r="H11" s="155" t="s">
        <v>820</v>
      </c>
      <c r="I11" s="238" t="s">
        <v>550</v>
      </c>
      <c r="J11" s="239" t="s">
        <v>864</v>
      </c>
      <c r="K11" s="237" t="s">
        <v>866</v>
      </c>
      <c r="L11" s="154"/>
      <c r="M11" s="240" t="s">
        <v>550</v>
      </c>
      <c r="N11" s="154"/>
    </row>
    <row r="12" spans="2:18" ht="41.25" customHeight="1" x14ac:dyDescent="0.3">
      <c r="B12" s="154" t="s">
        <v>581</v>
      </c>
      <c r="C12" s="154"/>
      <c r="D12" s="154"/>
      <c r="E12" s="154" t="s">
        <v>762</v>
      </c>
      <c r="F12" s="237" t="s">
        <v>805</v>
      </c>
      <c r="G12" s="154" t="s">
        <v>582</v>
      </c>
      <c r="H12" s="155" t="s">
        <v>821</v>
      </c>
      <c r="I12" s="238" t="s">
        <v>550</v>
      </c>
      <c r="J12" s="239" t="s">
        <v>752</v>
      </c>
      <c r="K12" s="237" t="s">
        <v>867</v>
      </c>
      <c r="L12" s="154"/>
      <c r="M12" s="240" t="s">
        <v>550</v>
      </c>
      <c r="N12" s="154"/>
    </row>
    <row r="13" spans="2:18" ht="41.25" customHeight="1" x14ac:dyDescent="0.3">
      <c r="B13" s="154" t="s">
        <v>581</v>
      </c>
      <c r="C13" s="154"/>
      <c r="D13" s="154"/>
      <c r="E13" s="154" t="s">
        <v>763</v>
      </c>
      <c r="F13" s="237" t="s">
        <v>805</v>
      </c>
      <c r="G13" s="154" t="s">
        <v>611</v>
      </c>
      <c r="H13" s="155" t="s">
        <v>822</v>
      </c>
      <c r="I13" s="238" t="s">
        <v>550</v>
      </c>
      <c r="J13" s="239" t="s">
        <v>751</v>
      </c>
      <c r="K13" s="237" t="s">
        <v>868</v>
      </c>
      <c r="L13" s="154"/>
      <c r="M13" s="240" t="s">
        <v>550</v>
      </c>
      <c r="N13" s="154"/>
    </row>
    <row r="14" spans="2:18" ht="41.25" customHeight="1" x14ac:dyDescent="0.3">
      <c r="B14" s="154" t="s">
        <v>581</v>
      </c>
      <c r="C14" s="154"/>
      <c r="D14" s="154"/>
      <c r="E14" s="154" t="s">
        <v>764</v>
      </c>
      <c r="F14" s="237" t="s">
        <v>805</v>
      </c>
      <c r="G14" s="154" t="s">
        <v>617</v>
      </c>
      <c r="H14" s="155" t="s">
        <v>823</v>
      </c>
      <c r="I14" s="238" t="s">
        <v>550</v>
      </c>
      <c r="J14" s="239" t="s">
        <v>864</v>
      </c>
      <c r="K14" s="237" t="s">
        <v>869</v>
      </c>
      <c r="L14" s="154"/>
      <c r="M14" s="240" t="s">
        <v>550</v>
      </c>
      <c r="N14" s="154"/>
    </row>
    <row r="15" spans="2:18" ht="41.25" customHeight="1" x14ac:dyDescent="0.3">
      <c r="B15" s="154" t="s">
        <v>581</v>
      </c>
      <c r="C15" s="154"/>
      <c r="D15" s="154"/>
      <c r="E15" s="154" t="s">
        <v>765</v>
      </c>
      <c r="F15" s="154" t="s">
        <v>805</v>
      </c>
      <c r="G15" s="154" t="s">
        <v>618</v>
      </c>
      <c r="H15" s="155" t="s">
        <v>824</v>
      </c>
      <c r="I15" s="238" t="s">
        <v>550</v>
      </c>
      <c r="J15" s="239" t="s">
        <v>864</v>
      </c>
      <c r="K15" s="237" t="s">
        <v>108</v>
      </c>
      <c r="L15" s="154"/>
      <c r="M15" s="240" t="s">
        <v>550</v>
      </c>
      <c r="N15" s="154"/>
    </row>
    <row r="16" spans="2:18" ht="41.25" customHeight="1" x14ac:dyDescent="0.3">
      <c r="B16" s="154" t="s">
        <v>581</v>
      </c>
      <c r="C16" s="154"/>
      <c r="D16" s="154"/>
      <c r="E16" s="154" t="s">
        <v>766</v>
      </c>
      <c r="F16" s="237" t="s">
        <v>805</v>
      </c>
      <c r="G16" s="154" t="s">
        <v>602</v>
      </c>
      <c r="H16" s="155" t="s">
        <v>825</v>
      </c>
      <c r="I16" s="238" t="s">
        <v>80</v>
      </c>
      <c r="J16" s="239" t="s">
        <v>515</v>
      </c>
      <c r="K16" s="237" t="s">
        <v>135</v>
      </c>
      <c r="L16" s="154"/>
      <c r="M16" s="240" t="s">
        <v>80</v>
      </c>
      <c r="N16" s="154"/>
    </row>
    <row r="17" spans="2:14" ht="41.25" customHeight="1" x14ac:dyDescent="0.3">
      <c r="B17" s="154" t="s">
        <v>581</v>
      </c>
      <c r="C17" s="154"/>
      <c r="D17" s="154"/>
      <c r="E17" s="154" t="s">
        <v>767</v>
      </c>
      <c r="F17" s="237" t="s">
        <v>805</v>
      </c>
      <c r="G17" s="154" t="s">
        <v>593</v>
      </c>
      <c r="H17" s="155" t="s">
        <v>826</v>
      </c>
      <c r="I17" s="238" t="s">
        <v>80</v>
      </c>
      <c r="J17" s="239" t="s">
        <v>515</v>
      </c>
      <c r="K17" s="237" t="s">
        <v>135</v>
      </c>
      <c r="L17" s="154"/>
      <c r="M17" s="240" t="s">
        <v>80</v>
      </c>
      <c r="N17" s="154"/>
    </row>
    <row r="18" spans="2:14" ht="41.25" customHeight="1" x14ac:dyDescent="0.3">
      <c r="B18" s="154" t="s">
        <v>581</v>
      </c>
      <c r="C18" s="154"/>
      <c r="D18" s="154"/>
      <c r="E18" s="154" t="s">
        <v>768</v>
      </c>
      <c r="F18" s="237" t="s">
        <v>805</v>
      </c>
      <c r="G18" s="154" t="s">
        <v>598</v>
      </c>
      <c r="H18" s="155" t="s">
        <v>827</v>
      </c>
      <c r="I18" s="238" t="s">
        <v>80</v>
      </c>
      <c r="J18" s="239" t="s">
        <v>515</v>
      </c>
      <c r="K18" s="237" t="s">
        <v>135</v>
      </c>
      <c r="L18" s="154"/>
      <c r="M18" s="240" t="s">
        <v>80</v>
      </c>
      <c r="N18" s="154"/>
    </row>
    <row r="19" spans="2:14" ht="41.25" customHeight="1" x14ac:dyDescent="0.3">
      <c r="B19" s="154" t="s">
        <v>581</v>
      </c>
      <c r="C19" s="154"/>
      <c r="D19" s="154"/>
      <c r="E19" s="154" t="s">
        <v>769</v>
      </c>
      <c r="F19" s="237" t="s">
        <v>805</v>
      </c>
      <c r="G19" s="154" t="s">
        <v>584</v>
      </c>
      <c r="H19" s="155" t="s">
        <v>828</v>
      </c>
      <c r="I19" s="238" t="s">
        <v>550</v>
      </c>
      <c r="J19" s="239" t="s">
        <v>750</v>
      </c>
      <c r="K19" s="237" t="s">
        <v>135</v>
      </c>
      <c r="L19" s="154"/>
      <c r="M19" s="240" t="s">
        <v>550</v>
      </c>
      <c r="N19" s="154"/>
    </row>
    <row r="20" spans="2:14" ht="41.25" customHeight="1" x14ac:dyDescent="0.3">
      <c r="B20" s="154" t="s">
        <v>581</v>
      </c>
      <c r="C20" s="154"/>
      <c r="D20" s="154"/>
      <c r="E20" s="154" t="s">
        <v>770</v>
      </c>
      <c r="F20" s="237" t="s">
        <v>805</v>
      </c>
      <c r="G20" s="154" t="s">
        <v>585</v>
      </c>
      <c r="H20" s="155" t="s">
        <v>829</v>
      </c>
      <c r="I20" s="238" t="s">
        <v>550</v>
      </c>
      <c r="J20" s="239" t="s">
        <v>864</v>
      </c>
      <c r="K20" s="237" t="s">
        <v>870</v>
      </c>
      <c r="L20" s="154"/>
      <c r="M20" s="240" t="s">
        <v>550</v>
      </c>
      <c r="N20" s="154"/>
    </row>
    <row r="21" spans="2:14" ht="28.8" x14ac:dyDescent="0.3">
      <c r="B21" s="154" t="s">
        <v>581</v>
      </c>
      <c r="C21" s="154"/>
      <c r="D21" s="154"/>
      <c r="E21" s="154" t="s">
        <v>771</v>
      </c>
      <c r="F21" s="237" t="s">
        <v>805</v>
      </c>
      <c r="G21" s="154" t="s">
        <v>583</v>
      </c>
      <c r="H21" s="155" t="s">
        <v>830</v>
      </c>
      <c r="I21" s="238" t="s">
        <v>553</v>
      </c>
      <c r="J21" s="239" t="s">
        <v>750</v>
      </c>
      <c r="K21" s="237" t="s">
        <v>867</v>
      </c>
      <c r="L21" s="154"/>
      <c r="M21" s="240" t="s">
        <v>550</v>
      </c>
      <c r="N21" s="154"/>
    </row>
    <row r="22" spans="2:14" ht="41.25" customHeight="1" x14ac:dyDescent="0.3">
      <c r="B22" s="154" t="s">
        <v>581</v>
      </c>
      <c r="C22" s="154"/>
      <c r="D22" s="154"/>
      <c r="E22" s="154" t="s">
        <v>772</v>
      </c>
      <c r="F22" s="237" t="s">
        <v>805</v>
      </c>
      <c r="G22" s="154" t="s">
        <v>808</v>
      </c>
      <c r="H22" s="155" t="s">
        <v>831</v>
      </c>
      <c r="I22" s="238" t="s">
        <v>550</v>
      </c>
      <c r="J22" s="239" t="s">
        <v>752</v>
      </c>
      <c r="K22" s="237" t="s">
        <v>871</v>
      </c>
      <c r="L22" s="154"/>
      <c r="M22" s="240" t="s">
        <v>550</v>
      </c>
      <c r="N22" s="154"/>
    </row>
    <row r="23" spans="2:14" ht="41.25" customHeight="1" x14ac:dyDescent="0.3">
      <c r="B23" s="154" t="s">
        <v>586</v>
      </c>
      <c r="C23" s="154"/>
      <c r="D23" s="154"/>
      <c r="E23" s="154" t="s">
        <v>773</v>
      </c>
      <c r="F23" s="237" t="s">
        <v>805</v>
      </c>
      <c r="G23" s="154" t="s">
        <v>592</v>
      </c>
      <c r="H23" s="155" t="s">
        <v>832</v>
      </c>
      <c r="I23" s="238" t="s">
        <v>80</v>
      </c>
      <c r="J23" s="241"/>
      <c r="K23" s="237" t="s">
        <v>135</v>
      </c>
      <c r="L23" s="154"/>
      <c r="M23" s="240" t="s">
        <v>80</v>
      </c>
      <c r="N23" s="154"/>
    </row>
    <row r="24" spans="2:14" ht="41.25" customHeight="1" x14ac:dyDescent="0.3">
      <c r="B24" s="154" t="s">
        <v>586</v>
      </c>
      <c r="C24" s="154"/>
      <c r="D24" s="154"/>
      <c r="E24" s="154" t="s">
        <v>774</v>
      </c>
      <c r="F24" s="237" t="s">
        <v>805</v>
      </c>
      <c r="G24" s="154" t="s">
        <v>590</v>
      </c>
      <c r="H24" s="155" t="s">
        <v>833</v>
      </c>
      <c r="I24" s="238" t="s">
        <v>550</v>
      </c>
      <c r="J24" s="239" t="s">
        <v>750</v>
      </c>
      <c r="K24" s="237" t="s">
        <v>135</v>
      </c>
      <c r="L24" s="154"/>
      <c r="M24" s="240" t="s">
        <v>550</v>
      </c>
      <c r="N24" s="154"/>
    </row>
    <row r="25" spans="2:14" ht="41.25" customHeight="1" x14ac:dyDescent="0.3">
      <c r="B25" s="154" t="s">
        <v>586</v>
      </c>
      <c r="C25" s="154"/>
      <c r="D25" s="154"/>
      <c r="E25" s="154" t="s">
        <v>775</v>
      </c>
      <c r="F25" s="237" t="s">
        <v>805</v>
      </c>
      <c r="G25" s="154" t="s">
        <v>591</v>
      </c>
      <c r="H25" s="155" t="s">
        <v>834</v>
      </c>
      <c r="I25" s="238" t="s">
        <v>553</v>
      </c>
      <c r="J25" s="239" t="s">
        <v>864</v>
      </c>
      <c r="K25" s="237" t="s">
        <v>872</v>
      </c>
      <c r="L25" s="154"/>
      <c r="M25" s="240" t="s">
        <v>550</v>
      </c>
      <c r="N25" s="154"/>
    </row>
    <row r="26" spans="2:14" ht="41.25" customHeight="1" x14ac:dyDescent="0.3">
      <c r="B26" s="154" t="s">
        <v>586</v>
      </c>
      <c r="C26" s="242"/>
      <c r="D26" s="154"/>
      <c r="E26" s="154" t="s">
        <v>776</v>
      </c>
      <c r="F26" s="237" t="s">
        <v>805</v>
      </c>
      <c r="G26" s="154" t="s">
        <v>809</v>
      </c>
      <c r="H26" s="155" t="s">
        <v>835</v>
      </c>
      <c r="I26" s="238" t="s">
        <v>628</v>
      </c>
      <c r="J26" s="239" t="s">
        <v>750</v>
      </c>
      <c r="K26" s="237" t="s">
        <v>873</v>
      </c>
      <c r="L26" s="154"/>
      <c r="M26" s="240" t="s">
        <v>550</v>
      </c>
      <c r="N26" s="154"/>
    </row>
    <row r="27" spans="2:14" ht="41.25" customHeight="1" x14ac:dyDescent="0.3">
      <c r="B27" s="154" t="s">
        <v>586</v>
      </c>
      <c r="C27" s="154"/>
      <c r="D27" s="154"/>
      <c r="E27" s="154" t="s">
        <v>777</v>
      </c>
      <c r="F27" s="237" t="s">
        <v>805</v>
      </c>
      <c r="G27" s="154" t="s">
        <v>810</v>
      </c>
      <c r="H27" s="155" t="s">
        <v>836</v>
      </c>
      <c r="I27" s="238" t="s">
        <v>550</v>
      </c>
      <c r="J27" s="239" t="s">
        <v>750</v>
      </c>
      <c r="K27" s="237" t="s">
        <v>874</v>
      </c>
      <c r="L27" s="154"/>
      <c r="M27" s="240" t="s">
        <v>550</v>
      </c>
      <c r="N27" s="154"/>
    </row>
    <row r="28" spans="2:14" ht="41.25" customHeight="1" x14ac:dyDescent="0.3">
      <c r="B28" s="154" t="s">
        <v>586</v>
      </c>
      <c r="C28" s="154"/>
      <c r="D28" s="154"/>
      <c r="E28" s="154" t="s">
        <v>778</v>
      </c>
      <c r="F28" s="237" t="s">
        <v>805</v>
      </c>
      <c r="G28" s="154" t="s">
        <v>588</v>
      </c>
      <c r="H28" s="155" t="s">
        <v>837</v>
      </c>
      <c r="I28" s="238" t="s">
        <v>80</v>
      </c>
      <c r="J28" s="239" t="s">
        <v>515</v>
      </c>
      <c r="K28" s="237" t="s">
        <v>875</v>
      </c>
      <c r="L28" s="154"/>
      <c r="M28" s="240" t="s">
        <v>80</v>
      </c>
      <c r="N28" s="154"/>
    </row>
    <row r="29" spans="2:14" ht="41.25" customHeight="1" x14ac:dyDescent="0.3">
      <c r="B29" s="154" t="s">
        <v>586</v>
      </c>
      <c r="C29" s="154"/>
      <c r="D29" s="154"/>
      <c r="E29" s="154" t="s">
        <v>779</v>
      </c>
      <c r="F29" s="237" t="s">
        <v>805</v>
      </c>
      <c r="G29" s="154" t="s">
        <v>589</v>
      </c>
      <c r="H29" s="155" t="s">
        <v>838</v>
      </c>
      <c r="I29" s="238" t="s">
        <v>550</v>
      </c>
      <c r="J29" s="241" t="s">
        <v>864</v>
      </c>
      <c r="K29" s="245" t="s">
        <v>876</v>
      </c>
      <c r="L29" s="155"/>
      <c r="M29" s="240" t="s">
        <v>550</v>
      </c>
      <c r="N29" s="155"/>
    </row>
    <row r="30" spans="2:14" ht="41.25" customHeight="1" x14ac:dyDescent="0.3">
      <c r="B30" s="154" t="s">
        <v>586</v>
      </c>
      <c r="C30" s="154"/>
      <c r="D30" s="154"/>
      <c r="E30" s="154" t="s">
        <v>780</v>
      </c>
      <c r="F30" s="237" t="s">
        <v>805</v>
      </c>
      <c r="G30" s="154" t="s">
        <v>811</v>
      </c>
      <c r="H30" s="155" t="s">
        <v>839</v>
      </c>
      <c r="I30" s="238" t="s">
        <v>553</v>
      </c>
      <c r="J30" s="241" t="s">
        <v>750</v>
      </c>
      <c r="K30" s="237" t="s">
        <v>877</v>
      </c>
      <c r="L30" s="154"/>
      <c r="M30" s="240" t="s">
        <v>550</v>
      </c>
      <c r="N30" s="154"/>
    </row>
    <row r="31" spans="2:14" ht="41.25" customHeight="1" x14ac:dyDescent="0.3">
      <c r="B31" s="154" t="s">
        <v>586</v>
      </c>
      <c r="C31" s="154"/>
      <c r="D31" s="154"/>
      <c r="E31" s="154" t="s">
        <v>781</v>
      </c>
      <c r="F31" s="237" t="s">
        <v>805</v>
      </c>
      <c r="G31" s="154" t="s">
        <v>594</v>
      </c>
      <c r="H31" s="155" t="s">
        <v>840</v>
      </c>
      <c r="I31" s="238" t="s">
        <v>80</v>
      </c>
      <c r="J31" s="241" t="s">
        <v>515</v>
      </c>
      <c r="K31" s="237" t="s">
        <v>135</v>
      </c>
      <c r="L31" s="154"/>
      <c r="M31" s="240" t="s">
        <v>80</v>
      </c>
      <c r="N31" s="154"/>
    </row>
    <row r="32" spans="2:14" ht="41.25" customHeight="1" x14ac:dyDescent="0.3">
      <c r="B32" s="154" t="s">
        <v>586</v>
      </c>
      <c r="C32" s="154"/>
      <c r="D32" s="154"/>
      <c r="E32" s="154" t="s">
        <v>782</v>
      </c>
      <c r="F32" s="237" t="s">
        <v>805</v>
      </c>
      <c r="G32" s="154" t="s">
        <v>596</v>
      </c>
      <c r="H32" s="155" t="s">
        <v>841</v>
      </c>
      <c r="I32" s="238" t="s">
        <v>80</v>
      </c>
      <c r="J32" s="241" t="s">
        <v>515</v>
      </c>
      <c r="K32" s="237" t="s">
        <v>135</v>
      </c>
      <c r="L32" s="154"/>
      <c r="M32" s="240" t="s">
        <v>80</v>
      </c>
      <c r="N32" s="154"/>
    </row>
    <row r="33" spans="2:14" ht="41.25" customHeight="1" x14ac:dyDescent="0.3">
      <c r="B33" s="154" t="s">
        <v>586</v>
      </c>
      <c r="C33" s="154"/>
      <c r="D33" s="154"/>
      <c r="E33" s="154" t="s">
        <v>783</v>
      </c>
      <c r="F33" s="237" t="s">
        <v>805</v>
      </c>
      <c r="G33" s="154" t="s">
        <v>595</v>
      </c>
      <c r="H33" s="155" t="s">
        <v>842</v>
      </c>
      <c r="I33" s="238" t="s">
        <v>550</v>
      </c>
      <c r="J33" s="241" t="s">
        <v>750</v>
      </c>
      <c r="K33" s="237" t="s">
        <v>878</v>
      </c>
      <c r="L33" s="154"/>
      <c r="M33" s="240" t="s">
        <v>550</v>
      </c>
      <c r="N33" s="154"/>
    </row>
    <row r="34" spans="2:14" ht="41.25" customHeight="1" x14ac:dyDescent="0.3">
      <c r="B34" s="154" t="s">
        <v>586</v>
      </c>
      <c r="C34" s="154"/>
      <c r="D34" s="154"/>
      <c r="E34" s="154" t="s">
        <v>784</v>
      </c>
      <c r="F34" s="237" t="s">
        <v>805</v>
      </c>
      <c r="G34" s="154" t="s">
        <v>587</v>
      </c>
      <c r="H34" s="155" t="s">
        <v>843</v>
      </c>
      <c r="I34" s="238" t="s">
        <v>553</v>
      </c>
      <c r="J34" s="241" t="s">
        <v>751</v>
      </c>
      <c r="K34" s="245" t="s">
        <v>879</v>
      </c>
      <c r="L34" s="155"/>
      <c r="M34" s="240" t="s">
        <v>550</v>
      </c>
      <c r="N34" s="154"/>
    </row>
    <row r="35" spans="2:14" ht="41.25" customHeight="1" x14ac:dyDescent="0.3">
      <c r="B35" s="154" t="s">
        <v>586</v>
      </c>
      <c r="C35" s="154"/>
      <c r="D35" s="154"/>
      <c r="E35" s="154" t="s">
        <v>785</v>
      </c>
      <c r="F35" s="237" t="s">
        <v>805</v>
      </c>
      <c r="G35" s="154" t="s">
        <v>597</v>
      </c>
      <c r="H35" s="155" t="s">
        <v>844</v>
      </c>
      <c r="I35" s="238" t="s">
        <v>550</v>
      </c>
      <c r="J35" s="239" t="s">
        <v>750</v>
      </c>
      <c r="K35" s="237" t="s">
        <v>135</v>
      </c>
      <c r="L35" s="154"/>
      <c r="M35" s="240" t="s">
        <v>80</v>
      </c>
      <c r="N35" s="154"/>
    </row>
    <row r="36" spans="2:14" ht="41.25" customHeight="1" x14ac:dyDescent="0.3">
      <c r="B36" s="154" t="s">
        <v>586</v>
      </c>
      <c r="C36" s="154"/>
      <c r="D36" s="154"/>
      <c r="E36" s="154" t="s">
        <v>786</v>
      </c>
      <c r="F36" s="237" t="s">
        <v>805</v>
      </c>
      <c r="G36" s="154" t="s">
        <v>606</v>
      </c>
      <c r="H36" s="155" t="s">
        <v>845</v>
      </c>
      <c r="I36" s="238" t="s">
        <v>550</v>
      </c>
      <c r="J36" s="241" t="s">
        <v>864</v>
      </c>
      <c r="K36" s="237" t="s">
        <v>880</v>
      </c>
      <c r="L36" s="154"/>
      <c r="M36" s="240" t="s">
        <v>550</v>
      </c>
      <c r="N36" s="154"/>
    </row>
    <row r="37" spans="2:14" ht="41.25" customHeight="1" x14ac:dyDescent="0.3">
      <c r="B37" s="154" t="s">
        <v>586</v>
      </c>
      <c r="C37" s="154"/>
      <c r="D37" s="154"/>
      <c r="E37" s="154" t="s">
        <v>787</v>
      </c>
      <c r="F37" s="237" t="s">
        <v>805</v>
      </c>
      <c r="G37" s="154" t="s">
        <v>599</v>
      </c>
      <c r="H37" s="155" t="s">
        <v>846</v>
      </c>
      <c r="I37" s="238" t="s">
        <v>553</v>
      </c>
      <c r="J37" s="239" t="s">
        <v>864</v>
      </c>
      <c r="K37" s="237" t="s">
        <v>881</v>
      </c>
      <c r="L37" s="154"/>
      <c r="M37" s="240" t="s">
        <v>550</v>
      </c>
      <c r="N37" s="154"/>
    </row>
    <row r="38" spans="2:14" ht="41.25" customHeight="1" x14ac:dyDescent="0.3">
      <c r="B38" s="154" t="s">
        <v>586</v>
      </c>
      <c r="C38" s="154"/>
      <c r="D38" s="154"/>
      <c r="E38" s="154" t="s">
        <v>788</v>
      </c>
      <c r="F38" s="237" t="s">
        <v>805</v>
      </c>
      <c r="G38" s="154" t="s">
        <v>600</v>
      </c>
      <c r="H38" s="155" t="s">
        <v>847</v>
      </c>
      <c r="I38" s="238" t="s">
        <v>80</v>
      </c>
      <c r="J38" s="241" t="s">
        <v>515</v>
      </c>
      <c r="K38" s="237" t="s">
        <v>135</v>
      </c>
      <c r="L38" s="154"/>
      <c r="M38" s="240" t="s">
        <v>80</v>
      </c>
      <c r="N38" s="154"/>
    </row>
    <row r="39" spans="2:14" ht="41.25" customHeight="1" x14ac:dyDescent="0.3">
      <c r="B39" s="154" t="s">
        <v>586</v>
      </c>
      <c r="C39" s="154"/>
      <c r="D39" s="154"/>
      <c r="E39" s="154" t="s">
        <v>789</v>
      </c>
      <c r="F39" s="237" t="s">
        <v>805</v>
      </c>
      <c r="G39" s="154" t="s">
        <v>601</v>
      </c>
      <c r="H39" s="155" t="s">
        <v>848</v>
      </c>
      <c r="I39" s="238" t="s">
        <v>80</v>
      </c>
      <c r="J39" s="241" t="s">
        <v>515</v>
      </c>
      <c r="K39" s="245" t="s">
        <v>135</v>
      </c>
      <c r="L39" s="155"/>
      <c r="M39" s="240" t="s">
        <v>80</v>
      </c>
      <c r="N39" s="154"/>
    </row>
    <row r="40" spans="2:14" ht="41.25" customHeight="1" x14ac:dyDescent="0.3">
      <c r="B40" s="154" t="s">
        <v>586</v>
      </c>
      <c r="C40" s="154"/>
      <c r="D40" s="154"/>
      <c r="E40" s="154" t="s">
        <v>790</v>
      </c>
      <c r="F40" s="237" t="s">
        <v>805</v>
      </c>
      <c r="G40" s="154" t="s">
        <v>812</v>
      </c>
      <c r="H40" s="155" t="s">
        <v>849</v>
      </c>
      <c r="I40" s="238" t="s">
        <v>80</v>
      </c>
      <c r="J40" s="241" t="s">
        <v>515</v>
      </c>
      <c r="K40" s="237" t="s">
        <v>135</v>
      </c>
      <c r="L40" s="154"/>
      <c r="M40" s="240" t="s">
        <v>80</v>
      </c>
      <c r="N40" s="154"/>
    </row>
    <row r="41" spans="2:14" ht="41.25" customHeight="1" x14ac:dyDescent="0.3">
      <c r="B41" s="154" t="s">
        <v>586</v>
      </c>
      <c r="C41" s="154"/>
      <c r="D41" s="154"/>
      <c r="E41" s="154" t="s">
        <v>791</v>
      </c>
      <c r="F41" s="237" t="s">
        <v>805</v>
      </c>
      <c r="G41" s="154" t="s">
        <v>603</v>
      </c>
      <c r="H41" s="155" t="s">
        <v>850</v>
      </c>
      <c r="I41" s="238" t="s">
        <v>80</v>
      </c>
      <c r="J41" s="241" t="s">
        <v>515</v>
      </c>
      <c r="K41" s="237" t="s">
        <v>135</v>
      </c>
      <c r="L41" s="154"/>
      <c r="M41" s="240" t="s">
        <v>80</v>
      </c>
      <c r="N41" s="154"/>
    </row>
    <row r="42" spans="2:14" ht="41.25" customHeight="1" x14ac:dyDescent="0.3">
      <c r="B42" s="154" t="s">
        <v>586</v>
      </c>
      <c r="C42" s="154"/>
      <c r="D42" s="154"/>
      <c r="E42" s="154" t="s">
        <v>792</v>
      </c>
      <c r="F42" s="237" t="s">
        <v>805</v>
      </c>
      <c r="G42" s="154" t="s">
        <v>813</v>
      </c>
      <c r="H42" s="155" t="s">
        <v>851</v>
      </c>
      <c r="I42" s="238" t="s">
        <v>553</v>
      </c>
      <c r="J42" s="241" t="s">
        <v>750</v>
      </c>
      <c r="K42" s="245" t="s">
        <v>882</v>
      </c>
      <c r="L42" s="155"/>
      <c r="M42" s="240" t="s">
        <v>553</v>
      </c>
      <c r="N42" s="154"/>
    </row>
    <row r="43" spans="2:14" ht="41.25" customHeight="1" x14ac:dyDescent="0.3">
      <c r="B43" s="154" t="s">
        <v>586</v>
      </c>
      <c r="C43" s="154"/>
      <c r="D43" s="154"/>
      <c r="E43" s="154" t="s">
        <v>793</v>
      </c>
      <c r="F43" s="237" t="s">
        <v>805</v>
      </c>
      <c r="G43" s="154" t="s">
        <v>604</v>
      </c>
      <c r="H43" s="155" t="s">
        <v>852</v>
      </c>
      <c r="I43" s="238" t="s">
        <v>553</v>
      </c>
      <c r="J43" s="239" t="s">
        <v>750</v>
      </c>
      <c r="K43" s="237" t="s">
        <v>882</v>
      </c>
      <c r="L43" s="154"/>
      <c r="M43" s="240" t="s">
        <v>553</v>
      </c>
      <c r="N43" s="154"/>
    </row>
    <row r="44" spans="2:14" ht="41.25" customHeight="1" x14ac:dyDescent="0.3">
      <c r="B44" s="154" t="s">
        <v>586</v>
      </c>
      <c r="C44" s="154"/>
      <c r="D44" s="154"/>
      <c r="E44" s="154" t="s">
        <v>794</v>
      </c>
      <c r="F44" s="237" t="s">
        <v>805</v>
      </c>
      <c r="G44" s="154" t="s">
        <v>605</v>
      </c>
      <c r="H44" s="155" t="s">
        <v>853</v>
      </c>
      <c r="I44" s="238" t="s">
        <v>80</v>
      </c>
      <c r="J44" s="239" t="s">
        <v>515</v>
      </c>
      <c r="K44" s="237" t="s">
        <v>135</v>
      </c>
      <c r="L44" s="154"/>
      <c r="M44" s="240" t="s">
        <v>80</v>
      </c>
      <c r="N44" s="154"/>
    </row>
    <row r="45" spans="2:14" ht="41.25" customHeight="1" x14ac:dyDescent="0.3">
      <c r="B45" s="154" t="s">
        <v>586</v>
      </c>
      <c r="C45" s="154"/>
      <c r="D45" s="154"/>
      <c r="E45" s="154" t="s">
        <v>795</v>
      </c>
      <c r="F45" s="237" t="s">
        <v>805</v>
      </c>
      <c r="G45" s="154" t="s">
        <v>607</v>
      </c>
      <c r="H45" s="155" t="s">
        <v>854</v>
      </c>
      <c r="I45" s="238" t="s">
        <v>550</v>
      </c>
      <c r="J45" s="239" t="s">
        <v>750</v>
      </c>
      <c r="K45" s="237" t="s">
        <v>883</v>
      </c>
      <c r="L45" s="154"/>
      <c r="M45" s="240" t="s">
        <v>550</v>
      </c>
      <c r="N45" s="154"/>
    </row>
    <row r="46" spans="2:14" ht="41.25" customHeight="1" x14ac:dyDescent="0.3">
      <c r="B46" s="154" t="s">
        <v>586</v>
      </c>
      <c r="C46" s="154"/>
      <c r="D46" s="154"/>
      <c r="E46" s="154" t="s">
        <v>796</v>
      </c>
      <c r="F46" s="237" t="s">
        <v>805</v>
      </c>
      <c r="G46" s="154" t="s">
        <v>608</v>
      </c>
      <c r="H46" s="155" t="s">
        <v>855</v>
      </c>
      <c r="I46" s="238" t="s">
        <v>550</v>
      </c>
      <c r="J46" s="241" t="s">
        <v>750</v>
      </c>
      <c r="K46" s="237" t="s">
        <v>135</v>
      </c>
      <c r="L46" s="154"/>
      <c r="M46" s="240" t="s">
        <v>80</v>
      </c>
      <c r="N46" s="154"/>
    </row>
    <row r="47" spans="2:14" ht="46.5" customHeight="1" x14ac:dyDescent="0.3">
      <c r="B47" s="154" t="s">
        <v>586</v>
      </c>
      <c r="C47" s="154"/>
      <c r="D47" s="154"/>
      <c r="E47" s="154" t="s">
        <v>797</v>
      </c>
      <c r="F47" s="237" t="s">
        <v>805</v>
      </c>
      <c r="G47" s="154" t="s">
        <v>609</v>
      </c>
      <c r="H47" s="155" t="s">
        <v>856</v>
      </c>
      <c r="I47" s="238" t="s">
        <v>553</v>
      </c>
      <c r="J47" s="239" t="s">
        <v>864</v>
      </c>
      <c r="K47" s="237" t="s">
        <v>884</v>
      </c>
      <c r="L47" s="154"/>
      <c r="M47" s="240" t="s">
        <v>550</v>
      </c>
      <c r="N47" s="154"/>
    </row>
    <row r="48" spans="2:14" ht="41.25" customHeight="1" x14ac:dyDescent="0.3">
      <c r="B48" s="154" t="s">
        <v>586</v>
      </c>
      <c r="C48" s="154"/>
      <c r="D48" s="154"/>
      <c r="E48" s="154" t="s">
        <v>798</v>
      </c>
      <c r="F48" s="237" t="s">
        <v>805</v>
      </c>
      <c r="G48" s="154" t="s">
        <v>814</v>
      </c>
      <c r="H48" s="155" t="s">
        <v>857</v>
      </c>
      <c r="I48" s="238" t="s">
        <v>80</v>
      </c>
      <c r="J48" s="239" t="s">
        <v>515</v>
      </c>
      <c r="K48" s="246" t="s">
        <v>515</v>
      </c>
      <c r="L48" s="156"/>
      <c r="M48" s="240" t="s">
        <v>80</v>
      </c>
      <c r="N48" s="156"/>
    </row>
    <row r="49" spans="2:14" ht="41.25" customHeight="1" x14ac:dyDescent="0.3">
      <c r="B49" s="154" t="s">
        <v>586</v>
      </c>
      <c r="C49" s="154"/>
      <c r="D49" s="154"/>
      <c r="E49" s="154" t="s">
        <v>799</v>
      </c>
      <c r="F49" s="237" t="s">
        <v>805</v>
      </c>
      <c r="G49" s="154" t="s">
        <v>610</v>
      </c>
      <c r="H49" s="155" t="s">
        <v>858</v>
      </c>
      <c r="I49" s="238" t="s">
        <v>553</v>
      </c>
      <c r="J49" s="239" t="s">
        <v>864</v>
      </c>
      <c r="K49" s="245" t="s">
        <v>885</v>
      </c>
      <c r="L49" s="155"/>
      <c r="M49" s="240" t="s">
        <v>80</v>
      </c>
      <c r="N49" s="155"/>
    </row>
    <row r="50" spans="2:14" ht="41.25" customHeight="1" x14ac:dyDescent="0.3">
      <c r="B50" s="154" t="s">
        <v>756</v>
      </c>
      <c r="C50" s="154"/>
      <c r="D50" s="154"/>
      <c r="E50" s="154" t="s">
        <v>800</v>
      </c>
      <c r="F50" s="237" t="s">
        <v>805</v>
      </c>
      <c r="G50" s="154" t="s">
        <v>612</v>
      </c>
      <c r="H50" s="155" t="s">
        <v>859</v>
      </c>
      <c r="I50" s="238"/>
      <c r="J50" s="239"/>
      <c r="K50" s="237" t="s">
        <v>135</v>
      </c>
      <c r="L50" s="154"/>
      <c r="M50" s="240" t="s">
        <v>80</v>
      </c>
      <c r="N50" s="154"/>
    </row>
    <row r="51" spans="2:14" ht="41.25" customHeight="1" x14ac:dyDescent="0.3">
      <c r="B51" s="154" t="s">
        <v>756</v>
      </c>
      <c r="C51" s="154"/>
      <c r="D51" s="154"/>
      <c r="E51" s="154" t="s">
        <v>801</v>
      </c>
      <c r="F51" s="237" t="s">
        <v>805</v>
      </c>
      <c r="G51" s="154" t="s">
        <v>615</v>
      </c>
      <c r="H51" s="155" t="s">
        <v>860</v>
      </c>
      <c r="I51" s="238"/>
      <c r="J51" s="239" t="s">
        <v>864</v>
      </c>
      <c r="K51" s="237"/>
      <c r="L51" s="154"/>
      <c r="M51" s="240"/>
      <c r="N51" s="154"/>
    </row>
    <row r="52" spans="2:14" ht="41.25" customHeight="1" x14ac:dyDescent="0.3">
      <c r="B52" s="154" t="s">
        <v>756</v>
      </c>
      <c r="C52" s="154"/>
      <c r="D52" s="154"/>
      <c r="E52" s="154" t="s">
        <v>802</v>
      </c>
      <c r="F52" s="237" t="s">
        <v>805</v>
      </c>
      <c r="G52" s="154" t="s">
        <v>613</v>
      </c>
      <c r="H52" s="155" t="s">
        <v>861</v>
      </c>
      <c r="I52" s="238"/>
      <c r="J52" s="241" t="s">
        <v>750</v>
      </c>
      <c r="K52" s="237"/>
      <c r="L52" s="154"/>
      <c r="M52" s="240"/>
      <c r="N52" s="154"/>
    </row>
    <row r="53" spans="2:14" ht="41.25" customHeight="1" x14ac:dyDescent="0.3">
      <c r="B53" s="154" t="s">
        <v>756</v>
      </c>
      <c r="C53" s="154"/>
      <c r="D53" s="154"/>
      <c r="E53" s="154" t="s">
        <v>803</v>
      </c>
      <c r="F53" s="237" t="s">
        <v>805</v>
      </c>
      <c r="G53" s="154" t="s">
        <v>614</v>
      </c>
      <c r="H53" s="155" t="s">
        <v>862</v>
      </c>
      <c r="I53" s="238"/>
      <c r="J53" s="241" t="s">
        <v>750</v>
      </c>
      <c r="K53" s="246"/>
      <c r="L53" s="156"/>
      <c r="M53" s="240"/>
      <c r="N53" s="154"/>
    </row>
    <row r="54" spans="2:14" ht="41.25" customHeight="1" x14ac:dyDescent="0.3">
      <c r="B54" s="154" t="s">
        <v>756</v>
      </c>
      <c r="C54" s="154"/>
      <c r="D54" s="154"/>
      <c r="E54" s="154" t="s">
        <v>804</v>
      </c>
      <c r="F54" s="237" t="s">
        <v>805</v>
      </c>
      <c r="G54" s="154" t="s">
        <v>616</v>
      </c>
      <c r="H54" s="155" t="s">
        <v>863</v>
      </c>
      <c r="I54" s="238"/>
      <c r="J54" s="239" t="s">
        <v>750</v>
      </c>
      <c r="K54" s="246"/>
      <c r="L54" s="156"/>
      <c r="M54" s="240"/>
      <c r="N54" s="154"/>
    </row>
    <row r="55" spans="2:14" ht="41.25" customHeight="1" x14ac:dyDescent="0.3">
      <c r="M55" s="121"/>
      <c r="N55" s="121"/>
    </row>
    <row r="56" spans="2:14" ht="41.25" customHeight="1" x14ac:dyDescent="0.3"/>
    <row r="57" spans="2:14" ht="41.25" customHeight="1" x14ac:dyDescent="0.3"/>
    <row r="58" spans="2:14" ht="41.25" customHeight="1" x14ac:dyDescent="0.3"/>
    <row r="59" spans="2:14" ht="41.25" customHeight="1" x14ac:dyDescent="0.3"/>
    <row r="60" spans="2:14" ht="41.25" customHeight="1" x14ac:dyDescent="0.3"/>
    <row r="61" spans="2:14" ht="41.25" customHeight="1" x14ac:dyDescent="0.3"/>
    <row r="62" spans="2:14" ht="41.25" customHeight="1" x14ac:dyDescent="0.3"/>
    <row r="63" spans="2:14" ht="41.25" customHeight="1" x14ac:dyDescent="0.3"/>
    <row r="64" spans="2:14" ht="41.25" customHeight="1" x14ac:dyDescent="0.3"/>
    <row r="65" ht="41.25" customHeight="1" x14ac:dyDescent="0.3"/>
  </sheetData>
  <phoneticPr fontId="50" type="noConversion"/>
  <pageMargins left="0.511811024" right="0.511811024" top="0.78740157499999996" bottom="0.78740157499999996" header="0.31496062000000002" footer="0.31496062000000002"/>
  <pageSetup paperSize="9" orientation="portrait" r:id="rId1"/>
  <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4.9989318521683403E-2"/>
  </sheetPr>
  <dimension ref="B1:F1000"/>
  <sheetViews>
    <sheetView showGridLines="0" zoomScale="80" zoomScaleNormal="80" workbookViewId="0">
      <selection activeCell="D1" sqref="D1"/>
    </sheetView>
  </sheetViews>
  <sheetFormatPr defaultColWidth="12.59765625" defaultRowHeight="15" customHeight="1" x14ac:dyDescent="0.25"/>
  <cols>
    <col min="1" max="1" width="2.59765625" customWidth="1"/>
    <col min="2" max="2" width="10.09765625" customWidth="1"/>
    <col min="3" max="3" width="20.59765625" customWidth="1"/>
    <col min="4" max="4" width="46.59765625" customWidth="1"/>
    <col min="5" max="5" width="51.09765625" customWidth="1"/>
    <col min="6" max="6" width="54.59765625" customWidth="1"/>
    <col min="7" max="26" width="7.59765625" customWidth="1"/>
  </cols>
  <sheetData>
    <row r="1" spans="2:6" ht="29.55" customHeight="1" x14ac:dyDescent="0.3">
      <c r="B1" s="1" t="s">
        <v>0</v>
      </c>
    </row>
    <row r="2" spans="2:6" ht="72" x14ac:dyDescent="0.25">
      <c r="B2" s="193" t="s">
        <v>1</v>
      </c>
      <c r="C2" s="194" t="s">
        <v>2</v>
      </c>
      <c r="D2" s="192" t="s">
        <v>3</v>
      </c>
      <c r="E2" s="192" t="s">
        <v>4</v>
      </c>
      <c r="F2" s="192" t="s">
        <v>5</v>
      </c>
    </row>
    <row r="3" spans="2:6" ht="66" customHeight="1" x14ac:dyDescent="0.25">
      <c r="B3" s="197" t="s">
        <v>6</v>
      </c>
      <c r="C3" s="198" t="s">
        <v>7</v>
      </c>
      <c r="D3" s="199" t="s">
        <v>8</v>
      </c>
      <c r="E3" s="391" t="s">
        <v>9</v>
      </c>
      <c r="F3" s="392"/>
    </row>
    <row r="4" spans="2:6" ht="100.8" x14ac:dyDescent="0.25">
      <c r="B4" s="195" t="s">
        <v>10</v>
      </c>
      <c r="C4" s="196" t="s">
        <v>11</v>
      </c>
      <c r="D4" s="192" t="s">
        <v>12</v>
      </c>
      <c r="E4" s="192" t="s">
        <v>13</v>
      </c>
      <c r="F4" s="192" t="s">
        <v>14</v>
      </c>
    </row>
    <row r="5" spans="2:6" ht="90" customHeight="1" x14ac:dyDescent="0.25">
      <c r="B5" s="197" t="s">
        <v>10</v>
      </c>
      <c r="C5" s="198" t="s">
        <v>15</v>
      </c>
      <c r="D5" s="199" t="s">
        <v>16</v>
      </c>
      <c r="E5" s="391" t="s">
        <v>17</v>
      </c>
      <c r="F5" s="392"/>
    </row>
    <row r="7" spans="2:6" ht="13.8" x14ac:dyDescent="0.25">
      <c r="C7" s="4" t="s">
        <v>18</v>
      </c>
    </row>
    <row r="9" spans="2:6" ht="13.8" x14ac:dyDescent="0.25">
      <c r="C9" s="5" t="s">
        <v>19</v>
      </c>
    </row>
    <row r="10" spans="2:6" ht="14.4" x14ac:dyDescent="0.25">
      <c r="C10" s="6"/>
    </row>
    <row r="11" spans="2:6" ht="13.8" x14ac:dyDescent="0.25">
      <c r="C11" s="7" t="s">
        <v>20</v>
      </c>
    </row>
    <row r="12" spans="2:6" ht="13.8" x14ac:dyDescent="0.25">
      <c r="C12" s="7" t="s">
        <v>21</v>
      </c>
    </row>
    <row r="13" spans="2:6" ht="13.8" x14ac:dyDescent="0.25">
      <c r="C13" s="7" t="s">
        <v>22</v>
      </c>
    </row>
    <row r="15" spans="2:6" ht="22.8" x14ac:dyDescent="0.25">
      <c r="C15" s="8" t="s">
        <v>23</v>
      </c>
    </row>
    <row r="16" spans="2:6" ht="14.4" x14ac:dyDescent="0.3">
      <c r="C16" s="9"/>
    </row>
    <row r="17" spans="3:6" ht="17.399999999999999" x14ac:dyDescent="0.25">
      <c r="C17" s="10" t="s">
        <v>24</v>
      </c>
    </row>
    <row r="18" spans="3:6" ht="14.4" x14ac:dyDescent="0.3">
      <c r="C18" s="9"/>
    </row>
    <row r="19" spans="3:6" ht="13.8" x14ac:dyDescent="0.25">
      <c r="C19" s="5" t="s">
        <v>25</v>
      </c>
    </row>
    <row r="20" spans="3:6" ht="14.4" x14ac:dyDescent="0.25">
      <c r="C20" s="11"/>
    </row>
    <row r="21" spans="3:6" ht="15.75" customHeight="1" x14ac:dyDescent="0.25">
      <c r="C21" s="12" t="s">
        <v>26</v>
      </c>
    </row>
    <row r="22" spans="3:6" ht="15.75" customHeight="1" x14ac:dyDescent="0.25">
      <c r="C22" s="12" t="s">
        <v>27</v>
      </c>
    </row>
    <row r="23" spans="3:6" ht="15.75" customHeight="1" x14ac:dyDescent="0.3">
      <c r="C23" s="9"/>
    </row>
    <row r="24" spans="3:6" ht="15.75" customHeight="1" x14ac:dyDescent="0.25">
      <c r="C24" s="10" t="s">
        <v>28</v>
      </c>
    </row>
    <row r="25" spans="3:6" ht="15.75" customHeight="1" x14ac:dyDescent="0.3">
      <c r="C25" s="9"/>
    </row>
    <row r="26" spans="3:6" ht="15.75" customHeight="1" x14ac:dyDescent="0.25">
      <c r="C26" s="5" t="s">
        <v>569</v>
      </c>
    </row>
    <row r="27" spans="3:6" ht="15.75" customHeight="1" x14ac:dyDescent="0.3">
      <c r="C27" s="9"/>
    </row>
    <row r="28" spans="3:6" ht="15.75" customHeight="1" x14ac:dyDescent="0.25">
      <c r="C28" s="10" t="s">
        <v>29</v>
      </c>
    </row>
    <row r="29" spans="3:6" ht="15.75" customHeight="1" x14ac:dyDescent="0.3">
      <c r="C29" s="9"/>
    </row>
    <row r="30" spans="3:6" ht="15.75" customHeight="1" x14ac:dyDescent="0.25">
      <c r="C30" s="117" t="s">
        <v>570</v>
      </c>
    </row>
    <row r="31" spans="3:6" ht="15.75" customHeight="1" x14ac:dyDescent="0.3">
      <c r="C31" s="9"/>
    </row>
    <row r="32" spans="3:6" ht="15.75" customHeight="1" x14ac:dyDescent="0.3">
      <c r="C32" s="1"/>
      <c r="D32" s="247" t="s">
        <v>653</v>
      </c>
      <c r="E32" s="393" t="s">
        <v>654</v>
      </c>
      <c r="F32" s="393"/>
    </row>
    <row r="33" spans="4:6" ht="15.75" customHeight="1" thickBot="1" x14ac:dyDescent="0.3">
      <c r="D33" s="248"/>
      <c r="E33" s="249" t="s">
        <v>655</v>
      </c>
      <c r="F33" s="249" t="s">
        <v>656</v>
      </c>
    </row>
    <row r="34" spans="4:6" ht="15.75" customHeight="1" x14ac:dyDescent="0.25">
      <c r="D34" s="200" t="s">
        <v>660</v>
      </c>
      <c r="E34" s="201" t="s">
        <v>659</v>
      </c>
      <c r="F34" s="202" t="s">
        <v>657</v>
      </c>
    </row>
    <row r="35" spans="4:6" ht="33.6" customHeight="1" thickBot="1" x14ac:dyDescent="0.3">
      <c r="D35" s="203" t="s">
        <v>661</v>
      </c>
      <c r="E35" s="204" t="s">
        <v>659</v>
      </c>
      <c r="F35" s="205" t="s">
        <v>658</v>
      </c>
    </row>
    <row r="36" spans="4:6" ht="15.75" customHeight="1" x14ac:dyDescent="0.25"/>
    <row r="37" spans="4:6" ht="15.75" customHeight="1" x14ac:dyDescent="0.25"/>
    <row r="38" spans="4:6" ht="15.75" customHeight="1" x14ac:dyDescent="0.25"/>
    <row r="39" spans="4:6" ht="15.75" customHeight="1" x14ac:dyDescent="0.25"/>
    <row r="40" spans="4:6" ht="15.75" customHeight="1" x14ac:dyDescent="0.25"/>
    <row r="41" spans="4:6" ht="15.75" customHeight="1" x14ac:dyDescent="0.25"/>
    <row r="42" spans="4:6" ht="15.75" customHeight="1" x14ac:dyDescent="0.25"/>
    <row r="43" spans="4:6" ht="15.75" customHeight="1" x14ac:dyDescent="0.25"/>
    <row r="44" spans="4:6" ht="15.75" customHeight="1" x14ac:dyDescent="0.25"/>
    <row r="45" spans="4:6" ht="15.75" customHeight="1" x14ac:dyDescent="0.25"/>
    <row r="46" spans="4:6" ht="15.75" customHeight="1" x14ac:dyDescent="0.25"/>
    <row r="47" spans="4:6" ht="15.75" customHeight="1" x14ac:dyDescent="0.25"/>
    <row r="48" spans="4: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E3:F3"/>
    <mergeCell ref="E5:F5"/>
    <mergeCell ref="E32:F32"/>
  </mergeCells>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1000"/>
  <sheetViews>
    <sheetView showGridLines="0" topLeftCell="D13" zoomScale="80" zoomScaleNormal="80" workbookViewId="0"/>
  </sheetViews>
  <sheetFormatPr defaultColWidth="12.59765625" defaultRowHeight="15" customHeight="1" x14ac:dyDescent="0.25"/>
  <cols>
    <col min="1" max="3" width="7.59765625" customWidth="1"/>
    <col min="4" max="4" width="26.09765625" customWidth="1"/>
    <col min="5" max="5" width="7.59765625" customWidth="1"/>
    <col min="6" max="6" width="7.5" bestFit="1" customWidth="1"/>
    <col min="7" max="7" width="10.19921875" bestFit="1" customWidth="1"/>
    <col min="8" max="26" width="7.59765625" customWidth="1"/>
  </cols>
  <sheetData>
    <row r="1" spans="4:12" ht="14.4" x14ac:dyDescent="0.3">
      <c r="E1" s="13">
        <f>SUM(E2:E4)</f>
        <v>0.5</v>
      </c>
    </row>
    <row r="2" spans="4:12" ht="14.4" x14ac:dyDescent="0.3">
      <c r="D2" s="9" t="s">
        <v>30</v>
      </c>
      <c r="E2" s="13">
        <f>50%-E3-E4</f>
        <v>0.125</v>
      </c>
      <c r="F2" s="13">
        <f t="shared" ref="F2:F4" si="0">E2/$E$1</f>
        <v>0.25</v>
      </c>
    </row>
    <row r="3" spans="4:12" ht="14.4" x14ac:dyDescent="0.3">
      <c r="D3" s="9" t="s">
        <v>31</v>
      </c>
      <c r="E3" s="13">
        <v>0.125</v>
      </c>
      <c r="F3" s="13">
        <f t="shared" si="0"/>
        <v>0.25</v>
      </c>
    </row>
    <row r="4" spans="4:12" ht="14.4" x14ac:dyDescent="0.3">
      <c r="D4" s="9" t="s">
        <v>32</v>
      </c>
      <c r="E4" s="13">
        <v>0.25</v>
      </c>
      <c r="F4" s="13">
        <f t="shared" si="0"/>
        <v>0.5</v>
      </c>
    </row>
    <row r="5" spans="4:12" ht="14.4" x14ac:dyDescent="0.3">
      <c r="E5" s="13">
        <v>0.5</v>
      </c>
    </row>
    <row r="6" spans="4:12" ht="14.4" x14ac:dyDescent="0.3">
      <c r="E6" s="396" t="s">
        <v>32</v>
      </c>
      <c r="F6" s="397"/>
      <c r="G6" s="398" t="s">
        <v>33</v>
      </c>
      <c r="H6" s="397"/>
      <c r="I6" s="399" t="s">
        <v>30</v>
      </c>
      <c r="J6" s="397"/>
      <c r="K6" s="399" t="s">
        <v>30</v>
      </c>
      <c r="L6" s="397"/>
    </row>
    <row r="7" spans="4:12" ht="14.4" x14ac:dyDescent="0.3">
      <c r="D7" s="9" t="s">
        <v>34</v>
      </c>
      <c r="E7" s="9">
        <v>0</v>
      </c>
      <c r="F7" s="13">
        <f>K23</f>
        <v>0.15384615384615385</v>
      </c>
      <c r="G7" s="9">
        <v>2</v>
      </c>
      <c r="H7" s="13">
        <f t="shared" ref="H7:H9" si="1">G7/$G$10</f>
        <v>0.14285714285714285</v>
      </c>
      <c r="I7" s="9">
        <v>15</v>
      </c>
      <c r="J7" s="13">
        <f t="shared" ref="J7:J9" si="2">I7/$I$10</f>
        <v>0.6</v>
      </c>
      <c r="K7" s="9">
        <v>15</v>
      </c>
      <c r="L7" s="13">
        <f t="shared" ref="L7:L9" si="3">K7/$K$10</f>
        <v>0.42857142857142855</v>
      </c>
    </row>
    <row r="8" spans="4:12" ht="14.4" x14ac:dyDescent="0.3">
      <c r="D8" s="9" t="s">
        <v>35</v>
      </c>
      <c r="E8" s="9">
        <v>5</v>
      </c>
      <c r="F8" s="13">
        <v>0.01</v>
      </c>
      <c r="G8" s="9">
        <v>5</v>
      </c>
      <c r="H8" s="13">
        <f t="shared" si="1"/>
        <v>0.35714285714285715</v>
      </c>
      <c r="I8" s="9">
        <v>5</v>
      </c>
      <c r="J8" s="13">
        <f t="shared" si="2"/>
        <v>0.2</v>
      </c>
      <c r="K8" s="9">
        <v>10</v>
      </c>
      <c r="L8" s="13">
        <f t="shared" si="3"/>
        <v>0.2857142857142857</v>
      </c>
    </row>
    <row r="9" spans="4:12" ht="14.4" x14ac:dyDescent="0.3">
      <c r="D9" s="9" t="s">
        <v>36</v>
      </c>
      <c r="E9" s="9">
        <v>15</v>
      </c>
      <c r="F9" s="13">
        <f>K21</f>
        <v>0.61538461538461542</v>
      </c>
      <c r="G9" s="9">
        <v>7</v>
      </c>
      <c r="H9" s="13">
        <f t="shared" si="1"/>
        <v>0.5</v>
      </c>
      <c r="I9" s="9">
        <v>5</v>
      </c>
      <c r="J9" s="13">
        <f t="shared" si="2"/>
        <v>0.2</v>
      </c>
      <c r="K9" s="9">
        <v>10</v>
      </c>
      <c r="L9" s="13">
        <f t="shared" si="3"/>
        <v>0.2857142857142857</v>
      </c>
    </row>
    <row r="10" spans="4:12" ht="14.4" x14ac:dyDescent="0.3">
      <c r="E10" s="1">
        <f t="shared" ref="E10:L10" si="4">SUM(E7:E9)</f>
        <v>20</v>
      </c>
      <c r="F10" s="14">
        <f t="shared" si="4"/>
        <v>0.77923076923076928</v>
      </c>
      <c r="G10" s="1">
        <f t="shared" si="4"/>
        <v>14</v>
      </c>
      <c r="H10" s="14">
        <f t="shared" si="4"/>
        <v>1</v>
      </c>
      <c r="I10" s="1">
        <f t="shared" si="4"/>
        <v>25</v>
      </c>
      <c r="J10" s="14">
        <f t="shared" si="4"/>
        <v>1</v>
      </c>
      <c r="K10" s="1">
        <f t="shared" si="4"/>
        <v>35</v>
      </c>
      <c r="L10" s="14">
        <f t="shared" si="4"/>
        <v>0.99999999999999989</v>
      </c>
    </row>
    <row r="12" spans="4:12" ht="36" customHeight="1" x14ac:dyDescent="0.3">
      <c r="D12" s="15" t="s">
        <v>37</v>
      </c>
      <c r="E12" s="394" t="s">
        <v>38</v>
      </c>
      <c r="F12" s="395"/>
      <c r="G12" s="395"/>
      <c r="H12" s="395"/>
      <c r="I12" s="395"/>
      <c r="J12" s="395"/>
      <c r="K12" s="395"/>
      <c r="L12" s="395"/>
    </row>
    <row r="13" spans="4:12" ht="63.75" customHeight="1" x14ac:dyDescent="0.3">
      <c r="D13" s="16" t="s">
        <v>39</v>
      </c>
      <c r="E13" s="394" t="s">
        <v>40</v>
      </c>
      <c r="F13" s="395"/>
      <c r="G13" s="395"/>
      <c r="H13" s="395"/>
      <c r="I13" s="395"/>
      <c r="J13" s="395"/>
      <c r="K13" s="395"/>
      <c r="L13" s="395"/>
    </row>
    <row r="14" spans="4:12" ht="63.75" customHeight="1" x14ac:dyDescent="0.3">
      <c r="D14" s="17" t="s">
        <v>41</v>
      </c>
      <c r="E14" s="394" t="s">
        <v>42</v>
      </c>
      <c r="F14" s="395"/>
      <c r="G14" s="395"/>
      <c r="H14" s="395"/>
      <c r="I14" s="395"/>
      <c r="J14" s="395"/>
      <c r="K14" s="395"/>
      <c r="L14" s="395"/>
    </row>
    <row r="15" spans="4:12" ht="44.25" customHeight="1" x14ac:dyDescent="0.3">
      <c r="D15" s="17" t="s">
        <v>43</v>
      </c>
      <c r="E15" s="394" t="s">
        <v>44</v>
      </c>
      <c r="F15" s="395"/>
      <c r="G15" s="395"/>
      <c r="H15" s="395"/>
      <c r="I15" s="395"/>
      <c r="J15" s="395"/>
      <c r="K15" s="395"/>
      <c r="L15" s="395"/>
    </row>
    <row r="19" spans="2:11" ht="14.4" x14ac:dyDescent="0.3">
      <c r="D19" s="1"/>
      <c r="E19" s="1"/>
      <c r="F19" s="1"/>
      <c r="G19" s="1"/>
      <c r="H19" s="1"/>
      <c r="I19" s="1"/>
      <c r="J19" s="1"/>
      <c r="K19" s="1"/>
    </row>
    <row r="20" spans="2:11" ht="14.4" x14ac:dyDescent="0.3">
      <c r="B20" s="250"/>
      <c r="C20" s="250"/>
      <c r="D20" s="250"/>
      <c r="E20" s="250" t="s">
        <v>45</v>
      </c>
      <c r="F20" s="250" t="s">
        <v>46</v>
      </c>
      <c r="G20" s="250" t="s">
        <v>47</v>
      </c>
    </row>
    <row r="21" spans="2:11" ht="15.75" customHeight="1" x14ac:dyDescent="0.3">
      <c r="D21" s="18"/>
      <c r="E21" s="9" t="s">
        <v>48</v>
      </c>
      <c r="F21" s="19" t="s">
        <v>49</v>
      </c>
      <c r="G21" s="9">
        <v>1</v>
      </c>
      <c r="I21" s="17" t="s">
        <v>50</v>
      </c>
      <c r="J21" s="17">
        <f t="shared" ref="J21:J23" si="5">SUMIF($F$21:$F$46,$I21,$G$21:$G$46)</f>
        <v>8</v>
      </c>
      <c r="K21" s="20">
        <f t="shared" ref="K21:K23" si="6">J21/$J$24</f>
        <v>0.61538461538461542</v>
      </c>
    </row>
    <row r="22" spans="2:11" ht="15.75" customHeight="1" x14ac:dyDescent="0.3">
      <c r="D22" s="18"/>
      <c r="E22" s="9" t="s">
        <v>51</v>
      </c>
      <c r="F22" s="19" t="s">
        <v>49</v>
      </c>
      <c r="G22" s="9">
        <v>1</v>
      </c>
      <c r="I22" s="16" t="s">
        <v>52</v>
      </c>
      <c r="J22" s="16">
        <f t="shared" si="5"/>
        <v>3</v>
      </c>
      <c r="K22" s="21">
        <f t="shared" si="6"/>
        <v>0.23076923076923078</v>
      </c>
    </row>
    <row r="23" spans="2:11" ht="15.75" customHeight="1" x14ac:dyDescent="0.3">
      <c r="D23" s="18"/>
      <c r="E23" s="9" t="s">
        <v>53</v>
      </c>
      <c r="F23" s="19" t="s">
        <v>49</v>
      </c>
      <c r="G23" s="9">
        <v>1</v>
      </c>
      <c r="I23" s="22" t="s">
        <v>54</v>
      </c>
      <c r="J23" s="22">
        <f t="shared" si="5"/>
        <v>2</v>
      </c>
      <c r="K23" s="15">
        <f t="shared" si="6"/>
        <v>0.15384615384615385</v>
      </c>
    </row>
    <row r="24" spans="2:11" ht="15.75" customHeight="1" x14ac:dyDescent="0.3">
      <c r="D24" s="23"/>
      <c r="E24" s="9" t="s">
        <v>55</v>
      </c>
      <c r="F24" s="19" t="s">
        <v>49</v>
      </c>
      <c r="G24" s="9">
        <v>1</v>
      </c>
      <c r="J24" s="1">
        <f t="shared" ref="J24:K24" si="7">SUM(J21:J23)</f>
        <v>13</v>
      </c>
      <c r="K24" s="14">
        <f t="shared" si="7"/>
        <v>1</v>
      </c>
    </row>
    <row r="25" spans="2:11" ht="15.75" customHeight="1" x14ac:dyDescent="0.3">
      <c r="D25" s="23"/>
      <c r="E25" s="9" t="s">
        <v>56</v>
      </c>
      <c r="F25" s="19" t="s">
        <v>49</v>
      </c>
      <c r="G25" s="9">
        <v>1</v>
      </c>
    </row>
    <row r="26" spans="2:11" ht="15.75" customHeight="1" x14ac:dyDescent="0.3">
      <c r="D26" s="23"/>
      <c r="E26" s="9" t="s">
        <v>57</v>
      </c>
      <c r="F26" s="19" t="s">
        <v>49</v>
      </c>
      <c r="G26" s="9">
        <v>1</v>
      </c>
    </row>
    <row r="27" spans="2:11" ht="15.75" customHeight="1" x14ac:dyDescent="0.3">
      <c r="D27" s="18"/>
      <c r="E27" s="9" t="s">
        <v>58</v>
      </c>
      <c r="F27" s="19" t="s">
        <v>59</v>
      </c>
      <c r="G27" s="9">
        <v>1</v>
      </c>
    </row>
    <row r="28" spans="2:11" ht="15.75" customHeight="1" x14ac:dyDescent="0.3">
      <c r="D28" s="18"/>
      <c r="E28" s="9" t="s">
        <v>60</v>
      </c>
      <c r="F28" s="19" t="s">
        <v>61</v>
      </c>
      <c r="G28" s="9">
        <v>1</v>
      </c>
    </row>
    <row r="29" spans="2:11" ht="15.75" customHeight="1" x14ac:dyDescent="0.3">
      <c r="D29" s="23"/>
      <c r="E29" s="9" t="s">
        <v>62</v>
      </c>
      <c r="F29" s="19" t="s">
        <v>49</v>
      </c>
      <c r="G29" s="9">
        <v>1</v>
      </c>
    </row>
    <row r="30" spans="2:11" ht="15.75" customHeight="1" x14ac:dyDescent="0.3">
      <c r="D30" s="23"/>
      <c r="E30" s="9" t="s">
        <v>63</v>
      </c>
      <c r="F30" s="19" t="s">
        <v>49</v>
      </c>
      <c r="G30" s="9">
        <v>1</v>
      </c>
    </row>
    <row r="31" spans="2:11" ht="15.75" customHeight="1" x14ac:dyDescent="0.3">
      <c r="D31" s="18"/>
      <c r="E31" s="9" t="s">
        <v>64</v>
      </c>
      <c r="F31" s="19" t="s">
        <v>61</v>
      </c>
      <c r="G31" s="9">
        <v>1</v>
      </c>
    </row>
    <row r="32" spans="2:11" ht="15.75" customHeight="1" x14ac:dyDescent="0.3">
      <c r="D32" s="23"/>
      <c r="E32" s="9" t="s">
        <v>65</v>
      </c>
      <c r="F32" s="19" t="s">
        <v>59</v>
      </c>
      <c r="G32" s="9">
        <v>1</v>
      </c>
    </row>
    <row r="33" spans="2:9" ht="15.75" customHeight="1" x14ac:dyDescent="0.3">
      <c r="D33" s="23"/>
      <c r="E33" s="9" t="s">
        <v>66</v>
      </c>
      <c r="F33" s="19" t="s">
        <v>59</v>
      </c>
      <c r="G33" s="9">
        <v>1</v>
      </c>
    </row>
    <row r="34" spans="2:9" ht="15.75" customHeight="1" x14ac:dyDescent="0.3">
      <c r="D34" s="23"/>
      <c r="E34" s="9" t="s">
        <v>67</v>
      </c>
      <c r="F34" s="24"/>
      <c r="G34" s="9">
        <v>1</v>
      </c>
    </row>
    <row r="35" spans="2:9" ht="15.75" customHeight="1" x14ac:dyDescent="0.3">
      <c r="D35" s="23"/>
      <c r="E35" s="9" t="s">
        <v>68</v>
      </c>
      <c r="F35" s="24"/>
      <c r="G35" s="9">
        <v>1</v>
      </c>
    </row>
    <row r="36" spans="2:9" ht="15.75" customHeight="1" x14ac:dyDescent="0.3">
      <c r="D36" s="23"/>
      <c r="E36" s="9" t="s">
        <v>69</v>
      </c>
    </row>
    <row r="37" spans="2:9" ht="15.75" customHeight="1" x14ac:dyDescent="0.3">
      <c r="E37" s="9" t="s">
        <v>70</v>
      </c>
    </row>
    <row r="38" spans="2:9" ht="15.75" customHeight="1" x14ac:dyDescent="0.3">
      <c r="E38" s="9" t="s">
        <v>71</v>
      </c>
    </row>
    <row r="39" spans="2:9" ht="15.75" customHeight="1" x14ac:dyDescent="0.3">
      <c r="E39" s="9" t="s">
        <v>72</v>
      </c>
    </row>
    <row r="40" spans="2:9" ht="15.75" customHeight="1" x14ac:dyDescent="0.3">
      <c r="E40" s="9" t="s">
        <v>73</v>
      </c>
    </row>
    <row r="41" spans="2:9" ht="15.75" customHeight="1" x14ac:dyDescent="0.3">
      <c r="E41" s="9" t="s">
        <v>74</v>
      </c>
    </row>
    <row r="42" spans="2:9" ht="15.75" customHeight="1" x14ac:dyDescent="0.3">
      <c r="E42" s="9" t="s">
        <v>75</v>
      </c>
    </row>
    <row r="43" spans="2:9" ht="15.75" customHeight="1" x14ac:dyDescent="0.3">
      <c r="E43" s="9" t="s">
        <v>76</v>
      </c>
    </row>
    <row r="44" spans="2:9" ht="15.75" customHeight="1" x14ac:dyDescent="0.3">
      <c r="E44" s="9" t="s">
        <v>77</v>
      </c>
    </row>
    <row r="45" spans="2:9" ht="15.75" customHeight="1" x14ac:dyDescent="0.3">
      <c r="E45" s="9" t="s">
        <v>78</v>
      </c>
    </row>
    <row r="46" spans="2:9" ht="15.75" customHeight="1" x14ac:dyDescent="0.3">
      <c r="E46" s="9" t="s">
        <v>79</v>
      </c>
    </row>
    <row r="47" spans="2:9" ht="15.75" customHeight="1" x14ac:dyDescent="0.3">
      <c r="B47" s="9" t="s">
        <v>80</v>
      </c>
      <c r="C47" s="9" t="s">
        <v>80</v>
      </c>
      <c r="D47" s="9" t="s">
        <v>80</v>
      </c>
      <c r="E47" s="9" t="s">
        <v>80</v>
      </c>
      <c r="F47" s="9" t="s">
        <v>80</v>
      </c>
      <c r="G47" s="9" t="s">
        <v>80</v>
      </c>
      <c r="H47" s="9" t="s">
        <v>80</v>
      </c>
      <c r="I47" s="9" t="s">
        <v>80</v>
      </c>
    </row>
    <row r="48" spans="2:9"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8">
    <mergeCell ref="E13:L13"/>
    <mergeCell ref="E14:L14"/>
    <mergeCell ref="E15:L15"/>
    <mergeCell ref="E6:F6"/>
    <mergeCell ref="G6:H6"/>
    <mergeCell ref="I6:J6"/>
    <mergeCell ref="K6:L6"/>
    <mergeCell ref="E12:L12"/>
  </mergeCells>
  <phoneticPr fontId="50" type="noConversion"/>
  <conditionalFormatting sqref="F34:F35">
    <cfRule type="containsText" dxfId="232" priority="1" operator="containsText" text="BAIXO IMPACTO">
      <formula>NOT(ISERROR(SEARCH(("BAIXO IMPACTO"),(F34))))</formula>
    </cfRule>
  </conditionalFormatting>
  <conditionalFormatting sqref="F34:F35">
    <cfRule type="containsText" dxfId="231" priority="2" operator="containsText" text="MÉDIO IMPACTO">
      <formula>NOT(ISERROR(SEARCH(("MÉDIO IMPACTO"),(F34))))</formula>
    </cfRule>
  </conditionalFormatting>
  <conditionalFormatting sqref="F34:F35">
    <cfRule type="containsText" dxfId="230" priority="3" operator="containsText" text="ALTO IMPACTO">
      <formula>NOT(ISERROR(SEARCH(("ALTO IMPACTO"),(F34))))</formula>
    </cfRule>
  </conditionalFormatting>
  <conditionalFormatting sqref="F21:F33">
    <cfRule type="containsText" dxfId="229" priority="4" operator="containsText" text="BAIXO IMPACTO">
      <formula>NOT(ISERROR(SEARCH(("BAIXO IMPACTO"),(F21))))</formula>
    </cfRule>
  </conditionalFormatting>
  <conditionalFormatting sqref="F21:F33">
    <cfRule type="containsText" dxfId="228" priority="5" operator="containsText" text="MÉDIO IMPACTO">
      <formula>NOT(ISERROR(SEARCH(("MÉDIO IMPACTO"),(F21))))</formula>
    </cfRule>
  </conditionalFormatting>
  <conditionalFormatting sqref="F21:F33">
    <cfRule type="containsText" dxfId="227" priority="6" operator="containsText" text="ALTO IMPACTO">
      <formula>NOT(ISERROR(SEARCH(("ALTO IMPACTO"),(F21))))</formula>
    </cfRule>
  </conditionalFormatting>
  <dataValidations disablePrompts="1" count="1">
    <dataValidation type="list" allowBlank="1" showErrorMessage="1" sqref="F21:F35" xr:uid="{00000000-0002-0000-0100-000000000000}">
      <formula1>"ALTO IMPACTO,MÉDIO IMPACTO,BAIXO IMPACTO"</formula1>
    </dataValidation>
  </dataValidations>
  <pageMargins left="0.511811024" right="0.511811024" top="0.78740157499999996" bottom="0.78740157499999996"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40F8F-3941-4E88-AD41-8F92F67D13DC}">
  <sheetPr>
    <tabColor rgb="FF273A77"/>
  </sheetPr>
  <dimension ref="B1:N84"/>
  <sheetViews>
    <sheetView showGridLines="0" zoomScale="60" zoomScaleNormal="60" workbookViewId="0">
      <pane ySplit="7" topLeftCell="A8" activePane="bottomLeft" state="frozen"/>
      <selection pane="bottomLeft" activeCell="H8" sqref="H8"/>
    </sheetView>
  </sheetViews>
  <sheetFormatPr defaultColWidth="9" defaultRowHeight="13.8" x14ac:dyDescent="0.25"/>
  <cols>
    <col min="1" max="1" width="5.796875" style="135" customWidth="1"/>
    <col min="2" max="2" width="9" style="141"/>
    <col min="3" max="3" width="32" style="139" customWidth="1"/>
    <col min="4" max="4" width="36.09765625" style="311" customWidth="1"/>
    <col min="5" max="5" width="32" style="371" customWidth="1"/>
    <col min="6" max="6" width="39.19921875" style="135" customWidth="1"/>
    <col min="7" max="7" width="47.19921875" style="135" customWidth="1"/>
    <col min="8" max="8" width="16.796875" style="135" customWidth="1"/>
    <col min="9" max="9" width="23.19921875" style="135" customWidth="1"/>
    <col min="10" max="10" width="29" style="135" customWidth="1"/>
    <col min="11" max="11" width="11.296875" style="135" bestFit="1" customWidth="1"/>
    <col min="12" max="12" width="11.296875" style="135" customWidth="1"/>
    <col min="13" max="13" width="16.69921875" style="147" bestFit="1" customWidth="1"/>
    <col min="14" max="16384" width="9" style="135"/>
  </cols>
  <sheetData>
    <row r="1" spans="2:13" ht="41.55" customHeight="1" x14ac:dyDescent="0.25">
      <c r="B1" s="135"/>
      <c r="C1" s="135"/>
      <c r="D1" s="136"/>
    </row>
    <row r="2" spans="2:13" x14ac:dyDescent="0.25">
      <c r="B2" s="234" t="s">
        <v>904</v>
      </c>
      <c r="C2" s="135"/>
      <c r="D2" s="136"/>
    </row>
    <row r="3" spans="2:13" x14ac:dyDescent="0.25">
      <c r="B3" s="235" t="s">
        <v>890</v>
      </c>
      <c r="C3" s="135"/>
      <c r="D3" s="136"/>
    </row>
    <row r="4" spans="2:13" x14ac:dyDescent="0.25">
      <c r="B4" s="236" t="s">
        <v>906</v>
      </c>
      <c r="C4" s="135"/>
      <c r="D4" s="136"/>
    </row>
    <row r="5" spans="2:13" x14ac:dyDescent="0.25">
      <c r="B5" s="135"/>
      <c r="C5" s="135"/>
      <c r="D5" s="136"/>
    </row>
    <row r="6" spans="2:13" ht="14.4" hidden="1" x14ac:dyDescent="0.25">
      <c r="B6" s="137">
        <v>2</v>
      </c>
      <c r="C6" s="137">
        <v>2</v>
      </c>
      <c r="D6" s="138"/>
      <c r="E6" s="372"/>
      <c r="F6" s="137"/>
      <c r="G6" s="137"/>
      <c r="H6" s="137">
        <v>7</v>
      </c>
      <c r="I6" s="137">
        <v>8</v>
      </c>
      <c r="J6" s="137">
        <v>8</v>
      </c>
      <c r="K6" s="137">
        <v>8</v>
      </c>
      <c r="L6" s="137"/>
      <c r="M6" s="146">
        <v>8</v>
      </c>
    </row>
    <row r="7" spans="2:13" ht="45" customHeight="1" x14ac:dyDescent="0.25">
      <c r="B7" s="308" t="s">
        <v>886</v>
      </c>
      <c r="C7" s="309" t="s">
        <v>125</v>
      </c>
      <c r="D7" s="310" t="s">
        <v>290</v>
      </c>
      <c r="E7" s="373" t="s">
        <v>128</v>
      </c>
      <c r="F7" s="309" t="s">
        <v>740</v>
      </c>
      <c r="G7" s="309" t="s">
        <v>741</v>
      </c>
      <c r="H7" s="309" t="s">
        <v>46</v>
      </c>
      <c r="I7" s="309" t="s">
        <v>130</v>
      </c>
      <c r="J7" s="309" t="s">
        <v>887</v>
      </c>
      <c r="K7" s="309" t="s">
        <v>130</v>
      </c>
      <c r="L7" s="309"/>
      <c r="M7" s="309" t="s">
        <v>130</v>
      </c>
    </row>
    <row r="8" spans="2:13" ht="100.8" x14ac:dyDescent="0.25">
      <c r="B8" s="159" t="s">
        <v>734</v>
      </c>
      <c r="C8" s="312" t="s">
        <v>132</v>
      </c>
      <c r="D8" s="313" t="s">
        <v>133</v>
      </c>
      <c r="E8" s="314">
        <v>47819.880000000056</v>
      </c>
      <c r="F8" s="315" t="s">
        <v>923</v>
      </c>
      <c r="G8" s="315" t="s">
        <v>924</v>
      </c>
      <c r="H8" s="316" t="s">
        <v>283</v>
      </c>
      <c r="I8" s="315" t="s">
        <v>892</v>
      </c>
      <c r="J8" s="317" t="s">
        <v>84</v>
      </c>
      <c r="K8" s="315"/>
      <c r="L8" s="387" t="s">
        <v>922</v>
      </c>
      <c r="M8" s="315"/>
    </row>
    <row r="9" spans="2:13" ht="100.8" x14ac:dyDescent="0.25">
      <c r="B9" s="159" t="s">
        <v>735</v>
      </c>
      <c r="C9" s="318" t="s">
        <v>90</v>
      </c>
      <c r="D9" s="319" t="s">
        <v>142</v>
      </c>
      <c r="E9" s="320">
        <v>516.77</v>
      </c>
      <c r="F9" s="315" t="s">
        <v>925</v>
      </c>
      <c r="G9" s="315" t="s">
        <v>144</v>
      </c>
      <c r="H9" s="316" t="s">
        <v>283</v>
      </c>
      <c r="I9" s="315" t="s">
        <v>892</v>
      </c>
      <c r="J9" s="317" t="s">
        <v>104</v>
      </c>
      <c r="K9" s="316"/>
      <c r="L9" s="387" t="s">
        <v>922</v>
      </c>
      <c r="M9" s="316"/>
    </row>
    <row r="10" spans="2:13" ht="100.8" x14ac:dyDescent="0.25">
      <c r="B10" s="159" t="s">
        <v>736</v>
      </c>
      <c r="C10" s="318" t="s">
        <v>93</v>
      </c>
      <c r="D10" s="319" t="s">
        <v>149</v>
      </c>
      <c r="E10" s="314">
        <v>23309.370000000003</v>
      </c>
      <c r="F10" s="315" t="s">
        <v>926</v>
      </c>
      <c r="G10" s="315" t="s">
        <v>895</v>
      </c>
      <c r="H10" s="316" t="s">
        <v>195</v>
      </c>
      <c r="I10" s="315" t="s">
        <v>892</v>
      </c>
      <c r="J10" s="317" t="s">
        <v>84</v>
      </c>
      <c r="K10" s="316"/>
      <c r="L10" s="387" t="s">
        <v>922</v>
      </c>
      <c r="M10" s="316"/>
    </row>
    <row r="11" spans="2:13" ht="100.8" x14ac:dyDescent="0.25">
      <c r="B11" s="159" t="s">
        <v>737</v>
      </c>
      <c r="C11" s="318" t="s">
        <v>176</v>
      </c>
      <c r="D11" s="319" t="s">
        <v>177</v>
      </c>
      <c r="E11" s="314">
        <v>1087.3899999999999</v>
      </c>
      <c r="F11" s="315" t="s">
        <v>178</v>
      </c>
      <c r="G11" s="315" t="s">
        <v>927</v>
      </c>
      <c r="H11" s="316" t="s">
        <v>145</v>
      </c>
      <c r="I11" s="315" t="s">
        <v>892</v>
      </c>
      <c r="J11" s="317" t="s">
        <v>104</v>
      </c>
      <c r="K11" s="316"/>
      <c r="L11" s="387" t="s">
        <v>922</v>
      </c>
      <c r="M11" s="316"/>
    </row>
    <row r="12" spans="2:13" ht="100.8" x14ac:dyDescent="0.25">
      <c r="B12" s="159" t="s">
        <v>738</v>
      </c>
      <c r="C12" s="318" t="s">
        <v>191</v>
      </c>
      <c r="D12" s="319" t="s">
        <v>192</v>
      </c>
      <c r="E12" s="320">
        <v>88.399999999999991</v>
      </c>
      <c r="F12" s="315" t="s">
        <v>907</v>
      </c>
      <c r="G12" s="315" t="s">
        <v>194</v>
      </c>
      <c r="H12" s="316" t="s">
        <v>195</v>
      </c>
      <c r="I12" s="316" t="s">
        <v>892</v>
      </c>
      <c r="J12" s="317" t="s">
        <v>104</v>
      </c>
      <c r="K12" s="316"/>
      <c r="L12" s="387" t="s">
        <v>922</v>
      </c>
      <c r="M12" s="316"/>
    </row>
    <row r="13" spans="2:13" ht="100.8" x14ac:dyDescent="0.25">
      <c r="B13" s="159" t="s">
        <v>739</v>
      </c>
      <c r="C13" s="318" t="s">
        <v>95</v>
      </c>
      <c r="D13" s="319" t="s">
        <v>928</v>
      </c>
      <c r="E13" s="320">
        <v>333.29999999999927</v>
      </c>
      <c r="F13" s="316" t="s">
        <v>929</v>
      </c>
      <c r="G13" s="316" t="s">
        <v>211</v>
      </c>
      <c r="H13" s="316" t="s">
        <v>195</v>
      </c>
      <c r="I13" s="316" t="s">
        <v>892</v>
      </c>
      <c r="J13" s="317" t="s">
        <v>104</v>
      </c>
      <c r="K13" s="316"/>
      <c r="L13" s="387" t="s">
        <v>922</v>
      </c>
      <c r="M13" s="316"/>
    </row>
    <row r="14" spans="2:13" ht="100.8" x14ac:dyDescent="0.25">
      <c r="B14" s="159" t="s">
        <v>733</v>
      </c>
      <c r="C14" s="318" t="s">
        <v>901</v>
      </c>
      <c r="D14" s="319" t="s">
        <v>902</v>
      </c>
      <c r="E14" s="320" t="s">
        <v>135</v>
      </c>
      <c r="F14" s="316" t="s">
        <v>903</v>
      </c>
      <c r="G14" s="316" t="s">
        <v>909</v>
      </c>
      <c r="H14" s="316" t="s">
        <v>145</v>
      </c>
      <c r="I14" s="316" t="s">
        <v>900</v>
      </c>
      <c r="J14" s="317" t="s">
        <v>104</v>
      </c>
      <c r="K14" s="316"/>
      <c r="L14" s="387" t="s">
        <v>922</v>
      </c>
      <c r="M14" s="316"/>
    </row>
    <row r="15" spans="2:13" ht="100.8" x14ac:dyDescent="0.25">
      <c r="B15" s="159" t="s">
        <v>894</v>
      </c>
      <c r="C15" s="318" t="s">
        <v>910</v>
      </c>
      <c r="D15" s="319" t="s">
        <v>930</v>
      </c>
      <c r="E15" s="320" t="s">
        <v>135</v>
      </c>
      <c r="F15" s="316" t="s">
        <v>911</v>
      </c>
      <c r="G15" s="316" t="s">
        <v>912</v>
      </c>
      <c r="H15" s="316" t="s">
        <v>145</v>
      </c>
      <c r="I15" s="316" t="s">
        <v>900</v>
      </c>
      <c r="J15" s="317" t="s">
        <v>104</v>
      </c>
      <c r="K15" s="316"/>
      <c r="L15" s="388" t="s">
        <v>955</v>
      </c>
      <c r="M15" s="316"/>
    </row>
    <row r="16" spans="2:13" ht="216" x14ac:dyDescent="0.25">
      <c r="B16" s="159" t="s">
        <v>896</v>
      </c>
      <c r="C16" s="318" t="s">
        <v>931</v>
      </c>
      <c r="D16" s="319" t="s">
        <v>932</v>
      </c>
      <c r="E16" s="320">
        <v>23053.25</v>
      </c>
      <c r="F16" s="316" t="s">
        <v>933</v>
      </c>
      <c r="G16" s="316" t="s">
        <v>934</v>
      </c>
      <c r="H16" s="316" t="s">
        <v>195</v>
      </c>
      <c r="I16" s="316" t="s">
        <v>878</v>
      </c>
      <c r="J16" s="317" t="s">
        <v>101</v>
      </c>
      <c r="K16" s="316"/>
      <c r="L16" s="387" t="s">
        <v>922</v>
      </c>
      <c r="M16" s="316"/>
    </row>
    <row r="17" spans="2:13" ht="100.8" x14ac:dyDescent="0.25">
      <c r="B17" s="159" t="s">
        <v>917</v>
      </c>
      <c r="C17" s="318" t="s">
        <v>935</v>
      </c>
      <c r="D17" s="319" t="s">
        <v>913</v>
      </c>
      <c r="E17" s="320" t="s">
        <v>135</v>
      </c>
      <c r="F17" s="316" t="s">
        <v>936</v>
      </c>
      <c r="G17" s="316" t="s">
        <v>914</v>
      </c>
      <c r="H17" s="316" t="s">
        <v>195</v>
      </c>
      <c r="I17" s="316" t="s">
        <v>915</v>
      </c>
      <c r="J17" s="317" t="s">
        <v>84</v>
      </c>
      <c r="K17" s="316"/>
      <c r="L17" s="387" t="s">
        <v>922</v>
      </c>
      <c r="M17" s="316"/>
    </row>
    <row r="18" spans="2:13" ht="94.5" customHeight="1" x14ac:dyDescent="0.25">
      <c r="B18" s="159" t="s">
        <v>918</v>
      </c>
      <c r="C18" s="318" t="s">
        <v>916</v>
      </c>
      <c r="D18" s="319" t="s">
        <v>937</v>
      </c>
      <c r="E18" s="320" t="s">
        <v>135</v>
      </c>
      <c r="F18" s="316" t="s">
        <v>938</v>
      </c>
      <c r="G18" s="316" t="s">
        <v>939</v>
      </c>
      <c r="H18" s="316" t="s">
        <v>283</v>
      </c>
      <c r="I18" s="316" t="s">
        <v>940</v>
      </c>
      <c r="J18" s="317" t="s">
        <v>84</v>
      </c>
      <c r="K18" s="316"/>
      <c r="L18" s="387" t="s">
        <v>922</v>
      </c>
      <c r="M18" s="316"/>
    </row>
    <row r="19" spans="2:13" ht="45" customHeight="1" x14ac:dyDescent="0.25">
      <c r="B19" s="159" t="s">
        <v>919</v>
      </c>
      <c r="C19" s="318" t="s">
        <v>898</v>
      </c>
      <c r="D19" s="319" t="s">
        <v>941</v>
      </c>
      <c r="E19" s="320">
        <v>-235528.38</v>
      </c>
      <c r="F19" s="316" t="s">
        <v>899</v>
      </c>
      <c r="G19" s="316" t="s">
        <v>908</v>
      </c>
      <c r="H19" s="316" t="s">
        <v>137</v>
      </c>
      <c r="I19" s="316" t="s">
        <v>893</v>
      </c>
      <c r="J19" s="317" t="s">
        <v>84</v>
      </c>
      <c r="K19" s="316"/>
      <c r="L19" s="387" t="s">
        <v>922</v>
      </c>
      <c r="M19" s="316"/>
    </row>
    <row r="20" spans="2:13" ht="39.450000000000003" customHeight="1" x14ac:dyDescent="0.25">
      <c r="B20" s="159" t="s">
        <v>920</v>
      </c>
      <c r="C20" s="318" t="s">
        <v>942</v>
      </c>
      <c r="D20" s="319" t="s">
        <v>943</v>
      </c>
      <c r="E20" s="320">
        <v>919.14</v>
      </c>
      <c r="F20" s="316" t="s">
        <v>944</v>
      </c>
      <c r="G20" s="316" t="s">
        <v>945</v>
      </c>
      <c r="H20" s="316" t="s">
        <v>145</v>
      </c>
      <c r="I20" s="316" t="s">
        <v>893</v>
      </c>
      <c r="J20" s="317" t="s">
        <v>104</v>
      </c>
      <c r="K20" s="316"/>
      <c r="L20" s="388" t="s">
        <v>955</v>
      </c>
      <c r="M20" s="316"/>
    </row>
    <row r="21" spans="2:13" ht="94.5" customHeight="1" x14ac:dyDescent="0.25">
      <c r="B21" s="159" t="s">
        <v>921</v>
      </c>
      <c r="C21" s="318" t="s">
        <v>946</v>
      </c>
      <c r="D21" s="319" t="s">
        <v>947</v>
      </c>
      <c r="E21" s="320">
        <v>1465.259</v>
      </c>
      <c r="F21" s="316" t="s">
        <v>948</v>
      </c>
      <c r="G21" s="316" t="s">
        <v>949</v>
      </c>
      <c r="H21" s="316" t="s">
        <v>283</v>
      </c>
      <c r="I21" s="316" t="s">
        <v>950</v>
      </c>
      <c r="J21" s="317" t="s">
        <v>101</v>
      </c>
      <c r="K21" s="316"/>
      <c r="L21" s="388" t="s">
        <v>955</v>
      </c>
      <c r="M21" s="316"/>
    </row>
    <row r="22" spans="2:13" ht="100.5" customHeight="1" x14ac:dyDescent="0.25">
      <c r="B22" s="159" t="s">
        <v>897</v>
      </c>
      <c r="C22" s="318" t="s">
        <v>951</v>
      </c>
      <c r="D22" s="319" t="s">
        <v>952</v>
      </c>
      <c r="E22" s="320">
        <v>4889.37</v>
      </c>
      <c r="F22" s="316" t="s">
        <v>953</v>
      </c>
      <c r="G22" s="316" t="s">
        <v>954</v>
      </c>
      <c r="H22" s="316" t="s">
        <v>195</v>
      </c>
      <c r="I22" s="316" t="s">
        <v>893</v>
      </c>
      <c r="J22" s="317" t="s">
        <v>104</v>
      </c>
      <c r="K22" s="316"/>
      <c r="L22" s="388" t="s">
        <v>955</v>
      </c>
      <c r="M22" s="316"/>
    </row>
    <row r="23" spans="2:13" ht="100.8" x14ac:dyDescent="0.25">
      <c r="B23" s="159" t="s">
        <v>956</v>
      </c>
      <c r="C23" s="318" t="s">
        <v>113</v>
      </c>
      <c r="D23" s="319" t="s">
        <v>113</v>
      </c>
      <c r="E23" s="320">
        <v>22000</v>
      </c>
      <c r="F23" s="316" t="s">
        <v>957</v>
      </c>
      <c r="G23" s="316" t="s">
        <v>958</v>
      </c>
      <c r="H23" s="316" t="s">
        <v>283</v>
      </c>
      <c r="I23" s="316" t="s">
        <v>959</v>
      </c>
      <c r="J23" s="317" t="s">
        <v>84</v>
      </c>
      <c r="K23" s="316"/>
      <c r="L23" s="388" t="s">
        <v>955</v>
      </c>
      <c r="M23" s="316"/>
    </row>
    <row r="24" spans="2:13" ht="115.2" x14ac:dyDescent="0.25">
      <c r="B24" s="159" t="s">
        <v>961</v>
      </c>
      <c r="C24" s="318" t="s">
        <v>960</v>
      </c>
      <c r="D24" s="319" t="s">
        <v>962</v>
      </c>
      <c r="E24" s="320">
        <f>29000+10477.17</f>
        <v>39477.17</v>
      </c>
      <c r="F24" s="316" t="s">
        <v>963</v>
      </c>
      <c r="G24" s="316" t="s">
        <v>964</v>
      </c>
      <c r="H24" s="316" t="s">
        <v>283</v>
      </c>
      <c r="I24" s="316" t="s">
        <v>959</v>
      </c>
      <c r="J24" s="317" t="s">
        <v>84</v>
      </c>
      <c r="K24" s="316"/>
      <c r="L24" s="388" t="s">
        <v>955</v>
      </c>
      <c r="M24" s="316"/>
    </row>
    <row r="25" spans="2:13" ht="14.4" x14ac:dyDescent="0.25">
      <c r="B25" s="159"/>
      <c r="C25" s="318"/>
      <c r="D25" s="319"/>
      <c r="E25" s="320"/>
      <c r="F25" s="316"/>
      <c r="G25" s="316"/>
      <c r="H25" s="316"/>
      <c r="I25" s="316"/>
      <c r="J25" s="317"/>
      <c r="K25" s="316"/>
      <c r="L25" s="316"/>
      <c r="M25" s="316"/>
    </row>
    <row r="26" spans="2:13" ht="14.4" x14ac:dyDescent="0.25">
      <c r="B26" s="159"/>
      <c r="C26" s="318"/>
      <c r="D26" s="319"/>
      <c r="E26" s="320"/>
      <c r="F26" s="316"/>
      <c r="G26" s="316"/>
      <c r="H26" s="316"/>
      <c r="I26" s="316"/>
      <c r="J26" s="317"/>
      <c r="K26" s="316"/>
      <c r="L26" s="316"/>
      <c r="M26" s="316"/>
    </row>
    <row r="27" spans="2:13" ht="14.4" x14ac:dyDescent="0.25">
      <c r="B27" s="159"/>
      <c r="C27" s="318"/>
      <c r="D27" s="319"/>
      <c r="E27" s="320"/>
      <c r="F27" s="316"/>
      <c r="G27" s="316"/>
      <c r="H27" s="316"/>
      <c r="I27" s="316"/>
      <c r="J27" s="317"/>
      <c r="K27" s="316"/>
      <c r="L27" s="316"/>
      <c r="M27" s="316"/>
    </row>
    <row r="28" spans="2:13" ht="14.4" x14ac:dyDescent="0.25">
      <c r="B28" s="159"/>
      <c r="C28" s="318"/>
      <c r="D28" s="319"/>
      <c r="E28" s="320"/>
      <c r="F28" s="316"/>
      <c r="G28" s="316"/>
      <c r="H28" s="316"/>
      <c r="I28" s="316"/>
      <c r="J28" s="317"/>
      <c r="K28" s="316"/>
      <c r="L28" s="316"/>
      <c r="M28" s="316"/>
    </row>
    <row r="29" spans="2:13" ht="14.4" x14ac:dyDescent="0.25">
      <c r="B29" s="159"/>
      <c r="C29" s="318"/>
      <c r="D29" s="321"/>
      <c r="E29" s="320"/>
      <c r="F29" s="316"/>
      <c r="G29" s="316"/>
      <c r="H29" s="316"/>
      <c r="I29" s="316"/>
      <c r="J29" s="317"/>
      <c r="K29" s="316"/>
      <c r="L29" s="316"/>
      <c r="M29" s="316"/>
    </row>
    <row r="30" spans="2:13" ht="14.4" x14ac:dyDescent="0.25">
      <c r="B30" s="159"/>
      <c r="C30" s="318"/>
      <c r="D30" s="321"/>
      <c r="E30" s="320"/>
      <c r="F30" s="316"/>
      <c r="G30" s="316"/>
      <c r="H30" s="316"/>
      <c r="I30" s="316"/>
      <c r="J30" s="317"/>
      <c r="K30" s="316"/>
      <c r="L30" s="316"/>
      <c r="M30" s="316"/>
    </row>
    <row r="31" spans="2:13" ht="13.5" customHeight="1" x14ac:dyDescent="0.25">
      <c r="B31" s="159"/>
      <c r="C31" s="318"/>
      <c r="D31" s="319"/>
      <c r="E31" s="320"/>
      <c r="F31" s="316"/>
      <c r="G31" s="316"/>
      <c r="H31" s="316"/>
      <c r="I31" s="316"/>
      <c r="J31" s="317"/>
      <c r="K31" s="316"/>
      <c r="L31" s="316"/>
      <c r="M31" s="316"/>
    </row>
    <row r="32" spans="2:13" ht="13.5" customHeight="1" x14ac:dyDescent="0.25">
      <c r="B32" s="159"/>
      <c r="C32" s="251"/>
      <c r="D32" s="143"/>
      <c r="E32" s="161"/>
      <c r="F32" s="143"/>
      <c r="G32" s="143"/>
      <c r="H32" s="142"/>
      <c r="I32" s="143"/>
      <c r="J32" s="140"/>
      <c r="K32" s="140"/>
      <c r="L32" s="140"/>
      <c r="M32" s="145"/>
    </row>
    <row r="33" spans="2:13" ht="13.5" customHeight="1" x14ac:dyDescent="0.25">
      <c r="B33" s="159"/>
      <c r="C33" s="251"/>
      <c r="D33" s="143"/>
      <c r="E33" s="161"/>
      <c r="F33" s="143"/>
      <c r="G33" s="143"/>
      <c r="H33" s="142"/>
      <c r="I33" s="143"/>
      <c r="J33" s="140"/>
      <c r="K33" s="140"/>
      <c r="L33" s="140"/>
      <c r="M33" s="145"/>
    </row>
    <row r="34" spans="2:13" x14ac:dyDescent="0.25">
      <c r="B34" s="159"/>
      <c r="C34" s="251"/>
      <c r="D34" s="162"/>
      <c r="E34" s="161"/>
      <c r="F34" s="143"/>
      <c r="G34" s="143"/>
      <c r="H34" s="140"/>
      <c r="I34" s="143"/>
      <c r="J34" s="140"/>
      <c r="K34" s="140"/>
      <c r="L34" s="140"/>
      <c r="M34" s="145"/>
    </row>
    <row r="35" spans="2:13" x14ac:dyDescent="0.25">
      <c r="B35" s="159"/>
      <c r="C35" s="251"/>
      <c r="D35" s="143"/>
      <c r="E35" s="161"/>
      <c r="F35" s="143"/>
      <c r="G35" s="143"/>
      <c r="H35" s="142"/>
      <c r="I35" s="143"/>
      <c r="J35" s="140"/>
      <c r="K35" s="140"/>
      <c r="L35" s="140"/>
      <c r="M35" s="145"/>
    </row>
    <row r="36" spans="2:13" ht="13.5" customHeight="1" x14ac:dyDescent="0.25">
      <c r="B36" s="159"/>
      <c r="C36" s="251"/>
      <c r="D36" s="143"/>
      <c r="E36" s="161"/>
      <c r="F36" s="143"/>
      <c r="G36" s="143"/>
      <c r="H36" s="142"/>
      <c r="I36" s="143"/>
      <c r="J36" s="140"/>
      <c r="K36" s="140"/>
      <c r="L36" s="140"/>
      <c r="M36" s="145"/>
    </row>
    <row r="37" spans="2:13" ht="13.5" customHeight="1" x14ac:dyDescent="0.25">
      <c r="B37" s="159"/>
      <c r="C37" s="251"/>
      <c r="D37" s="143"/>
      <c r="E37" s="161"/>
      <c r="F37" s="143"/>
      <c r="G37" s="143"/>
      <c r="H37" s="142"/>
      <c r="I37" s="143"/>
      <c r="J37" s="140"/>
      <c r="K37" s="140"/>
      <c r="L37" s="140"/>
      <c r="M37" s="145"/>
    </row>
    <row r="38" spans="2:13" ht="13.5" customHeight="1" x14ac:dyDescent="0.25">
      <c r="B38" s="159"/>
      <c r="C38" s="251"/>
      <c r="D38" s="143"/>
      <c r="E38" s="161"/>
      <c r="F38" s="143"/>
      <c r="G38" s="143"/>
      <c r="H38" s="142"/>
      <c r="I38" s="143"/>
      <c r="J38" s="140"/>
      <c r="K38" s="140"/>
      <c r="L38" s="140"/>
      <c r="M38" s="145"/>
    </row>
    <row r="39" spans="2:13" ht="13.5" customHeight="1" x14ac:dyDescent="0.25">
      <c r="B39" s="159"/>
      <c r="C39" s="251"/>
      <c r="D39" s="143"/>
      <c r="E39" s="161"/>
      <c r="F39" s="143"/>
      <c r="G39" s="143"/>
      <c r="H39" s="142"/>
      <c r="I39" s="143"/>
      <c r="J39" s="140"/>
      <c r="K39" s="140"/>
      <c r="L39" s="140"/>
      <c r="M39" s="145"/>
    </row>
    <row r="40" spans="2:13" ht="13.5" customHeight="1" x14ac:dyDescent="0.25">
      <c r="B40" s="159"/>
      <c r="C40" s="251"/>
      <c r="D40" s="143"/>
      <c r="E40" s="161"/>
      <c r="F40" s="143"/>
      <c r="G40" s="143"/>
      <c r="H40" s="142"/>
      <c r="I40" s="143"/>
      <c r="J40" s="140"/>
      <c r="K40" s="140"/>
      <c r="L40" s="140"/>
      <c r="M40" s="145"/>
    </row>
    <row r="41" spans="2:13" ht="13.5" customHeight="1" x14ac:dyDescent="0.25">
      <c r="B41" s="159"/>
      <c r="C41" s="251"/>
      <c r="D41" s="162"/>
      <c r="E41" s="161"/>
      <c r="F41" s="143"/>
      <c r="G41" s="143"/>
      <c r="H41" s="142"/>
      <c r="I41" s="143"/>
      <c r="J41" s="140"/>
      <c r="K41" s="140"/>
      <c r="L41" s="140"/>
      <c r="M41" s="145"/>
    </row>
    <row r="42" spans="2:13" ht="13.5" customHeight="1" x14ac:dyDescent="0.25">
      <c r="B42" s="159"/>
      <c r="C42" s="251"/>
      <c r="D42" s="143"/>
      <c r="E42" s="374"/>
      <c r="F42" s="143"/>
      <c r="G42" s="143"/>
      <c r="H42" s="142"/>
      <c r="I42" s="143"/>
      <c r="J42" s="140"/>
      <c r="K42" s="140"/>
      <c r="L42" s="140"/>
      <c r="M42" s="145"/>
    </row>
    <row r="43" spans="2:13" ht="13.5" customHeight="1" x14ac:dyDescent="0.25">
      <c r="B43" s="159"/>
      <c r="C43" s="251"/>
      <c r="D43" s="143"/>
      <c r="E43" s="161"/>
      <c r="F43" s="143"/>
      <c r="G43" s="143"/>
      <c r="H43" s="142"/>
      <c r="I43" s="143"/>
      <c r="J43" s="140"/>
      <c r="K43" s="140"/>
      <c r="L43" s="140"/>
      <c r="M43" s="145"/>
    </row>
    <row r="44" spans="2:13" ht="13.5" customHeight="1" x14ac:dyDescent="0.25">
      <c r="B44" s="159"/>
      <c r="C44" s="251"/>
      <c r="D44" s="143"/>
      <c r="E44" s="374"/>
      <c r="F44" s="160"/>
      <c r="G44" s="143"/>
      <c r="H44" s="142"/>
      <c r="I44" s="143"/>
      <c r="J44" s="140"/>
      <c r="K44" s="140"/>
      <c r="L44" s="140"/>
      <c r="M44" s="145"/>
    </row>
    <row r="45" spans="2:13" ht="13.5" customHeight="1" x14ac:dyDescent="0.25">
      <c r="B45" s="159"/>
      <c r="C45" s="251"/>
      <c r="D45" s="143"/>
      <c r="E45" s="374"/>
      <c r="F45" s="160"/>
      <c r="G45" s="143"/>
      <c r="H45" s="142"/>
      <c r="I45" s="143"/>
      <c r="J45" s="140"/>
      <c r="K45" s="140"/>
      <c r="L45" s="140"/>
      <c r="M45" s="145"/>
    </row>
    <row r="46" spans="2:13" ht="13.5" customHeight="1" x14ac:dyDescent="0.25">
      <c r="B46" s="159"/>
      <c r="C46" s="251"/>
      <c r="D46" s="143"/>
      <c r="E46" s="161"/>
      <c r="F46" s="143"/>
      <c r="G46" s="143"/>
      <c r="H46" s="142"/>
      <c r="I46" s="143"/>
      <c r="J46" s="140"/>
      <c r="K46" s="140"/>
      <c r="L46" s="140"/>
      <c r="M46" s="145"/>
    </row>
    <row r="47" spans="2:13" ht="13.5" customHeight="1" x14ac:dyDescent="0.25">
      <c r="B47" s="159"/>
      <c r="C47" s="251"/>
      <c r="D47" s="143"/>
      <c r="E47" s="161"/>
      <c r="F47" s="143"/>
      <c r="G47" s="143"/>
      <c r="H47" s="142"/>
      <c r="I47" s="143"/>
      <c r="J47" s="140"/>
      <c r="K47" s="140"/>
      <c r="L47" s="140"/>
      <c r="M47" s="145"/>
    </row>
    <row r="48" spans="2:13" ht="13.5" customHeight="1" x14ac:dyDescent="0.25">
      <c r="B48" s="159"/>
      <c r="C48" s="251"/>
      <c r="D48" s="143"/>
      <c r="E48" s="161"/>
      <c r="F48" s="160"/>
      <c r="G48" s="143"/>
      <c r="H48" s="140"/>
      <c r="I48" s="143"/>
      <c r="J48" s="140"/>
      <c r="K48" s="140"/>
      <c r="L48" s="140"/>
      <c r="M48" s="145"/>
    </row>
    <row r="49" spans="2:13" ht="13.5" customHeight="1" x14ac:dyDescent="0.25">
      <c r="B49" s="159"/>
      <c r="C49" s="251"/>
      <c r="D49" s="162"/>
      <c r="E49" s="161"/>
      <c r="F49" s="160"/>
      <c r="G49" s="143"/>
      <c r="H49" s="142"/>
      <c r="I49" s="143"/>
      <c r="J49" s="140"/>
      <c r="K49" s="140"/>
      <c r="L49" s="140"/>
      <c r="M49" s="145"/>
    </row>
    <row r="50" spans="2:13" ht="13.5" customHeight="1" x14ac:dyDescent="0.25">
      <c r="B50" s="159"/>
      <c r="C50" s="251"/>
      <c r="D50" s="143"/>
      <c r="E50" s="161"/>
      <c r="F50" s="143"/>
      <c r="G50" s="143"/>
      <c r="H50" s="142"/>
      <c r="I50" s="143"/>
      <c r="J50" s="140"/>
      <c r="K50" s="140"/>
      <c r="L50" s="140"/>
      <c r="M50" s="145"/>
    </row>
    <row r="51" spans="2:13" ht="13.5" customHeight="1" x14ac:dyDescent="0.25">
      <c r="B51" s="159"/>
      <c r="C51" s="251"/>
      <c r="D51" s="143"/>
      <c r="E51" s="161"/>
      <c r="F51" s="143"/>
      <c r="G51" s="143"/>
      <c r="H51" s="140"/>
      <c r="I51" s="143"/>
      <c r="J51" s="140"/>
      <c r="K51" s="140"/>
      <c r="L51" s="140"/>
      <c r="M51" s="145"/>
    </row>
    <row r="52" spans="2:13" ht="13.5" customHeight="1" x14ac:dyDescent="0.25">
      <c r="B52" s="159"/>
      <c r="C52" s="251"/>
      <c r="D52" s="143"/>
      <c r="E52" s="161"/>
      <c r="F52" s="143"/>
      <c r="G52" s="143"/>
      <c r="H52" s="142"/>
      <c r="I52" s="143"/>
      <c r="J52" s="140"/>
      <c r="K52" s="140"/>
      <c r="L52" s="140"/>
      <c r="M52" s="145"/>
    </row>
    <row r="53" spans="2:13" ht="13.5" customHeight="1" x14ac:dyDescent="0.25">
      <c r="B53" s="159"/>
      <c r="C53" s="251"/>
      <c r="D53" s="143"/>
      <c r="E53" s="161"/>
      <c r="F53" s="143"/>
      <c r="G53" s="143"/>
      <c r="H53" s="140"/>
      <c r="I53" s="143"/>
      <c r="J53" s="140"/>
      <c r="K53" s="140"/>
      <c r="L53" s="140"/>
      <c r="M53" s="145"/>
    </row>
    <row r="54" spans="2:13" ht="13.5" customHeight="1" x14ac:dyDescent="0.25">
      <c r="B54" s="159"/>
      <c r="C54" s="251"/>
      <c r="D54" s="162"/>
      <c r="E54" s="161"/>
      <c r="F54" s="143"/>
      <c r="G54" s="143"/>
      <c r="H54" s="140"/>
      <c r="I54" s="143"/>
      <c r="J54" s="140"/>
      <c r="K54" s="140"/>
      <c r="L54" s="140"/>
      <c r="M54" s="145"/>
    </row>
    <row r="55" spans="2:13" ht="13.5" customHeight="1" x14ac:dyDescent="0.25">
      <c r="B55" s="159"/>
      <c r="C55" s="251"/>
      <c r="D55" s="162"/>
      <c r="E55" s="374"/>
      <c r="F55" s="143"/>
      <c r="G55" s="143"/>
      <c r="H55" s="142"/>
      <c r="I55" s="143"/>
      <c r="J55" s="140"/>
      <c r="K55" s="140"/>
      <c r="L55" s="140"/>
      <c r="M55" s="145"/>
    </row>
    <row r="56" spans="2:13" ht="13.5" customHeight="1" x14ac:dyDescent="0.25">
      <c r="B56" s="159"/>
      <c r="C56" s="251"/>
      <c r="D56" s="143"/>
      <c r="E56" s="374"/>
      <c r="F56" s="143"/>
      <c r="G56" s="143"/>
      <c r="H56" s="142"/>
      <c r="I56" s="143"/>
      <c r="J56" s="140"/>
      <c r="K56" s="140"/>
      <c r="L56" s="140"/>
      <c r="M56" s="145"/>
    </row>
    <row r="57" spans="2:13" ht="13.5" customHeight="1" x14ac:dyDescent="0.25">
      <c r="B57" s="159"/>
      <c r="C57" s="251"/>
      <c r="D57" s="143"/>
      <c r="E57" s="374"/>
      <c r="F57" s="143"/>
      <c r="G57" s="143"/>
      <c r="H57" s="142"/>
      <c r="I57" s="143"/>
      <c r="J57" s="140"/>
      <c r="K57" s="140"/>
      <c r="L57" s="140"/>
      <c r="M57" s="145"/>
    </row>
    <row r="58" spans="2:13" ht="13.5" customHeight="1" x14ac:dyDescent="0.25">
      <c r="B58" s="159"/>
      <c r="C58" s="251"/>
      <c r="D58" s="143"/>
      <c r="E58" s="161"/>
      <c r="F58" s="143"/>
      <c r="G58" s="143"/>
      <c r="H58" s="142"/>
      <c r="I58" s="143"/>
      <c r="J58" s="140"/>
      <c r="K58" s="140"/>
      <c r="L58" s="140"/>
      <c r="M58" s="145"/>
    </row>
    <row r="59" spans="2:13" ht="13.5" customHeight="1" x14ac:dyDescent="0.25">
      <c r="B59" s="159"/>
      <c r="C59" s="251"/>
      <c r="D59" s="143"/>
      <c r="E59" s="161"/>
      <c r="F59" s="143"/>
      <c r="G59" s="143"/>
      <c r="H59" s="142"/>
      <c r="I59" s="143"/>
      <c r="J59" s="140"/>
      <c r="K59" s="140"/>
      <c r="L59" s="140"/>
      <c r="M59" s="145"/>
    </row>
    <row r="60" spans="2:13" ht="13.5" customHeight="1" x14ac:dyDescent="0.25">
      <c r="B60" s="159"/>
      <c r="C60" s="251"/>
      <c r="D60" s="143"/>
      <c r="E60" s="374"/>
      <c r="F60" s="143"/>
      <c r="G60" s="143"/>
      <c r="H60" s="142"/>
      <c r="I60" s="143"/>
      <c r="J60" s="140"/>
      <c r="K60" s="140"/>
      <c r="L60" s="140"/>
      <c r="M60" s="145"/>
    </row>
    <row r="61" spans="2:13" ht="13.5" customHeight="1" x14ac:dyDescent="0.25">
      <c r="B61" s="159"/>
      <c r="C61" s="251"/>
      <c r="D61" s="143"/>
      <c r="E61" s="161"/>
      <c r="F61" s="143"/>
      <c r="G61" s="143"/>
      <c r="H61" s="142"/>
      <c r="I61" s="143"/>
      <c r="J61" s="140"/>
      <c r="K61" s="140"/>
      <c r="L61" s="140"/>
      <c r="M61" s="145"/>
    </row>
    <row r="62" spans="2:13" ht="13.5" customHeight="1" x14ac:dyDescent="0.25">
      <c r="B62" s="159"/>
      <c r="C62" s="251"/>
      <c r="D62" s="143"/>
      <c r="E62" s="374"/>
      <c r="F62" s="143"/>
      <c r="G62" s="143"/>
      <c r="H62" s="140"/>
      <c r="I62" s="143"/>
      <c r="J62" s="140"/>
      <c r="K62" s="140"/>
      <c r="L62" s="140"/>
      <c r="M62" s="145"/>
    </row>
    <row r="63" spans="2:13" ht="13.5" customHeight="1" x14ac:dyDescent="0.25">
      <c r="B63" s="159"/>
      <c r="C63" s="251"/>
      <c r="D63" s="162"/>
      <c r="E63" s="374"/>
      <c r="F63" s="143"/>
      <c r="G63" s="143"/>
      <c r="H63" s="142"/>
      <c r="I63" s="143"/>
      <c r="J63" s="140"/>
      <c r="K63" s="140"/>
      <c r="L63" s="140"/>
      <c r="M63" s="145"/>
    </row>
    <row r="64" spans="2:13" ht="13.5" customHeight="1" x14ac:dyDescent="0.25">
      <c r="B64" s="159"/>
      <c r="C64" s="251"/>
      <c r="D64" s="143"/>
      <c r="E64" s="374"/>
      <c r="F64" s="143"/>
      <c r="G64" s="143"/>
      <c r="H64" s="140"/>
      <c r="I64" s="143"/>
      <c r="J64" s="140"/>
      <c r="K64" s="140"/>
      <c r="L64" s="140"/>
      <c r="M64" s="145"/>
    </row>
    <row r="65" spans="2:14" ht="13.5" customHeight="1" x14ac:dyDescent="0.25">
      <c r="B65" s="159"/>
      <c r="C65" s="251"/>
      <c r="D65" s="143"/>
      <c r="E65" s="374"/>
      <c r="F65" s="143"/>
      <c r="G65" s="143"/>
      <c r="H65" s="140"/>
      <c r="I65" s="143"/>
      <c r="J65" s="140"/>
      <c r="K65" s="140"/>
      <c r="L65" s="140"/>
      <c r="M65" s="145"/>
    </row>
    <row r="66" spans="2:14" ht="13.5" customHeight="1" x14ac:dyDescent="0.25">
      <c r="B66" s="159"/>
      <c r="C66" s="251"/>
      <c r="D66" s="162"/>
      <c r="E66" s="374"/>
      <c r="F66" s="143"/>
      <c r="G66" s="143"/>
      <c r="H66" s="142"/>
      <c r="I66" s="143"/>
      <c r="J66" s="140"/>
      <c r="K66" s="140"/>
      <c r="L66" s="140"/>
      <c r="M66" s="145"/>
    </row>
    <row r="67" spans="2:14" ht="13.5" customHeight="1" x14ac:dyDescent="0.25">
      <c r="B67" s="159"/>
      <c r="C67" s="251"/>
      <c r="D67" s="162"/>
      <c r="E67" s="161"/>
      <c r="F67" s="143"/>
      <c r="G67" s="143"/>
      <c r="H67" s="140"/>
      <c r="I67" s="143"/>
      <c r="J67" s="140"/>
      <c r="K67" s="140"/>
      <c r="L67" s="140"/>
      <c r="M67" s="145"/>
    </row>
    <row r="68" spans="2:14" ht="13.5" customHeight="1" x14ac:dyDescent="0.25">
      <c r="B68" s="159"/>
      <c r="C68" s="251"/>
      <c r="D68" s="143"/>
      <c r="E68" s="374"/>
      <c r="F68" s="160"/>
      <c r="G68" s="143"/>
      <c r="H68" s="142"/>
      <c r="I68" s="143"/>
      <c r="J68" s="140"/>
      <c r="K68" s="140"/>
      <c r="L68" s="140"/>
      <c r="M68" s="145"/>
    </row>
    <row r="69" spans="2:14" ht="13.5" customHeight="1" x14ac:dyDescent="0.25">
      <c r="B69" s="159"/>
      <c r="C69" s="251"/>
      <c r="D69" s="162"/>
      <c r="E69" s="374"/>
      <c r="F69" s="143"/>
      <c r="G69" s="143"/>
      <c r="H69" s="142"/>
      <c r="I69" s="143"/>
      <c r="J69" s="140"/>
      <c r="K69" s="140"/>
      <c r="L69" s="140"/>
      <c r="M69" s="145"/>
    </row>
    <row r="70" spans="2:14" ht="13.5" customHeight="1" x14ac:dyDescent="0.25">
      <c r="B70" s="159"/>
      <c r="C70" s="251"/>
      <c r="D70" s="162"/>
      <c r="E70" s="374"/>
      <c r="F70" s="143"/>
      <c r="G70" s="143"/>
      <c r="H70" s="142"/>
      <c r="I70" s="143"/>
      <c r="J70" s="140"/>
      <c r="K70" s="140"/>
      <c r="L70" s="140"/>
      <c r="M70" s="145"/>
    </row>
    <row r="71" spans="2:14" ht="13.5" customHeight="1" x14ac:dyDescent="0.25">
      <c r="B71" s="159"/>
      <c r="C71" s="251"/>
      <c r="D71" s="162"/>
      <c r="E71" s="374"/>
      <c r="F71" s="143"/>
      <c r="G71" s="143"/>
      <c r="H71" s="142"/>
      <c r="I71" s="143"/>
      <c r="J71" s="140"/>
      <c r="K71" s="140"/>
      <c r="L71" s="140"/>
      <c r="M71" s="145"/>
    </row>
    <row r="72" spans="2:14" ht="13.5" customHeight="1" x14ac:dyDescent="0.25">
      <c r="B72" s="159"/>
      <c r="C72" s="251"/>
      <c r="D72" s="143"/>
      <c r="E72" s="374"/>
      <c r="F72" s="143"/>
      <c r="G72" s="143"/>
      <c r="H72" s="142"/>
      <c r="I72" s="143"/>
      <c r="J72" s="140"/>
      <c r="K72" s="140"/>
      <c r="L72" s="140"/>
      <c r="M72" s="145"/>
    </row>
    <row r="73" spans="2:14" ht="13.5" customHeight="1" x14ac:dyDescent="0.25">
      <c r="B73" s="159"/>
      <c r="C73" s="251"/>
      <c r="D73" s="143"/>
      <c r="E73" s="374"/>
      <c r="F73" s="143"/>
      <c r="G73" s="143"/>
      <c r="H73" s="142"/>
      <c r="I73" s="143"/>
      <c r="J73" s="140"/>
      <c r="K73" s="140"/>
      <c r="L73" s="140"/>
      <c r="M73" s="145"/>
      <c r="N73" s="153"/>
    </row>
    <row r="74" spans="2:14" ht="13.5" customHeight="1" x14ac:dyDescent="0.25">
      <c r="B74" s="159"/>
      <c r="C74" s="251"/>
      <c r="D74" s="143"/>
      <c r="E74" s="374"/>
      <c r="F74" s="143"/>
      <c r="G74" s="143"/>
      <c r="H74" s="142"/>
      <c r="I74" s="143"/>
      <c r="J74" s="140"/>
      <c r="K74" s="140"/>
      <c r="L74" s="140"/>
      <c r="M74" s="145"/>
      <c r="N74" s="153"/>
    </row>
    <row r="75" spans="2:14" ht="13.5" customHeight="1" x14ac:dyDescent="0.25">
      <c r="B75" s="159"/>
      <c r="C75" s="251"/>
      <c r="D75" s="143"/>
      <c r="E75" s="374"/>
      <c r="F75" s="143"/>
      <c r="G75" s="143"/>
      <c r="H75" s="142"/>
      <c r="I75" s="143"/>
      <c r="J75" s="140"/>
      <c r="K75" s="140"/>
      <c r="L75" s="140"/>
      <c r="M75" s="145"/>
    </row>
    <row r="76" spans="2:14" ht="13.5" customHeight="1" x14ac:dyDescent="0.25">
      <c r="B76" s="159"/>
      <c r="C76" s="251"/>
      <c r="D76" s="143"/>
      <c r="E76" s="374"/>
      <c r="F76" s="143"/>
      <c r="G76" s="143"/>
      <c r="H76" s="142"/>
      <c r="I76" s="143"/>
      <c r="J76" s="140"/>
      <c r="K76" s="140"/>
      <c r="L76" s="140"/>
      <c r="M76" s="145"/>
    </row>
    <row r="77" spans="2:14" ht="13.5" customHeight="1" x14ac:dyDescent="0.25">
      <c r="B77" s="159"/>
      <c r="C77" s="251"/>
      <c r="D77" s="162"/>
      <c r="E77" s="374"/>
      <c r="F77" s="143"/>
      <c r="G77" s="143"/>
      <c r="H77" s="142"/>
      <c r="I77" s="143"/>
      <c r="J77" s="140"/>
      <c r="K77" s="140"/>
      <c r="L77" s="140"/>
      <c r="M77" s="145"/>
    </row>
    <row r="78" spans="2:14" ht="13.5" customHeight="1" x14ac:dyDescent="0.25">
      <c r="B78" s="159"/>
      <c r="C78" s="251"/>
      <c r="D78" s="143"/>
      <c r="E78" s="374"/>
      <c r="F78" s="143"/>
      <c r="G78" s="143"/>
      <c r="H78" s="142"/>
      <c r="I78" s="143"/>
      <c r="J78" s="140"/>
      <c r="K78" s="140"/>
      <c r="L78" s="140"/>
      <c r="M78" s="145"/>
    </row>
    <row r="79" spans="2:14" ht="13.5" customHeight="1" x14ac:dyDescent="0.25">
      <c r="B79" s="159"/>
      <c r="C79" s="251"/>
      <c r="D79" s="162"/>
      <c r="E79" s="161"/>
      <c r="F79" s="143"/>
      <c r="G79" s="143"/>
      <c r="H79" s="140"/>
      <c r="I79" s="143"/>
      <c r="J79" s="140"/>
      <c r="K79" s="140"/>
      <c r="L79" s="140"/>
      <c r="M79" s="145"/>
    </row>
    <row r="80" spans="2:14" ht="13.5" customHeight="1" x14ac:dyDescent="0.25">
      <c r="B80" s="159"/>
      <c r="C80" s="251"/>
      <c r="D80" s="162"/>
      <c r="E80" s="161"/>
      <c r="F80" s="143"/>
      <c r="G80" s="143"/>
      <c r="H80" s="140"/>
      <c r="I80" s="143"/>
      <c r="J80" s="140"/>
      <c r="K80" s="140"/>
      <c r="L80" s="140"/>
      <c r="M80" s="145"/>
    </row>
    <row r="81" spans="2:13" ht="13.5" customHeight="1" x14ac:dyDescent="0.25">
      <c r="B81" s="159"/>
      <c r="C81" s="251"/>
      <c r="D81" s="162"/>
      <c r="E81" s="161"/>
      <c r="F81" s="143"/>
      <c r="G81" s="143"/>
      <c r="H81" s="140"/>
      <c r="I81" s="148"/>
      <c r="J81" s="140"/>
      <c r="K81" s="140"/>
      <c r="L81" s="390"/>
      <c r="M81" s="144"/>
    </row>
    <row r="82" spans="2:13" ht="13.5" customHeight="1" x14ac:dyDescent="0.25">
      <c r="B82" s="159"/>
      <c r="C82" s="251"/>
      <c r="D82" s="162"/>
      <c r="E82" s="161"/>
      <c r="F82" s="160"/>
      <c r="G82" s="143"/>
      <c r="H82" s="140"/>
      <c r="I82" s="143"/>
      <c r="J82" s="140"/>
      <c r="K82" s="140"/>
      <c r="L82" s="140"/>
      <c r="M82" s="145"/>
    </row>
    <row r="83" spans="2:13" ht="13.5" customHeight="1" x14ac:dyDescent="0.25"/>
    <row r="84" spans="2:13" ht="13.5" customHeight="1" x14ac:dyDescent="0.25"/>
  </sheetData>
  <autoFilter ref="B6:M6" xr:uid="{F74D91E6-8A38-4F91-A282-180F16568044}"/>
  <phoneticPr fontId="50" type="noConversion"/>
  <conditionalFormatting sqref="D46">
    <cfRule type="duplicateValues" dxfId="226" priority="110"/>
  </conditionalFormatting>
  <conditionalFormatting sqref="D47">
    <cfRule type="duplicateValues" dxfId="225" priority="109"/>
  </conditionalFormatting>
  <conditionalFormatting sqref="D50">
    <cfRule type="duplicateValues" dxfId="224" priority="108"/>
  </conditionalFormatting>
  <conditionalFormatting sqref="F46">
    <cfRule type="duplicateValues" dxfId="223" priority="106"/>
  </conditionalFormatting>
  <conditionalFormatting sqref="F47">
    <cfRule type="duplicateValues" dxfId="222" priority="105"/>
  </conditionalFormatting>
  <conditionalFormatting sqref="F50">
    <cfRule type="duplicateValues" dxfId="221" priority="104"/>
  </conditionalFormatting>
  <conditionalFormatting sqref="D72">
    <cfRule type="duplicateValues" dxfId="220" priority="86"/>
  </conditionalFormatting>
  <conditionalFormatting sqref="D78 D76 D73:D74">
    <cfRule type="duplicateValues" dxfId="219" priority="85"/>
  </conditionalFormatting>
  <conditionalFormatting sqref="F72">
    <cfRule type="duplicateValues" dxfId="218" priority="84"/>
  </conditionalFormatting>
  <conditionalFormatting sqref="F78 F76 F73:F74">
    <cfRule type="duplicateValues" dxfId="217" priority="83"/>
  </conditionalFormatting>
  <conditionalFormatting sqref="D43">
    <cfRule type="duplicateValues" dxfId="216" priority="79"/>
  </conditionalFormatting>
  <conditionalFormatting sqref="F42">
    <cfRule type="duplicateValues" dxfId="215" priority="78"/>
  </conditionalFormatting>
  <conditionalFormatting sqref="F43">
    <cfRule type="duplicateValues" dxfId="214" priority="77"/>
  </conditionalFormatting>
  <conditionalFormatting sqref="D45">
    <cfRule type="duplicateValues" dxfId="213" priority="73"/>
  </conditionalFormatting>
  <conditionalFormatting sqref="D57">
    <cfRule type="duplicateValues" dxfId="212" priority="63"/>
  </conditionalFormatting>
  <conditionalFormatting sqref="D58">
    <cfRule type="duplicateValues" dxfId="211" priority="62"/>
  </conditionalFormatting>
  <conditionalFormatting sqref="D60">
    <cfRule type="duplicateValues" dxfId="210" priority="61"/>
  </conditionalFormatting>
  <conditionalFormatting sqref="F57">
    <cfRule type="duplicateValues" dxfId="209" priority="60"/>
  </conditionalFormatting>
  <conditionalFormatting sqref="F58">
    <cfRule type="duplicateValues" dxfId="208" priority="59"/>
  </conditionalFormatting>
  <conditionalFormatting sqref="F59">
    <cfRule type="duplicateValues" dxfId="207" priority="58"/>
  </conditionalFormatting>
  <conditionalFormatting sqref="F60">
    <cfRule type="duplicateValues" dxfId="206" priority="57"/>
  </conditionalFormatting>
  <conditionalFormatting sqref="D59">
    <cfRule type="duplicateValues" dxfId="205" priority="56"/>
  </conditionalFormatting>
  <conditionalFormatting sqref="D61">
    <cfRule type="duplicateValues" dxfId="204" priority="53"/>
  </conditionalFormatting>
  <conditionalFormatting sqref="F61">
    <cfRule type="duplicateValues" dxfId="203" priority="51"/>
  </conditionalFormatting>
  <conditionalFormatting sqref="F64">
    <cfRule type="duplicateValues" dxfId="202" priority="50"/>
  </conditionalFormatting>
  <conditionalFormatting sqref="G61">
    <cfRule type="duplicateValues" dxfId="201" priority="49"/>
  </conditionalFormatting>
  <conditionalFormatting sqref="G64">
    <cfRule type="duplicateValues" dxfId="200" priority="48"/>
  </conditionalFormatting>
  <conditionalFormatting sqref="D35">
    <cfRule type="duplicateValues" dxfId="199" priority="47"/>
  </conditionalFormatting>
  <conditionalFormatting sqref="D36:D40">
    <cfRule type="duplicateValues" dxfId="198" priority="46"/>
  </conditionalFormatting>
  <conditionalFormatting sqref="F35">
    <cfRule type="duplicateValues" dxfId="197" priority="45"/>
  </conditionalFormatting>
  <conditionalFormatting sqref="F36:F40">
    <cfRule type="duplicateValues" dxfId="196" priority="44"/>
  </conditionalFormatting>
  <conditionalFormatting sqref="G35">
    <cfRule type="duplicateValues" dxfId="195" priority="43"/>
  </conditionalFormatting>
  <conditionalFormatting sqref="G36:G40">
    <cfRule type="duplicateValues" dxfId="194" priority="42"/>
  </conditionalFormatting>
  <conditionalFormatting sqref="D48">
    <cfRule type="duplicateValues" dxfId="193" priority="41"/>
  </conditionalFormatting>
  <conditionalFormatting sqref="D68">
    <cfRule type="duplicateValues" dxfId="192" priority="38"/>
  </conditionalFormatting>
  <conditionalFormatting sqref="D64">
    <cfRule type="duplicateValues" dxfId="191" priority="37"/>
  </conditionalFormatting>
  <conditionalFormatting sqref="D56">
    <cfRule type="duplicateValues" dxfId="190" priority="36"/>
  </conditionalFormatting>
  <conditionalFormatting sqref="D62">
    <cfRule type="duplicateValues" dxfId="189" priority="35"/>
  </conditionalFormatting>
  <conditionalFormatting sqref="D65">
    <cfRule type="duplicateValues" dxfId="188" priority="34"/>
  </conditionalFormatting>
  <conditionalFormatting sqref="D75">
    <cfRule type="duplicateValues" dxfId="187" priority="32"/>
  </conditionalFormatting>
  <conditionalFormatting sqref="D53">
    <cfRule type="duplicateValues" dxfId="186" priority="31"/>
  </conditionalFormatting>
  <conditionalFormatting sqref="D32">
    <cfRule type="duplicateValues" dxfId="185" priority="30"/>
  </conditionalFormatting>
  <conditionalFormatting sqref="D42">
    <cfRule type="duplicateValues" dxfId="184" priority="29"/>
  </conditionalFormatting>
  <conditionalFormatting sqref="D44">
    <cfRule type="duplicateValues" dxfId="183" priority="28"/>
  </conditionalFormatting>
  <conditionalFormatting sqref="D51">
    <cfRule type="duplicateValues" dxfId="182" priority="27"/>
  </conditionalFormatting>
  <conditionalFormatting sqref="D52">
    <cfRule type="duplicateValues" dxfId="181" priority="26"/>
  </conditionalFormatting>
  <conditionalFormatting sqref="D33">
    <cfRule type="duplicateValues" dxfId="180" priority="25"/>
  </conditionalFormatting>
  <conditionalFormatting sqref="C32:C81">
    <cfRule type="duplicateValues" dxfId="179" priority="130"/>
  </conditionalFormatting>
  <conditionalFormatting sqref="C82">
    <cfRule type="duplicateValues" dxfId="178" priority="24"/>
  </conditionalFormatting>
  <conditionalFormatting sqref="F15">
    <cfRule type="duplicateValues" dxfId="177" priority="22"/>
  </conditionalFormatting>
  <conditionalFormatting sqref="J8:J16 J18:J30">
    <cfRule type="containsText" dxfId="176" priority="13" operator="containsText" text="Baixo Impacto">
      <formula>NOT(ISERROR(SEARCH("Baixo Impacto",J8)))</formula>
    </cfRule>
    <cfRule type="containsText" dxfId="175" priority="14" operator="containsText" text="Médio Impacto">
      <formula>NOT(ISERROR(SEARCH("Médio Impacto",J8)))</formula>
    </cfRule>
    <cfRule type="containsText" dxfId="174" priority="15" operator="containsText" text="Alto Impacto">
      <formula>NOT(ISERROR(SEARCH("Alto Impacto",J8)))</formula>
    </cfRule>
  </conditionalFormatting>
  <conditionalFormatting sqref="C31">
    <cfRule type="duplicateValues" dxfId="173" priority="12"/>
  </conditionalFormatting>
  <conditionalFormatting sqref="J31">
    <cfRule type="containsText" dxfId="172" priority="9" operator="containsText" text="Baixo Impacto">
      <formula>NOT(ISERROR(SEARCH("Baixo Impacto",J31)))</formula>
    </cfRule>
    <cfRule type="containsText" dxfId="171" priority="10" operator="containsText" text="Médio Impacto">
      <formula>NOT(ISERROR(SEARCH("Médio Impacto",J31)))</formula>
    </cfRule>
    <cfRule type="containsText" dxfId="170" priority="11" operator="containsText" text="Alto Impacto">
      <formula>NOT(ISERROR(SEARCH("Alto Impacto",J31)))</formula>
    </cfRule>
  </conditionalFormatting>
  <conditionalFormatting sqref="C13:C14 C18:C27">
    <cfRule type="duplicateValues" dxfId="169" priority="7"/>
  </conditionalFormatting>
  <conditionalFormatting sqref="J17">
    <cfRule type="containsText" dxfId="168" priority="1" operator="containsText" text="Baixo Impacto">
      <formula>NOT(ISERROR(SEARCH("Baixo Impacto",J17)))</formula>
    </cfRule>
    <cfRule type="containsText" dxfId="167" priority="2" operator="containsText" text="Médio Impacto">
      <formula>NOT(ISERROR(SEARCH("Médio Impacto",J17)))</formula>
    </cfRule>
    <cfRule type="containsText" dxfId="166" priority="3" operator="containsText" text="Alto Impacto">
      <formula>NOT(ISERROR(SEARCH("Alto Impacto",J17)))</formula>
    </cfRule>
  </conditionalFormatting>
  <conditionalFormatting sqref="C17">
    <cfRule type="duplicateValues" dxfId="165" priority="4"/>
  </conditionalFormatting>
  <conditionalFormatting sqref="C28 C15:C16 C8:C12">
    <cfRule type="duplicateValues" dxfId="164" priority="207"/>
  </conditionalFormatting>
  <dataValidations count="1">
    <dataValidation type="list" allowBlank="1" showErrorMessage="1" sqref="H31 H8:H27" xr:uid="{05486AE9-FAB2-4520-9FBB-B92E98452716}">
      <formula1>"Estratégico,Financeiro,Operacional,Legal,Tecnologia,Imagem"</formula1>
    </dataValidation>
  </dataValidations>
  <pageMargins left="0.511811024" right="0.511811024" top="0.78740157499999996" bottom="0.78740157499999996" header="0.31496062000000002" footer="0.31496062000000002"/>
  <pageSetup paperSize="9" orientation="portrait" horizontalDpi="1200" verticalDpi="120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6369CA1D-004B-47E3-9333-856BF72F5176}">
          <x14:formula1>
            <xm:f>'Lista Suspensa'!$C$4:$C$62</xm:f>
          </x14:formula1>
          <xm:sqref>I6:M6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6:E1000"/>
  <sheetViews>
    <sheetView showGridLines="0" topLeftCell="A16" workbookViewId="0"/>
  </sheetViews>
  <sheetFormatPr defaultColWidth="12.59765625" defaultRowHeight="15" customHeight="1" x14ac:dyDescent="0.25"/>
  <cols>
    <col min="1" max="2" width="7.59765625" customWidth="1"/>
    <col min="3" max="3" width="55.59765625" customWidth="1"/>
    <col min="4" max="4" width="24.09765625" customWidth="1"/>
    <col min="5" max="5" width="41.09765625" customWidth="1"/>
    <col min="6" max="26" width="7.59765625" customWidth="1"/>
  </cols>
  <sheetData>
    <row r="6" spans="2:5" ht="14.4" x14ac:dyDescent="0.3">
      <c r="B6" s="1" t="s">
        <v>81</v>
      </c>
    </row>
    <row r="7" spans="2:5" ht="29.4" x14ac:dyDescent="0.25">
      <c r="B7" s="25" t="s">
        <v>82</v>
      </c>
      <c r="C7" s="26" t="s">
        <v>83</v>
      </c>
      <c r="D7" s="27" t="s">
        <v>84</v>
      </c>
      <c r="E7" s="28" t="s">
        <v>85</v>
      </c>
    </row>
    <row r="8" spans="2:5" ht="18" x14ac:dyDescent="0.25">
      <c r="B8" s="25" t="s">
        <v>86</v>
      </c>
      <c r="C8" s="26" t="s">
        <v>87</v>
      </c>
      <c r="D8" s="27" t="s">
        <v>84</v>
      </c>
      <c r="E8" s="28" t="s">
        <v>88</v>
      </c>
    </row>
    <row r="9" spans="2:5" ht="27.6" x14ac:dyDescent="0.25">
      <c r="B9" s="25" t="s">
        <v>89</v>
      </c>
      <c r="C9" s="26" t="s">
        <v>90</v>
      </c>
      <c r="D9" s="27" t="s">
        <v>84</v>
      </c>
      <c r="E9" s="28" t="s">
        <v>91</v>
      </c>
    </row>
    <row r="10" spans="2:5" ht="27.6" x14ac:dyDescent="0.25">
      <c r="B10" s="25" t="s">
        <v>92</v>
      </c>
      <c r="C10" s="26" t="s">
        <v>93</v>
      </c>
      <c r="D10" s="27" t="s">
        <v>84</v>
      </c>
      <c r="E10" s="28" t="s">
        <v>91</v>
      </c>
    </row>
    <row r="11" spans="2:5" ht="27.6" x14ac:dyDescent="0.25">
      <c r="B11" s="25" t="s">
        <v>94</v>
      </c>
      <c r="C11" s="26" t="s">
        <v>95</v>
      </c>
      <c r="D11" s="27" t="s">
        <v>84</v>
      </c>
      <c r="E11" s="28" t="s">
        <v>91</v>
      </c>
    </row>
    <row r="12" spans="2:5" ht="18" x14ac:dyDescent="0.25">
      <c r="B12" s="25" t="s">
        <v>96</v>
      </c>
      <c r="C12" s="26" t="s">
        <v>97</v>
      </c>
      <c r="D12" s="27" t="s">
        <v>84</v>
      </c>
      <c r="E12" s="28" t="s">
        <v>98</v>
      </c>
    </row>
    <row r="13" spans="2:5" ht="18" x14ac:dyDescent="0.25">
      <c r="B13" s="29" t="s">
        <v>99</v>
      </c>
      <c r="C13" s="26" t="s">
        <v>100</v>
      </c>
      <c r="D13" s="30" t="s">
        <v>101</v>
      </c>
      <c r="E13" s="28" t="s">
        <v>98</v>
      </c>
    </row>
    <row r="14" spans="2:5" ht="18" x14ac:dyDescent="0.25">
      <c r="B14" s="31" t="s">
        <v>102</v>
      </c>
      <c r="C14" s="32" t="s">
        <v>103</v>
      </c>
      <c r="D14" s="33" t="s">
        <v>104</v>
      </c>
      <c r="E14" s="28" t="s">
        <v>105</v>
      </c>
    </row>
    <row r="15" spans="2:5" ht="31.2" x14ac:dyDescent="0.25">
      <c r="B15" s="25" t="s">
        <v>106</v>
      </c>
      <c r="C15" s="26" t="s">
        <v>107</v>
      </c>
      <c r="D15" s="27" t="s">
        <v>84</v>
      </c>
      <c r="E15" s="28" t="s">
        <v>108</v>
      </c>
    </row>
    <row r="16" spans="2:5" ht="30.75" customHeight="1" x14ac:dyDescent="0.25">
      <c r="B16" s="25" t="s">
        <v>109</v>
      </c>
      <c r="C16" s="26" t="s">
        <v>110</v>
      </c>
      <c r="D16" s="27" t="s">
        <v>84</v>
      </c>
      <c r="E16" s="28" t="s">
        <v>111</v>
      </c>
    </row>
    <row r="17" spans="2:5" ht="27.6" x14ac:dyDescent="0.25">
      <c r="B17" s="34" t="s">
        <v>112</v>
      </c>
      <c r="C17" s="35" t="s">
        <v>113</v>
      </c>
      <c r="D17" s="33" t="s">
        <v>104</v>
      </c>
      <c r="E17" s="28" t="s">
        <v>114</v>
      </c>
    </row>
    <row r="18" spans="2:5" ht="18" x14ac:dyDescent="0.25">
      <c r="B18" s="29" t="s">
        <v>115</v>
      </c>
      <c r="C18" s="26" t="s">
        <v>116</v>
      </c>
      <c r="D18" s="30" t="s">
        <v>101</v>
      </c>
      <c r="E18" s="28" t="s">
        <v>114</v>
      </c>
    </row>
    <row r="19" spans="2:5" ht="18" x14ac:dyDescent="0.25">
      <c r="B19" s="29" t="s">
        <v>117</v>
      </c>
      <c r="C19" s="26" t="s">
        <v>118</v>
      </c>
      <c r="D19" s="30" t="s">
        <v>101</v>
      </c>
      <c r="E19" s="28" t="s">
        <v>114</v>
      </c>
    </row>
    <row r="20" spans="2:5" ht="13.8" x14ac:dyDescent="0.25">
      <c r="B20" s="31"/>
      <c r="C20" s="26"/>
      <c r="D20" s="33"/>
    </row>
    <row r="21" spans="2:5" ht="15.75" customHeight="1" x14ac:dyDescent="0.25">
      <c r="B21" s="25"/>
      <c r="C21" s="26"/>
      <c r="D21" s="27"/>
    </row>
    <row r="22" spans="2:5" ht="31.5" customHeight="1" x14ac:dyDescent="0.25">
      <c r="B22" s="31"/>
      <c r="C22" s="26"/>
      <c r="D22" s="33"/>
    </row>
    <row r="23" spans="2:5" ht="15.75" customHeight="1" x14ac:dyDescent="0.25"/>
    <row r="24" spans="2:5" ht="15.75" customHeight="1" x14ac:dyDescent="0.25"/>
    <row r="25" spans="2:5" ht="15.75" customHeight="1" x14ac:dyDescent="0.25"/>
    <row r="26" spans="2:5" ht="15.75" customHeight="1" x14ac:dyDescent="0.25"/>
    <row r="27" spans="2:5" ht="15.75" customHeight="1" x14ac:dyDescent="0.25"/>
    <row r="28" spans="2:5" ht="15.75" customHeight="1" x14ac:dyDescent="0.25"/>
    <row r="29" spans="2:5" ht="15.75" customHeight="1" x14ac:dyDescent="0.25"/>
    <row r="30" spans="2:5" ht="15.75" customHeight="1" x14ac:dyDescent="0.25"/>
    <row r="31" spans="2:5" ht="15.75" customHeight="1" x14ac:dyDescent="0.25"/>
    <row r="32" spans="2: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511811024" right="0.511811024" top="0.78740157499999996" bottom="0.78740157499999996"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992D7-428D-4D53-9743-CF8BB2C36BBC}">
  <dimension ref="A2:Z1006"/>
  <sheetViews>
    <sheetView showGridLines="0" topLeftCell="A40" workbookViewId="0">
      <selection activeCell="D22" sqref="D22"/>
    </sheetView>
  </sheetViews>
  <sheetFormatPr defaultColWidth="12.59765625" defaultRowHeight="15" customHeight="1" x14ac:dyDescent="0.25"/>
  <cols>
    <col min="1" max="1" width="4.09765625" customWidth="1"/>
    <col min="2" max="2" width="7.59765625" customWidth="1"/>
    <col min="3" max="3" width="55.59765625" customWidth="1"/>
    <col min="4" max="4" width="46.09765625" customWidth="1"/>
    <col min="5" max="5" width="48.59765625" customWidth="1"/>
    <col min="6" max="6" width="26.5" customWidth="1"/>
    <col min="7" max="7" width="61.09765625" customWidth="1"/>
    <col min="8" max="8" width="12.59765625" customWidth="1"/>
    <col min="9" max="9" width="26.5" customWidth="1"/>
    <col min="10" max="10" width="27.59765625" customWidth="1"/>
    <col min="11" max="11" width="32.09765625" customWidth="1"/>
    <col min="12" max="12" width="32.59765625" customWidth="1"/>
    <col min="13" max="26" width="7.59765625" customWidth="1"/>
  </cols>
  <sheetData>
    <row r="2" spans="2:12" ht="3" customHeight="1" x14ac:dyDescent="0.25"/>
    <row r="3" spans="2:12" ht="33.6" customHeight="1" x14ac:dyDescent="0.25">
      <c r="F3" s="36" t="s">
        <v>119</v>
      </c>
      <c r="I3" s="37" t="s">
        <v>120</v>
      </c>
      <c r="J3" s="38" t="s">
        <v>121</v>
      </c>
      <c r="L3" s="38" t="s">
        <v>122</v>
      </c>
    </row>
    <row r="4" spans="2:12" ht="14.4" x14ac:dyDescent="0.3">
      <c r="B4" s="39">
        <v>1</v>
      </c>
      <c r="C4" s="39">
        <v>2</v>
      </c>
      <c r="D4" s="39">
        <v>3</v>
      </c>
      <c r="E4" s="39">
        <v>4</v>
      </c>
      <c r="F4" s="39">
        <v>5</v>
      </c>
      <c r="G4" s="39">
        <v>6</v>
      </c>
      <c r="H4" s="39">
        <v>7</v>
      </c>
      <c r="I4" s="39">
        <v>8</v>
      </c>
      <c r="J4" s="39">
        <v>9</v>
      </c>
      <c r="K4" s="39" t="s">
        <v>123</v>
      </c>
      <c r="L4" t="s">
        <v>124</v>
      </c>
    </row>
    <row r="5" spans="2:12" thickBot="1" x14ac:dyDescent="0.35">
      <c r="B5" s="1" t="s">
        <v>45</v>
      </c>
      <c r="C5" s="1" t="s">
        <v>125</v>
      </c>
      <c r="D5" s="1" t="s">
        <v>126</v>
      </c>
      <c r="E5" s="1" t="s">
        <v>127</v>
      </c>
      <c r="F5" s="1" t="s">
        <v>128</v>
      </c>
      <c r="G5" s="1" t="s">
        <v>129</v>
      </c>
      <c r="H5" s="1" t="s">
        <v>46</v>
      </c>
      <c r="I5" s="1" t="s">
        <v>130</v>
      </c>
    </row>
    <row r="6" spans="2:12" ht="70.2" hidden="1" thickTop="1" thickBot="1" x14ac:dyDescent="0.3">
      <c r="B6" s="96" t="s">
        <v>131</v>
      </c>
      <c r="C6" s="26" t="s">
        <v>132</v>
      </c>
      <c r="D6" s="41" t="s">
        <v>133</v>
      </c>
      <c r="E6" s="42" t="s">
        <v>134</v>
      </c>
      <c r="F6" s="43" t="s">
        <v>135</v>
      </c>
      <c r="G6" s="42" t="s">
        <v>136</v>
      </c>
      <c r="H6" s="42" t="s">
        <v>137</v>
      </c>
      <c r="I6" s="44" t="s">
        <v>85</v>
      </c>
      <c r="J6" s="19" t="s">
        <v>138</v>
      </c>
      <c r="K6" s="108" t="s">
        <v>139</v>
      </c>
      <c r="L6" s="45" t="s">
        <v>140</v>
      </c>
    </row>
    <row r="7" spans="2:12" ht="42.6" hidden="1" thickTop="1" thickBot="1" x14ac:dyDescent="0.3">
      <c r="B7" s="96" t="s">
        <v>141</v>
      </c>
      <c r="C7" s="26" t="s">
        <v>90</v>
      </c>
      <c r="D7" s="41" t="s">
        <v>142</v>
      </c>
      <c r="E7" s="42" t="s">
        <v>143</v>
      </c>
      <c r="F7" s="43" t="s">
        <v>135</v>
      </c>
      <c r="G7" s="42" t="s">
        <v>144</v>
      </c>
      <c r="H7" s="42" t="s">
        <v>145</v>
      </c>
      <c r="I7" s="44" t="s">
        <v>88</v>
      </c>
      <c r="J7" s="19" t="s">
        <v>146</v>
      </c>
      <c r="K7" s="45" t="s">
        <v>147</v>
      </c>
    </row>
    <row r="8" spans="2:12" ht="56.4" hidden="1" thickTop="1" thickBot="1" x14ac:dyDescent="0.3">
      <c r="B8" s="96" t="s">
        <v>148</v>
      </c>
      <c r="C8" s="26" t="s">
        <v>93</v>
      </c>
      <c r="D8" s="41" t="s">
        <v>149</v>
      </c>
      <c r="E8" s="42" t="s">
        <v>150</v>
      </c>
      <c r="F8" s="43" t="s">
        <v>135</v>
      </c>
      <c r="G8" s="42" t="s">
        <v>151</v>
      </c>
      <c r="H8" s="42" t="s">
        <v>145</v>
      </c>
      <c r="I8" s="44" t="s">
        <v>91</v>
      </c>
      <c r="J8" s="19" t="s">
        <v>152</v>
      </c>
      <c r="K8" s="45" t="s">
        <v>147</v>
      </c>
    </row>
    <row r="9" spans="2:12" ht="42.6" hidden="1" thickTop="1" thickBot="1" x14ac:dyDescent="0.3">
      <c r="B9" s="96" t="s">
        <v>153</v>
      </c>
      <c r="C9" s="26" t="s">
        <v>154</v>
      </c>
      <c r="D9" s="41" t="s">
        <v>155</v>
      </c>
      <c r="E9" s="42" t="s">
        <v>156</v>
      </c>
      <c r="F9" s="43" t="s">
        <v>135</v>
      </c>
      <c r="G9" s="42" t="s">
        <v>157</v>
      </c>
      <c r="H9" s="42" t="s">
        <v>145</v>
      </c>
      <c r="I9" s="44" t="s">
        <v>158</v>
      </c>
      <c r="J9" s="19" t="s">
        <v>138</v>
      </c>
      <c r="K9" s="45" t="s">
        <v>147</v>
      </c>
    </row>
    <row r="10" spans="2:12" ht="42.6" hidden="1" thickTop="1" thickBot="1" x14ac:dyDescent="0.3">
      <c r="B10" s="96" t="s">
        <v>159</v>
      </c>
      <c r="C10" s="26" t="s">
        <v>160</v>
      </c>
      <c r="D10" s="41" t="s">
        <v>161</v>
      </c>
      <c r="E10" s="42" t="s">
        <v>162</v>
      </c>
      <c r="F10" s="43" t="s">
        <v>135</v>
      </c>
      <c r="G10" s="42" t="s">
        <v>163</v>
      </c>
      <c r="H10" s="42" t="s">
        <v>137</v>
      </c>
      <c r="I10" s="44" t="s">
        <v>98</v>
      </c>
      <c r="J10" s="19" t="s">
        <v>146</v>
      </c>
      <c r="K10" s="45" t="s">
        <v>147</v>
      </c>
    </row>
    <row r="11" spans="2:12" ht="42.6" hidden="1" thickTop="1" thickBot="1" x14ac:dyDescent="0.3">
      <c r="B11" s="96" t="s">
        <v>164</v>
      </c>
      <c r="C11" s="26" t="s">
        <v>165</v>
      </c>
      <c r="D11" s="41" t="s">
        <v>166</v>
      </c>
      <c r="E11" s="42" t="s">
        <v>167</v>
      </c>
      <c r="F11" s="43" t="s">
        <v>135</v>
      </c>
      <c r="G11" s="42" t="s">
        <v>168</v>
      </c>
      <c r="H11" s="42" t="s">
        <v>145</v>
      </c>
      <c r="I11" s="44" t="s">
        <v>105</v>
      </c>
      <c r="J11" s="19" t="s">
        <v>152</v>
      </c>
      <c r="K11" s="45" t="s">
        <v>147</v>
      </c>
    </row>
    <row r="12" spans="2:12" ht="42.6" hidden="1" thickTop="1" thickBot="1" x14ac:dyDescent="0.3">
      <c r="B12" s="96" t="s">
        <v>169</v>
      </c>
      <c r="C12" s="26" t="s">
        <v>170</v>
      </c>
      <c r="D12" s="41" t="s">
        <v>171</v>
      </c>
      <c r="E12" s="42" t="s">
        <v>172</v>
      </c>
      <c r="F12" s="43" t="s">
        <v>135</v>
      </c>
      <c r="G12" s="42" t="s">
        <v>173</v>
      </c>
      <c r="H12" s="42" t="s">
        <v>137</v>
      </c>
      <c r="I12" s="44" t="s">
        <v>174</v>
      </c>
      <c r="J12" s="19" t="s">
        <v>138</v>
      </c>
      <c r="K12" s="45" t="s">
        <v>147</v>
      </c>
    </row>
    <row r="13" spans="2:12" ht="56.4" thickTop="1" thickBot="1" x14ac:dyDescent="0.3">
      <c r="B13" s="40" t="s">
        <v>175</v>
      </c>
      <c r="C13" s="26" t="s">
        <v>176</v>
      </c>
      <c r="D13" s="41" t="s">
        <v>177</v>
      </c>
      <c r="E13" s="42" t="s">
        <v>178</v>
      </c>
      <c r="F13" s="43" t="s">
        <v>135</v>
      </c>
      <c r="G13" s="42" t="s">
        <v>179</v>
      </c>
      <c r="H13" s="42" t="s">
        <v>145</v>
      </c>
      <c r="I13" s="44" t="s">
        <v>552</v>
      </c>
      <c r="J13" s="19" t="s">
        <v>146</v>
      </c>
      <c r="K13" s="108" t="s">
        <v>139</v>
      </c>
    </row>
    <row r="14" spans="2:12" ht="42.6" hidden="1" thickTop="1" thickBot="1" x14ac:dyDescent="0.3">
      <c r="B14" s="96" t="s">
        <v>180</v>
      </c>
      <c r="C14" s="46" t="s">
        <v>181</v>
      </c>
      <c r="D14" s="41" t="s">
        <v>182</v>
      </c>
      <c r="E14" s="42" t="s">
        <v>183</v>
      </c>
      <c r="F14" s="43" t="s">
        <v>135</v>
      </c>
      <c r="G14" s="42" t="s">
        <v>184</v>
      </c>
      <c r="H14" s="42" t="s">
        <v>145</v>
      </c>
      <c r="I14" s="44" t="s">
        <v>91</v>
      </c>
      <c r="J14" s="19" t="s">
        <v>152</v>
      </c>
      <c r="K14" s="45" t="s">
        <v>147</v>
      </c>
    </row>
    <row r="15" spans="2:12" ht="56.4" thickTop="1" thickBot="1" x14ac:dyDescent="0.3">
      <c r="B15" s="40" t="s">
        <v>185</v>
      </c>
      <c r="C15" s="26" t="s">
        <v>186</v>
      </c>
      <c r="D15" s="41" t="s">
        <v>187</v>
      </c>
      <c r="E15" s="42" t="s">
        <v>188</v>
      </c>
      <c r="F15" s="43" t="s">
        <v>135</v>
      </c>
      <c r="G15" s="42" t="s">
        <v>189</v>
      </c>
      <c r="H15" s="42" t="s">
        <v>145</v>
      </c>
      <c r="I15" s="44" t="s">
        <v>552</v>
      </c>
      <c r="J15" s="19" t="s">
        <v>138</v>
      </c>
      <c r="K15" s="108" t="s">
        <v>139</v>
      </c>
    </row>
    <row r="16" spans="2:12" ht="56.4" hidden="1" thickTop="1" thickBot="1" x14ac:dyDescent="0.3">
      <c r="B16" s="96" t="s">
        <v>190</v>
      </c>
      <c r="C16" s="26" t="s">
        <v>191</v>
      </c>
      <c r="D16" s="41" t="s">
        <v>192</v>
      </c>
      <c r="E16" s="42" t="s">
        <v>193</v>
      </c>
      <c r="F16" s="43" t="s">
        <v>135</v>
      </c>
      <c r="G16" s="42" t="s">
        <v>194</v>
      </c>
      <c r="H16" s="42" t="s">
        <v>195</v>
      </c>
      <c r="I16" s="44" t="s">
        <v>91</v>
      </c>
      <c r="J16" s="19" t="s">
        <v>146</v>
      </c>
      <c r="K16" s="108" t="s">
        <v>139</v>
      </c>
    </row>
    <row r="17" spans="1:26" ht="42.6" hidden="1" thickTop="1" thickBot="1" x14ac:dyDescent="0.3">
      <c r="B17" s="96" t="s">
        <v>196</v>
      </c>
      <c r="C17" s="26" t="s">
        <v>197</v>
      </c>
      <c r="D17" s="41" t="s">
        <v>198</v>
      </c>
      <c r="E17" s="42" t="s">
        <v>199</v>
      </c>
      <c r="F17" s="43" t="s">
        <v>135</v>
      </c>
      <c r="G17" s="42" t="s">
        <v>200</v>
      </c>
      <c r="H17" s="42" t="s">
        <v>145</v>
      </c>
      <c r="I17" s="44" t="s">
        <v>91</v>
      </c>
      <c r="J17" s="19" t="s">
        <v>152</v>
      </c>
      <c r="K17" s="45" t="s">
        <v>147</v>
      </c>
    </row>
    <row r="18" spans="1:26" ht="56.4" hidden="1" thickTop="1" thickBot="1" x14ac:dyDescent="0.3">
      <c r="B18" s="96" t="s">
        <v>201</v>
      </c>
      <c r="C18" s="26" t="s">
        <v>202</v>
      </c>
      <c r="D18" s="41" t="s">
        <v>203</v>
      </c>
      <c r="E18" s="42" t="s">
        <v>204</v>
      </c>
      <c r="F18" s="43" t="s">
        <v>135</v>
      </c>
      <c r="G18" s="42" t="s">
        <v>205</v>
      </c>
      <c r="H18" s="42" t="s">
        <v>145</v>
      </c>
      <c r="I18" s="44" t="s">
        <v>91</v>
      </c>
      <c r="J18" s="19" t="s">
        <v>138</v>
      </c>
      <c r="K18" s="45" t="s">
        <v>147</v>
      </c>
    </row>
    <row r="19" spans="1:26" ht="125.4" hidden="1" thickTop="1" thickBot="1" x14ac:dyDescent="0.35">
      <c r="B19" s="96" t="s">
        <v>206</v>
      </c>
      <c r="C19" s="26" t="s">
        <v>160</v>
      </c>
      <c r="D19" s="41" t="s">
        <v>161</v>
      </c>
      <c r="E19" s="42" t="s">
        <v>162</v>
      </c>
      <c r="F19" s="43" t="s">
        <v>135</v>
      </c>
      <c r="G19" s="42" t="s">
        <v>163</v>
      </c>
      <c r="H19" s="42" t="s">
        <v>137</v>
      </c>
      <c r="I19" s="44" t="s">
        <v>98</v>
      </c>
      <c r="J19" s="19" t="s">
        <v>146</v>
      </c>
      <c r="K19" s="47" t="s">
        <v>207</v>
      </c>
      <c r="L19" s="9"/>
      <c r="M19" s="9"/>
      <c r="N19" s="9"/>
      <c r="O19" s="9"/>
      <c r="P19" s="9"/>
      <c r="Q19" s="9"/>
      <c r="R19" s="9"/>
      <c r="S19" s="9"/>
      <c r="T19" s="9"/>
      <c r="U19" s="9"/>
      <c r="V19" s="9"/>
      <c r="W19" s="9"/>
      <c r="X19" s="9"/>
      <c r="Y19" s="9"/>
      <c r="Z19" s="9"/>
    </row>
    <row r="20" spans="1:26" ht="125.4" hidden="1" thickTop="1" thickBot="1" x14ac:dyDescent="0.3">
      <c r="B20" s="96" t="s">
        <v>208</v>
      </c>
      <c r="C20" s="26" t="s">
        <v>95</v>
      </c>
      <c r="D20" s="41" t="s">
        <v>209</v>
      </c>
      <c r="E20" s="42" t="s">
        <v>210</v>
      </c>
      <c r="F20" s="43" t="s">
        <v>135</v>
      </c>
      <c r="G20" s="42" t="s">
        <v>211</v>
      </c>
      <c r="H20" s="42" t="s">
        <v>145</v>
      </c>
      <c r="I20" s="44" t="s">
        <v>91</v>
      </c>
      <c r="J20" s="19" t="s">
        <v>152</v>
      </c>
      <c r="K20" s="47" t="s">
        <v>212</v>
      </c>
    </row>
    <row r="21" spans="1:26" ht="42.6" hidden="1" thickTop="1" thickBot="1" x14ac:dyDescent="0.3">
      <c r="B21" s="96" t="s">
        <v>213</v>
      </c>
      <c r="C21" s="26" t="s">
        <v>214</v>
      </c>
      <c r="D21" s="41" t="s">
        <v>215</v>
      </c>
      <c r="E21" s="42" t="s">
        <v>216</v>
      </c>
      <c r="F21" s="43" t="s">
        <v>135</v>
      </c>
      <c r="G21" s="42" t="s">
        <v>200</v>
      </c>
      <c r="H21" s="42" t="s">
        <v>195</v>
      </c>
      <c r="I21" s="44" t="s">
        <v>91</v>
      </c>
      <c r="J21" s="19" t="s">
        <v>138</v>
      </c>
      <c r="K21" s="47" t="s">
        <v>217</v>
      </c>
    </row>
    <row r="22" spans="1:26" ht="56.4" thickTop="1" thickBot="1" x14ac:dyDescent="0.3">
      <c r="B22" s="40" t="s">
        <v>218</v>
      </c>
      <c r="C22" s="26" t="s">
        <v>219</v>
      </c>
      <c r="D22" s="41" t="s">
        <v>220</v>
      </c>
      <c r="E22" s="42" t="s">
        <v>221</v>
      </c>
      <c r="F22" s="43" t="s">
        <v>135</v>
      </c>
      <c r="G22" s="42" t="s">
        <v>222</v>
      </c>
      <c r="H22" s="42" t="s">
        <v>195</v>
      </c>
      <c r="I22" s="44" t="s">
        <v>556</v>
      </c>
      <c r="J22" s="19" t="s">
        <v>146</v>
      </c>
      <c r="K22" s="108" t="s">
        <v>568</v>
      </c>
    </row>
    <row r="23" spans="1:26" ht="56.4" thickTop="1" thickBot="1" x14ac:dyDescent="0.3">
      <c r="B23" s="40" t="s">
        <v>223</v>
      </c>
      <c r="C23" s="26" t="s">
        <v>224</v>
      </c>
      <c r="D23" s="41" t="s">
        <v>225</v>
      </c>
      <c r="E23" s="42" t="s">
        <v>226</v>
      </c>
      <c r="F23" s="43" t="s">
        <v>135</v>
      </c>
      <c r="G23" s="42" t="s">
        <v>227</v>
      </c>
      <c r="H23" s="42" t="s">
        <v>195</v>
      </c>
      <c r="I23" s="44" t="s">
        <v>552</v>
      </c>
      <c r="J23" s="19" t="s">
        <v>152</v>
      </c>
      <c r="K23" s="108" t="s">
        <v>568</v>
      </c>
    </row>
    <row r="24" spans="1:26" ht="56.4" thickTop="1" thickBot="1" x14ac:dyDescent="0.3">
      <c r="B24" s="40" t="s">
        <v>228</v>
      </c>
      <c r="C24" s="26" t="s">
        <v>229</v>
      </c>
      <c r="D24" s="41" t="s">
        <v>230</v>
      </c>
      <c r="E24" s="42" t="s">
        <v>231</v>
      </c>
      <c r="F24" s="43" t="s">
        <v>135</v>
      </c>
      <c r="G24" s="42" t="s">
        <v>232</v>
      </c>
      <c r="H24" s="42" t="s">
        <v>145</v>
      </c>
      <c r="I24" s="44" t="s">
        <v>560</v>
      </c>
      <c r="J24" s="19" t="s">
        <v>146</v>
      </c>
      <c r="K24" s="108" t="s">
        <v>568</v>
      </c>
    </row>
    <row r="25" spans="1:26" ht="56.4" thickTop="1" thickBot="1" x14ac:dyDescent="0.3">
      <c r="B25" s="40" t="s">
        <v>233</v>
      </c>
      <c r="C25" s="26" t="s">
        <v>234</v>
      </c>
      <c r="D25" s="41" t="s">
        <v>235</v>
      </c>
      <c r="E25" s="42" t="s">
        <v>236</v>
      </c>
      <c r="F25" s="43" t="s">
        <v>135</v>
      </c>
      <c r="G25" s="42" t="s">
        <v>237</v>
      </c>
      <c r="H25" s="42" t="s">
        <v>145</v>
      </c>
      <c r="I25" s="44" t="s">
        <v>561</v>
      </c>
      <c r="J25" s="19" t="s">
        <v>146</v>
      </c>
      <c r="K25" s="108" t="s">
        <v>568</v>
      </c>
    </row>
    <row r="26" spans="1:26" ht="74.849999999999994" customHeight="1" thickTop="1" thickBot="1" x14ac:dyDescent="0.3">
      <c r="B26" s="40" t="s">
        <v>238</v>
      </c>
      <c r="C26" s="26" t="s">
        <v>239</v>
      </c>
      <c r="D26" s="41" t="s">
        <v>240</v>
      </c>
      <c r="E26" s="42" t="s">
        <v>241</v>
      </c>
      <c r="F26" s="43" t="s">
        <v>135</v>
      </c>
      <c r="G26" s="42" t="s">
        <v>242</v>
      </c>
      <c r="H26" s="42" t="s">
        <v>145</v>
      </c>
      <c r="I26" s="44" t="s">
        <v>560</v>
      </c>
      <c r="J26" s="19" t="s">
        <v>146</v>
      </c>
      <c r="K26" s="109" t="s">
        <v>568</v>
      </c>
    </row>
    <row r="27" spans="1:26" ht="56.4" thickTop="1" thickBot="1" x14ac:dyDescent="0.3">
      <c r="B27" s="40" t="s">
        <v>243</v>
      </c>
      <c r="C27" s="26" t="s">
        <v>244</v>
      </c>
      <c r="D27" s="41" t="s">
        <v>245</v>
      </c>
      <c r="E27" s="42" t="s">
        <v>246</v>
      </c>
      <c r="F27" s="43" t="s">
        <v>135</v>
      </c>
      <c r="G27" s="42" t="s">
        <v>247</v>
      </c>
      <c r="H27" s="42" t="s">
        <v>145</v>
      </c>
      <c r="I27" s="44" t="s">
        <v>559</v>
      </c>
      <c r="J27" s="19" t="s">
        <v>146</v>
      </c>
      <c r="K27" s="109" t="s">
        <v>568</v>
      </c>
    </row>
    <row r="28" spans="1:26" ht="97.8" thickTop="1" thickBot="1" x14ac:dyDescent="0.3">
      <c r="B28" s="40" t="s">
        <v>248</v>
      </c>
      <c r="C28" s="26" t="s">
        <v>249</v>
      </c>
      <c r="D28" s="41" t="s">
        <v>250</v>
      </c>
      <c r="E28" s="42" t="s">
        <v>251</v>
      </c>
      <c r="F28" s="43" t="s">
        <v>135</v>
      </c>
      <c r="G28" s="42" t="s">
        <v>252</v>
      </c>
      <c r="H28" s="42" t="s">
        <v>145</v>
      </c>
      <c r="I28" s="44" t="s">
        <v>566</v>
      </c>
      <c r="J28" s="19" t="s">
        <v>146</v>
      </c>
      <c r="K28" s="108" t="s">
        <v>139</v>
      </c>
    </row>
    <row r="29" spans="1:26" ht="70.2" thickTop="1" thickBot="1" x14ac:dyDescent="0.3">
      <c r="B29" s="40" t="s">
        <v>253</v>
      </c>
      <c r="C29" s="26" t="s">
        <v>254</v>
      </c>
      <c r="D29" s="41" t="s">
        <v>255</v>
      </c>
      <c r="E29" s="42" t="s">
        <v>256</v>
      </c>
      <c r="F29" s="43" t="s">
        <v>135</v>
      </c>
      <c r="G29" s="42" t="s">
        <v>257</v>
      </c>
      <c r="H29" s="42" t="s">
        <v>145</v>
      </c>
      <c r="I29" s="44" t="s">
        <v>566</v>
      </c>
      <c r="J29" s="19" t="s">
        <v>152</v>
      </c>
      <c r="K29" s="108" t="s">
        <v>139</v>
      </c>
    </row>
    <row r="30" spans="1:26" ht="139.19999999999999" thickTop="1" thickBot="1" x14ac:dyDescent="0.3">
      <c r="B30" s="40" t="s">
        <v>258</v>
      </c>
      <c r="C30" s="26" t="s">
        <v>259</v>
      </c>
      <c r="D30" s="41" t="s">
        <v>260</v>
      </c>
      <c r="E30" s="42" t="s">
        <v>261</v>
      </c>
      <c r="F30" s="43" t="s">
        <v>135</v>
      </c>
      <c r="G30" s="42" t="s">
        <v>262</v>
      </c>
      <c r="H30" s="42" t="s">
        <v>145</v>
      </c>
      <c r="I30" s="44" t="s">
        <v>562</v>
      </c>
      <c r="J30" s="19" t="s">
        <v>146</v>
      </c>
      <c r="K30" s="110" t="s">
        <v>139</v>
      </c>
    </row>
    <row r="31" spans="1:26" ht="84" thickTop="1" thickBot="1" x14ac:dyDescent="0.35">
      <c r="A31" s="48"/>
      <c r="B31" s="40" t="s">
        <v>263</v>
      </c>
      <c r="C31" s="26" t="s">
        <v>264</v>
      </c>
      <c r="D31" s="41" t="s">
        <v>265</v>
      </c>
      <c r="E31" s="42" t="s">
        <v>266</v>
      </c>
      <c r="F31" s="49">
        <v>1086628.73</v>
      </c>
      <c r="G31" s="42" t="s">
        <v>267</v>
      </c>
      <c r="H31" s="42" t="s">
        <v>145</v>
      </c>
      <c r="I31" s="44" t="s">
        <v>563</v>
      </c>
      <c r="J31" s="19" t="s">
        <v>152</v>
      </c>
      <c r="K31" s="109" t="s">
        <v>568</v>
      </c>
    </row>
    <row r="32" spans="1:26" ht="84" thickTop="1" thickBot="1" x14ac:dyDescent="0.3">
      <c r="B32" s="40" t="s">
        <v>268</v>
      </c>
      <c r="C32" s="26" t="s">
        <v>269</v>
      </c>
      <c r="D32" s="41" t="s">
        <v>270</v>
      </c>
      <c r="E32" s="42" t="s">
        <v>271</v>
      </c>
      <c r="F32" s="43" t="s">
        <v>135</v>
      </c>
      <c r="G32" s="42" t="s">
        <v>272</v>
      </c>
      <c r="H32" s="42" t="s">
        <v>195</v>
      </c>
      <c r="I32" s="44" t="s">
        <v>114</v>
      </c>
      <c r="J32" s="19" t="s">
        <v>146</v>
      </c>
      <c r="K32" s="109" t="s">
        <v>568</v>
      </c>
    </row>
    <row r="33" spans="2:11" ht="97.8" thickTop="1" thickBot="1" x14ac:dyDescent="0.3">
      <c r="B33" s="40" t="s">
        <v>273</v>
      </c>
      <c r="C33" s="26" t="s">
        <v>274</v>
      </c>
      <c r="D33" s="41" t="s">
        <v>275</v>
      </c>
      <c r="E33" s="42" t="s">
        <v>276</v>
      </c>
      <c r="F33" s="43" t="s">
        <v>135</v>
      </c>
      <c r="G33" s="42" t="s">
        <v>277</v>
      </c>
      <c r="H33" s="42" t="s">
        <v>195</v>
      </c>
      <c r="I33" s="44" t="s">
        <v>565</v>
      </c>
      <c r="J33" s="19" t="s">
        <v>146</v>
      </c>
      <c r="K33" s="109" t="s">
        <v>568</v>
      </c>
    </row>
    <row r="34" spans="2:11" ht="56.4" thickTop="1" thickBot="1" x14ac:dyDescent="0.3">
      <c r="B34" s="40" t="s">
        <v>278</v>
      </c>
      <c r="C34" s="26" t="s">
        <v>279</v>
      </c>
      <c r="D34" s="41" t="s">
        <v>280</v>
      </c>
      <c r="E34" s="42" t="s">
        <v>281</v>
      </c>
      <c r="F34" s="43" t="s">
        <v>135</v>
      </c>
      <c r="G34" s="42" t="s">
        <v>282</v>
      </c>
      <c r="H34" s="42" t="s">
        <v>283</v>
      </c>
      <c r="I34" s="44" t="s">
        <v>564</v>
      </c>
      <c r="J34" s="19" t="s">
        <v>138</v>
      </c>
      <c r="K34" s="109" t="s">
        <v>568</v>
      </c>
    </row>
    <row r="35" spans="2:11" ht="56.4" thickTop="1" thickBot="1" x14ac:dyDescent="0.3">
      <c r="B35" s="111" t="s">
        <v>284</v>
      </c>
      <c r="C35" s="26" t="s">
        <v>285</v>
      </c>
      <c r="D35" s="112" t="s">
        <v>286</v>
      </c>
      <c r="E35" s="113" t="s">
        <v>287</v>
      </c>
      <c r="F35" s="43" t="s">
        <v>135</v>
      </c>
      <c r="G35" s="113" t="s">
        <v>288</v>
      </c>
      <c r="H35" s="42" t="s">
        <v>145</v>
      </c>
      <c r="I35" s="114" t="s">
        <v>567</v>
      </c>
      <c r="J35" s="19" t="s">
        <v>138</v>
      </c>
      <c r="K35" s="108" t="s">
        <v>139</v>
      </c>
    </row>
    <row r="36" spans="2:11" ht="15.75" customHeight="1" thickTop="1" x14ac:dyDescent="0.25"/>
    <row r="37" spans="2:11" ht="15.75" customHeight="1" x14ac:dyDescent="0.25"/>
    <row r="38" spans="2:11" ht="15.75" customHeight="1" x14ac:dyDescent="0.25"/>
    <row r="39" spans="2:11" ht="15.75" customHeight="1" x14ac:dyDescent="0.25"/>
    <row r="40" spans="2:11" ht="15.75" customHeight="1" x14ac:dyDescent="0.3">
      <c r="D40" s="9"/>
    </row>
    <row r="41" spans="2:11" ht="15.75" customHeight="1" x14ac:dyDescent="0.3">
      <c r="D41" s="9"/>
      <c r="E41" s="9"/>
    </row>
    <row r="42" spans="2:11" ht="15.75" customHeight="1" x14ac:dyDescent="0.3">
      <c r="D42" s="13"/>
    </row>
    <row r="43" spans="2:11" ht="15.75" customHeight="1" x14ac:dyDescent="0.25"/>
    <row r="44" spans="2:11" ht="15.75" customHeight="1" x14ac:dyDescent="0.25"/>
    <row r="45" spans="2:11" ht="15.75" customHeight="1" x14ac:dyDescent="0.25"/>
    <row r="46" spans="2:11" ht="15.75" customHeight="1" x14ac:dyDescent="0.25"/>
    <row r="47" spans="2:11" ht="15.75" customHeight="1" x14ac:dyDescent="0.25"/>
    <row r="48" spans="2:11"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sheetData>
  <autoFilter ref="B4:J36" xr:uid="{00000000-0009-0000-0000-000003000000}"/>
  <conditionalFormatting sqref="J8 J22:J35">
    <cfRule type="containsText" dxfId="163" priority="1" operator="containsText" text="BAIXO IMPACTO">
      <formula>NOT(ISERROR(SEARCH(("BAIXO IMPACTO"),(J8))))</formula>
    </cfRule>
  </conditionalFormatting>
  <conditionalFormatting sqref="J8 J22:J35">
    <cfRule type="containsText" dxfId="162" priority="2" operator="containsText" text="MÉDIO IMPACTO">
      <formula>NOT(ISERROR(SEARCH(("MÉDIO IMPACTO"),(J8))))</formula>
    </cfRule>
  </conditionalFormatting>
  <conditionalFormatting sqref="J8 J22:J35">
    <cfRule type="containsText" dxfId="161" priority="3" operator="containsText" text="ALTO IMPACTO">
      <formula>NOT(ISERROR(SEARCH(("ALTO IMPACTO"),(J8))))</formula>
    </cfRule>
  </conditionalFormatting>
  <conditionalFormatting sqref="J14">
    <cfRule type="containsText" dxfId="160" priority="4" operator="containsText" text="BAIXO IMPACTO">
      <formula>NOT(ISERROR(SEARCH(("BAIXO IMPACTO"),(J14))))</formula>
    </cfRule>
  </conditionalFormatting>
  <conditionalFormatting sqref="J14">
    <cfRule type="containsText" dxfId="159" priority="5" operator="containsText" text="MÉDIO IMPACTO">
      <formula>NOT(ISERROR(SEARCH(("MÉDIO IMPACTO"),(J14))))</formula>
    </cfRule>
  </conditionalFormatting>
  <conditionalFormatting sqref="J14">
    <cfRule type="containsText" dxfId="158" priority="6" operator="containsText" text="ALTO IMPACTO">
      <formula>NOT(ISERROR(SEARCH(("ALTO IMPACTO"),(J14))))</formula>
    </cfRule>
  </conditionalFormatting>
  <conditionalFormatting sqref="J15">
    <cfRule type="containsText" dxfId="157" priority="7" operator="containsText" text="BAIXO IMPACTO">
      <formula>NOT(ISERROR(SEARCH(("BAIXO IMPACTO"),(J15))))</formula>
    </cfRule>
  </conditionalFormatting>
  <conditionalFormatting sqref="J15">
    <cfRule type="containsText" dxfId="156" priority="8" operator="containsText" text="MÉDIO IMPACTO">
      <formula>NOT(ISERROR(SEARCH(("MÉDIO IMPACTO"),(J15))))</formula>
    </cfRule>
  </conditionalFormatting>
  <conditionalFormatting sqref="J15">
    <cfRule type="containsText" dxfId="155" priority="9" operator="containsText" text="ALTO IMPACTO">
      <formula>NOT(ISERROR(SEARCH(("ALTO IMPACTO"),(J15))))</formula>
    </cfRule>
  </conditionalFormatting>
  <conditionalFormatting sqref="J6">
    <cfRule type="containsText" dxfId="154" priority="10" operator="containsText" text="BAIXO IMPACTO">
      <formula>NOT(ISERROR(SEARCH(("BAIXO IMPACTO"),(J6))))</formula>
    </cfRule>
  </conditionalFormatting>
  <conditionalFormatting sqref="J6">
    <cfRule type="containsText" dxfId="153" priority="11" operator="containsText" text="MÉDIO IMPACTO">
      <formula>NOT(ISERROR(SEARCH(("MÉDIO IMPACTO"),(J6))))</formula>
    </cfRule>
  </conditionalFormatting>
  <conditionalFormatting sqref="J6">
    <cfRule type="containsText" dxfId="152" priority="12" operator="containsText" text="ALTO IMPACTO">
      <formula>NOT(ISERROR(SEARCH(("ALTO IMPACTO"),(J6))))</formula>
    </cfRule>
  </conditionalFormatting>
  <conditionalFormatting sqref="J19">
    <cfRule type="containsText" dxfId="151" priority="13" operator="containsText" text="BAIXO IMPACTO">
      <formula>NOT(ISERROR(SEARCH(("BAIXO IMPACTO"),(J19))))</formula>
    </cfRule>
  </conditionalFormatting>
  <conditionalFormatting sqref="J19">
    <cfRule type="containsText" dxfId="150" priority="14" operator="containsText" text="MÉDIO IMPACTO">
      <formula>NOT(ISERROR(SEARCH(("MÉDIO IMPACTO"),(J19))))</formula>
    </cfRule>
  </conditionalFormatting>
  <conditionalFormatting sqref="J19">
    <cfRule type="containsText" dxfId="149" priority="15" operator="containsText" text="ALTO IMPACTO">
      <formula>NOT(ISERROR(SEARCH(("ALTO IMPACTO"),(J19))))</formula>
    </cfRule>
  </conditionalFormatting>
  <conditionalFormatting sqref="J16">
    <cfRule type="containsText" dxfId="148" priority="16" operator="containsText" text="BAIXO IMPACTO">
      <formula>NOT(ISERROR(SEARCH(("BAIXO IMPACTO"),(J16))))</formula>
    </cfRule>
  </conditionalFormatting>
  <conditionalFormatting sqref="J16">
    <cfRule type="containsText" dxfId="147" priority="17" operator="containsText" text="MÉDIO IMPACTO">
      <formula>NOT(ISERROR(SEARCH(("MÉDIO IMPACTO"),(J16))))</formula>
    </cfRule>
  </conditionalFormatting>
  <conditionalFormatting sqref="J16">
    <cfRule type="containsText" dxfId="146" priority="18" operator="containsText" text="ALTO IMPACTO">
      <formula>NOT(ISERROR(SEARCH(("ALTO IMPACTO"),(J16))))</formula>
    </cfRule>
  </conditionalFormatting>
  <conditionalFormatting sqref="J22 J24:J27">
    <cfRule type="containsText" dxfId="145" priority="19" operator="containsText" text="BAIXO IMPACTO">
      <formula>NOT(ISERROR(SEARCH(("BAIXO IMPACTO"),(J22))))</formula>
    </cfRule>
  </conditionalFormatting>
  <conditionalFormatting sqref="J22 J24:J27">
    <cfRule type="containsText" dxfId="144" priority="20" operator="containsText" text="MÉDIO IMPACTO">
      <formula>NOT(ISERROR(SEARCH(("MÉDIO IMPACTO"),(J22))))</formula>
    </cfRule>
  </conditionalFormatting>
  <conditionalFormatting sqref="J22 J24:J27">
    <cfRule type="containsText" dxfId="143" priority="21" operator="containsText" text="ALTO IMPACTO">
      <formula>NOT(ISERROR(SEARCH(("ALTO IMPACTO"),(J22))))</formula>
    </cfRule>
  </conditionalFormatting>
  <conditionalFormatting sqref="J7">
    <cfRule type="containsText" dxfId="142" priority="22" operator="containsText" text="BAIXO IMPACTO">
      <formula>NOT(ISERROR(SEARCH(("BAIXO IMPACTO"),(J7))))</formula>
    </cfRule>
  </conditionalFormatting>
  <conditionalFormatting sqref="J7">
    <cfRule type="containsText" dxfId="141" priority="23" operator="containsText" text="MÉDIO IMPACTO">
      <formula>NOT(ISERROR(SEARCH(("MÉDIO IMPACTO"),(J7))))</formula>
    </cfRule>
  </conditionalFormatting>
  <conditionalFormatting sqref="J7">
    <cfRule type="containsText" dxfId="140" priority="24" operator="containsText" text="ALTO IMPACTO">
      <formula>NOT(ISERROR(SEARCH(("ALTO IMPACTO"),(J7))))</formula>
    </cfRule>
  </conditionalFormatting>
  <conditionalFormatting sqref="J9">
    <cfRule type="containsText" dxfId="139" priority="25" operator="containsText" text="BAIXO IMPACTO">
      <formula>NOT(ISERROR(SEARCH(("BAIXO IMPACTO"),(J9))))</formula>
    </cfRule>
  </conditionalFormatting>
  <conditionalFormatting sqref="J9">
    <cfRule type="containsText" dxfId="138" priority="26" operator="containsText" text="MÉDIO IMPACTO">
      <formula>NOT(ISERROR(SEARCH(("MÉDIO IMPACTO"),(J9))))</formula>
    </cfRule>
  </conditionalFormatting>
  <conditionalFormatting sqref="J9">
    <cfRule type="containsText" dxfId="137" priority="27" operator="containsText" text="ALTO IMPACTO">
      <formula>NOT(ISERROR(SEARCH(("ALTO IMPACTO"),(J9))))</formula>
    </cfRule>
  </conditionalFormatting>
  <conditionalFormatting sqref="J10">
    <cfRule type="containsText" dxfId="136" priority="28" operator="containsText" text="BAIXO IMPACTO">
      <formula>NOT(ISERROR(SEARCH(("BAIXO IMPACTO"),(J10))))</formula>
    </cfRule>
  </conditionalFormatting>
  <conditionalFormatting sqref="J10">
    <cfRule type="containsText" dxfId="135" priority="29" operator="containsText" text="MÉDIO IMPACTO">
      <formula>NOT(ISERROR(SEARCH(("MÉDIO IMPACTO"),(J10))))</formula>
    </cfRule>
  </conditionalFormatting>
  <conditionalFormatting sqref="J10">
    <cfRule type="containsText" dxfId="134" priority="30" operator="containsText" text="ALTO IMPACTO">
      <formula>NOT(ISERROR(SEARCH(("ALTO IMPACTO"),(J10))))</formula>
    </cfRule>
  </conditionalFormatting>
  <conditionalFormatting sqref="J11">
    <cfRule type="containsText" dxfId="133" priority="31" operator="containsText" text="BAIXO IMPACTO">
      <formula>NOT(ISERROR(SEARCH(("BAIXO IMPACTO"),(J11))))</formula>
    </cfRule>
  </conditionalFormatting>
  <conditionalFormatting sqref="J11">
    <cfRule type="containsText" dxfId="132" priority="32" operator="containsText" text="MÉDIO IMPACTO">
      <formula>NOT(ISERROR(SEARCH(("MÉDIO IMPACTO"),(J11))))</formula>
    </cfRule>
  </conditionalFormatting>
  <conditionalFormatting sqref="J11">
    <cfRule type="containsText" dxfId="131" priority="33" operator="containsText" text="ALTO IMPACTO">
      <formula>NOT(ISERROR(SEARCH(("ALTO IMPACTO"),(J11))))</formula>
    </cfRule>
  </conditionalFormatting>
  <conditionalFormatting sqref="J12">
    <cfRule type="containsText" dxfId="130" priority="34" operator="containsText" text="BAIXO IMPACTO">
      <formula>NOT(ISERROR(SEARCH(("BAIXO IMPACTO"),(J12))))</formula>
    </cfRule>
  </conditionalFormatting>
  <conditionalFormatting sqref="J12">
    <cfRule type="containsText" dxfId="129" priority="35" operator="containsText" text="MÉDIO IMPACTO">
      <formula>NOT(ISERROR(SEARCH(("MÉDIO IMPACTO"),(J12))))</formula>
    </cfRule>
  </conditionalFormatting>
  <conditionalFormatting sqref="J12">
    <cfRule type="containsText" dxfId="128" priority="36" operator="containsText" text="ALTO IMPACTO">
      <formula>NOT(ISERROR(SEARCH(("ALTO IMPACTO"),(J12))))</formula>
    </cfRule>
  </conditionalFormatting>
  <conditionalFormatting sqref="J13">
    <cfRule type="containsText" dxfId="127" priority="37" operator="containsText" text="BAIXO IMPACTO">
      <formula>NOT(ISERROR(SEARCH(("BAIXO IMPACTO"),(J13))))</formula>
    </cfRule>
  </conditionalFormatting>
  <conditionalFormatting sqref="J13">
    <cfRule type="containsText" dxfId="126" priority="38" operator="containsText" text="MÉDIO IMPACTO">
      <formula>NOT(ISERROR(SEARCH(("MÉDIO IMPACTO"),(J13))))</formula>
    </cfRule>
  </conditionalFormatting>
  <conditionalFormatting sqref="J13">
    <cfRule type="containsText" dxfId="125" priority="39" operator="containsText" text="ALTO IMPACTO">
      <formula>NOT(ISERROR(SEARCH(("ALTO IMPACTO"),(J13))))</formula>
    </cfRule>
  </conditionalFormatting>
  <conditionalFormatting sqref="J17">
    <cfRule type="containsText" dxfId="124" priority="40" operator="containsText" text="BAIXO IMPACTO">
      <formula>NOT(ISERROR(SEARCH(("BAIXO IMPACTO"),(J17))))</formula>
    </cfRule>
  </conditionalFormatting>
  <conditionalFormatting sqref="J17">
    <cfRule type="containsText" dxfId="123" priority="41" operator="containsText" text="MÉDIO IMPACTO">
      <formula>NOT(ISERROR(SEARCH(("MÉDIO IMPACTO"),(J17))))</formula>
    </cfRule>
  </conditionalFormatting>
  <conditionalFormatting sqref="J17">
    <cfRule type="containsText" dxfId="122" priority="42" operator="containsText" text="ALTO IMPACTO">
      <formula>NOT(ISERROR(SEARCH(("ALTO IMPACTO"),(J17))))</formula>
    </cfRule>
  </conditionalFormatting>
  <conditionalFormatting sqref="J18">
    <cfRule type="containsText" dxfId="121" priority="43" operator="containsText" text="BAIXO IMPACTO">
      <formula>NOT(ISERROR(SEARCH(("BAIXO IMPACTO"),(J18))))</formula>
    </cfRule>
  </conditionalFormatting>
  <conditionalFormatting sqref="J18">
    <cfRule type="containsText" dxfId="120" priority="44" operator="containsText" text="MÉDIO IMPACTO">
      <formula>NOT(ISERROR(SEARCH(("MÉDIO IMPACTO"),(J18))))</formula>
    </cfRule>
  </conditionalFormatting>
  <conditionalFormatting sqref="J18">
    <cfRule type="containsText" dxfId="119" priority="45" operator="containsText" text="ALTO IMPACTO">
      <formula>NOT(ISERROR(SEARCH(("ALTO IMPACTO"),(J18))))</formula>
    </cfRule>
  </conditionalFormatting>
  <conditionalFormatting sqref="J20">
    <cfRule type="containsText" dxfId="118" priority="46" operator="containsText" text="BAIXO IMPACTO">
      <formula>NOT(ISERROR(SEARCH(("BAIXO IMPACTO"),(J20))))</formula>
    </cfRule>
  </conditionalFormatting>
  <conditionalFormatting sqref="J20">
    <cfRule type="containsText" dxfId="117" priority="47" operator="containsText" text="MÉDIO IMPACTO">
      <formula>NOT(ISERROR(SEARCH(("MÉDIO IMPACTO"),(J20))))</formula>
    </cfRule>
  </conditionalFormatting>
  <conditionalFormatting sqref="J20">
    <cfRule type="containsText" dxfId="116" priority="48" operator="containsText" text="ALTO IMPACTO">
      <formula>NOT(ISERROR(SEARCH(("ALTO IMPACTO"),(J20))))</formula>
    </cfRule>
  </conditionalFormatting>
  <conditionalFormatting sqref="J21">
    <cfRule type="containsText" dxfId="115" priority="49" operator="containsText" text="BAIXO IMPACTO">
      <formula>NOT(ISERROR(SEARCH(("BAIXO IMPACTO"),(J21))))</formula>
    </cfRule>
  </conditionalFormatting>
  <conditionalFormatting sqref="J21">
    <cfRule type="containsText" dxfId="114" priority="50" operator="containsText" text="MÉDIO IMPACTO">
      <formula>NOT(ISERROR(SEARCH(("MÉDIO IMPACTO"),(J21))))</formula>
    </cfRule>
  </conditionalFormatting>
  <conditionalFormatting sqref="J21">
    <cfRule type="containsText" dxfId="113" priority="51" operator="containsText" text="ALTO IMPACTO">
      <formula>NOT(ISERROR(SEARCH(("ALTO IMPACTO"),(J21))))</formula>
    </cfRule>
  </conditionalFormatting>
  <dataValidations count="2">
    <dataValidation type="list" allowBlank="1" showErrorMessage="1" sqref="J6:J35" xr:uid="{F44D95F0-1125-4750-B11B-20F9495C34A7}">
      <formula1>"ALTO IMPACTO,MÉDIO IMPACTO,BAIXO IMPACTO"</formula1>
    </dataValidation>
    <dataValidation type="list" allowBlank="1" showErrorMessage="1" sqref="H6:H35" xr:uid="{A42C6F8E-99F9-4E93-BF09-D0AE7C4EFB53}">
      <formula1>"Estratégico,Financeiro,Operacional,Legal,Tecnologia,Imagem"</formula1>
    </dataValidation>
  </dataValidations>
  <pageMargins left="0.511811024" right="0.511811024" top="0.78740157499999996" bottom="0.78740157499999996"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EEEC6EA2-BA65-4717-A535-58911EFB0EC9}">
          <x14:formula1>
            <xm:f>'Lista Suspensa'!#REF!</xm:f>
          </x14:formula1>
          <xm:sqref>I1:I1048576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73A77"/>
  </sheetPr>
  <dimension ref="B1:N1003"/>
  <sheetViews>
    <sheetView showGridLines="0" zoomScale="40" zoomScaleNormal="40" workbookViewId="0">
      <pane xSplit="4" ySplit="8" topLeftCell="E9" activePane="bottomRight" state="frozen"/>
      <selection pane="topRight" activeCell="D1" sqref="D1"/>
      <selection pane="bottomLeft" activeCell="A7" sqref="A7"/>
      <selection pane="bottomRight" activeCell="G9" sqref="G9"/>
    </sheetView>
  </sheetViews>
  <sheetFormatPr defaultColWidth="12.59765625" defaultRowHeight="15" customHeight="1" x14ac:dyDescent="0.25"/>
  <cols>
    <col min="1" max="1" width="4.09765625" style="126" customWidth="1"/>
    <col min="2" max="2" width="9.8984375" style="126" customWidth="1"/>
    <col min="3" max="3" width="13.19921875" style="126" customWidth="1"/>
    <col min="4" max="4" width="30.09765625" style="126" customWidth="1"/>
    <col min="5" max="5" width="92.8984375" style="126" customWidth="1"/>
    <col min="6" max="6" width="48.59765625" style="126" customWidth="1"/>
    <col min="7" max="7" width="26.5" style="125" customWidth="1"/>
    <col min="8" max="8" width="61.09765625" style="126" customWidth="1"/>
    <col min="9" max="9" width="12.59765625" style="126" customWidth="1"/>
    <col min="10" max="10" width="19" style="126" bestFit="1" customWidth="1"/>
    <col min="11" max="11" width="24.5" style="126" bestFit="1" customWidth="1"/>
    <col min="12" max="12" width="21.3984375" style="126" bestFit="1" customWidth="1"/>
    <col min="13" max="13" width="21.69921875" style="126" customWidth="1"/>
    <col min="14" max="14" width="13.09765625" style="384" bestFit="1" customWidth="1"/>
    <col min="15" max="27" width="7.59765625" style="126" customWidth="1"/>
    <col min="28" max="16384" width="12.59765625" style="126"/>
  </cols>
  <sheetData>
    <row r="1" spans="2:14" ht="40.049999999999997" customHeight="1" x14ac:dyDescent="0.25"/>
    <row r="2" spans="2:14" ht="13.8" x14ac:dyDescent="0.25"/>
    <row r="3" spans="2:14" customFormat="1" ht="15" customHeight="1" x14ac:dyDescent="0.25">
      <c r="B3" s="234" t="s">
        <v>891</v>
      </c>
      <c r="D3" s="126"/>
      <c r="E3" s="322" t="s">
        <v>643</v>
      </c>
      <c r="F3" s="151">
        <v>141950</v>
      </c>
      <c r="G3" s="323" t="s">
        <v>646</v>
      </c>
      <c r="H3" s="126"/>
      <c r="I3" s="126"/>
      <c r="J3" s="126"/>
      <c r="K3" s="126"/>
      <c r="L3" s="126"/>
      <c r="M3" s="126"/>
      <c r="N3" s="132"/>
    </row>
    <row r="4" spans="2:14" customFormat="1" ht="13.8" x14ac:dyDescent="0.25">
      <c r="B4" s="235" t="s">
        <v>889</v>
      </c>
      <c r="D4" s="126"/>
      <c r="E4" s="322" t="s">
        <v>644</v>
      </c>
      <c r="F4" s="151">
        <v>95800</v>
      </c>
      <c r="G4" s="152">
        <v>4731498.74</v>
      </c>
      <c r="H4" s="126"/>
      <c r="I4" s="126"/>
      <c r="J4" s="126"/>
      <c r="K4" s="126"/>
      <c r="L4" s="126"/>
      <c r="M4" s="126"/>
      <c r="N4" s="132"/>
    </row>
    <row r="5" spans="2:14" customFormat="1" ht="13.8" x14ac:dyDescent="0.25">
      <c r="B5" s="330" t="s">
        <v>755</v>
      </c>
      <c r="E5" s="322" t="s">
        <v>645</v>
      </c>
      <c r="F5" s="151">
        <v>7100</v>
      </c>
      <c r="G5" s="125"/>
      <c r="H5" s="126"/>
      <c r="I5" s="149"/>
      <c r="J5" s="126"/>
      <c r="K5" s="126"/>
      <c r="L5" s="126"/>
      <c r="M5" s="329" t="s">
        <v>888</v>
      </c>
      <c r="N5" s="132"/>
    </row>
    <row r="6" spans="2:14" customFormat="1" ht="28.2" thickBot="1" x14ac:dyDescent="0.3">
      <c r="B6" s="330"/>
      <c r="D6" s="126"/>
      <c r="E6" s="126"/>
      <c r="F6" s="126"/>
      <c r="G6" s="163" t="s">
        <v>119</v>
      </c>
      <c r="H6" s="126"/>
      <c r="I6" s="126"/>
      <c r="J6" s="149"/>
      <c r="K6" s="149"/>
      <c r="L6" s="150"/>
      <c r="M6" s="126"/>
      <c r="N6" s="132"/>
    </row>
    <row r="7" spans="2:14" customFormat="1" ht="14.4" x14ac:dyDescent="0.3">
      <c r="B7" s="226" t="s">
        <v>746</v>
      </c>
      <c r="C7" s="225">
        <v>1</v>
      </c>
      <c r="D7" s="215">
        <v>2</v>
      </c>
      <c r="E7" s="215">
        <v>3</v>
      </c>
      <c r="F7" s="215">
        <v>4</v>
      </c>
      <c r="G7" s="215">
        <v>5</v>
      </c>
      <c r="H7" s="215">
        <v>6</v>
      </c>
      <c r="I7" s="215">
        <v>7</v>
      </c>
      <c r="J7" s="215">
        <v>8</v>
      </c>
      <c r="K7" s="215"/>
      <c r="L7" s="215">
        <v>9</v>
      </c>
      <c r="M7" s="215" t="s">
        <v>123</v>
      </c>
      <c r="N7" s="216" t="s">
        <v>652</v>
      </c>
    </row>
    <row r="8" spans="2:14" customFormat="1" ht="51" customHeight="1" x14ac:dyDescent="0.25">
      <c r="B8" s="324" t="s">
        <v>293</v>
      </c>
      <c r="C8" s="325" t="s">
        <v>45</v>
      </c>
      <c r="D8" s="325" t="s">
        <v>125</v>
      </c>
      <c r="E8" s="325" t="s">
        <v>126</v>
      </c>
      <c r="F8" s="325" t="s">
        <v>127</v>
      </c>
      <c r="G8" s="325" t="s">
        <v>128</v>
      </c>
      <c r="H8" s="325" t="s">
        <v>129</v>
      </c>
      <c r="I8" s="325" t="s">
        <v>46</v>
      </c>
      <c r="J8" s="325" t="s">
        <v>130</v>
      </c>
      <c r="K8" s="325" t="s">
        <v>130</v>
      </c>
      <c r="L8" s="326" t="s">
        <v>745</v>
      </c>
      <c r="M8" s="327"/>
      <c r="N8" s="328"/>
    </row>
    <row r="9" spans="2:14" ht="103.95" customHeight="1" x14ac:dyDescent="0.25">
      <c r="B9" s="331" t="s">
        <v>734</v>
      </c>
      <c r="C9" s="217" t="s">
        <v>131</v>
      </c>
      <c r="D9" s="332" t="str">
        <f>_xlfn.XLOOKUP($B9,'BASE DE PONTOS V+'!$B:$B,'BASE DE PONTOS V+'!$C:$C)</f>
        <v>Pagamento sem nota fiscal</v>
      </c>
      <c r="E9" s="218" t="str">
        <f>_xlfn.XLOOKUP($B9,'BASE DE PONTOS V+'!$B:$B,'BASE DE PONTOS V+'!$D:$D)</f>
        <v>Verificamos que ocorreram gastos sem a respectiva emissão de nota fiscal pelos fornecedores e prestadores de serviços.</v>
      </c>
      <c r="F9" s="218" t="str">
        <f>_xlfn.XLOOKUP($B9,'BASE DE PONTOS V+'!$B:$B,'BASE DE PONTOS V+'!$F:$F)</f>
        <v>Pagamento sem os respectivos Fornecedores/Prestadores de serviços não é permitido pela legislação brasileira assim como Convenção e Regimento Interno do Condomínio podendo ser multado e/ou sofrer outras penalidades impostas pelo fisco.</v>
      </c>
      <c r="G9" s="221">
        <f>_xlfn.XLOOKUP(B9,'BASE DE PONTOS V+'!B:B,'BASE DE PONTOS V+'!E:E)</f>
        <v>47819.880000000056</v>
      </c>
      <c r="H9" s="218" t="str">
        <f>_xlfn.XLOOKUP($B9,'BASE DE PONTOS V+'!$B:$B,'BASE DE PONTOS V+'!$G:$G)</f>
        <v>Sugerimos que seja solicitado aos respectivos Fornecedores/ Prestadores de serviços ou fornecedores a nota fiscal pelo fornecimento de material ou de prestação de serviço.</v>
      </c>
      <c r="I9" s="219" t="str">
        <f>_xlfn.XLOOKUP($B9,'BASE DE PONTOS V+'!$B:$B,'BASE DE PONTOS V+'!$H:$H)</f>
        <v>Legal</v>
      </c>
      <c r="J9" s="220" t="str">
        <f>_xlfn.XLOOKUP($B9,'BASE DE PONTOS V+'!$B:$B,'BASE DE PONTOS V+'!$I:$I)</f>
        <v>Voucher Documental</v>
      </c>
      <c r="K9" s="220">
        <f>_xlfn.XLOOKUP($B9,'BASE DE PONTOS V+'!$B:$B,'BASE DE PONTOS V+'!$M:$M)</f>
        <v>0</v>
      </c>
      <c r="L9" s="227" t="str">
        <f>_xlfn.XLOOKUP(B9,'BASE DE PONTOS V+'!B:B,'BASE DE PONTOS V+'!J:J)</f>
        <v>Alto Impacto</v>
      </c>
      <c r="M9" s="387" t="str">
        <f>_xlfn.XLOOKUP(D9,'BASE DE PONTOS V+'!C:C,'BASE DE PONTOS V+'!L:L)</f>
        <v>•	31/12/2021
•	Recorrente
■	Vorcon Auditoria &amp; Consultoria
■	24/06/2022</v>
      </c>
      <c r="N9" s="385" t="str">
        <f>IF(B9="","",IFERROR(IF(I9="Financeiro",VLOOKUP(G9,'BASE DA MATRIZ DE RISCOS'!$O$58:$Q$62,3,1),"Avaliar por julgameto"),"1"))</f>
        <v>Avaliar por julgameto</v>
      </c>
    </row>
    <row r="10" spans="2:14" ht="73.95" customHeight="1" x14ac:dyDescent="0.25">
      <c r="B10" s="331" t="s">
        <v>736</v>
      </c>
      <c r="C10" s="217" t="s">
        <v>141</v>
      </c>
      <c r="D10" s="332" t="str">
        <f>_xlfn.XLOOKUP($B10,'BASE DE PONTOS V+'!$B:$B,'BASE DE PONTOS V+'!$C:$C)</f>
        <v>Pagamentos realizados sem os respectivos comprovantes de pagamento anexados</v>
      </c>
      <c r="E10" s="218" t="str">
        <f>_xlfn.XLOOKUP($B10,'BASE DE PONTOS V+'!$B:$B,'BASE DE PONTOS V+'!$D:$D)</f>
        <v>Verificamos que alguns pagamentos foram realizados sem que fossem anexados os respectivos comprovantes de pagamentos ou documentos equivalentes dando a respectiva quitação.</v>
      </c>
      <c r="F10" s="219" t="str">
        <f>_xlfn.XLOOKUP($B10,'BASE DE PONTOS V+'!$B:$B,'BASE DE PONTOS V+'!$F:$F)</f>
        <v>Pagamento duplicado dos valores, ou caso haja a solicitação do comprovante de pagamento o Condomínio não os possua</v>
      </c>
      <c r="G10" s="221">
        <f>_xlfn.XLOOKUP(B10,'BASE DE PONTOS V+'!B:B,'BASE DE PONTOS V+'!E:E)</f>
        <v>23309.370000000003</v>
      </c>
      <c r="H10" s="219" t="str">
        <f>_xlfn.XLOOKUP($B10,'BASE DE PONTOS V+'!$B:$B,'BASE DE PONTOS V+'!$G:$G)</f>
        <v>Sugerimos que sejam criados processos para que os comprovantes de pagamentos estejam anexados ao processo de pagamentos</v>
      </c>
      <c r="I10" s="219" t="str">
        <f>_xlfn.XLOOKUP($B10,'BASE DE PONTOS V+'!$B:$B,'BASE DE PONTOS V+'!$H:$H)</f>
        <v>Financeiro</v>
      </c>
      <c r="J10" s="220" t="str">
        <f>_xlfn.XLOOKUP($B10,'BASE DE PONTOS V+'!$B:$B,'BASE DE PONTOS V+'!$I:$I)</f>
        <v>Voucher Documental</v>
      </c>
      <c r="K10" s="220">
        <f>_xlfn.XLOOKUP($B10,'BASE DE PONTOS V+'!$B:$B,'BASE DE PONTOS V+'!$M:$M)</f>
        <v>0</v>
      </c>
      <c r="L10" s="227" t="str">
        <f>_xlfn.XLOOKUP(B10,'BASE DE PONTOS V+'!B:B,'BASE DE PONTOS V+'!J:J)</f>
        <v>Alto Impacto</v>
      </c>
      <c r="M10" s="387" t="str">
        <f>_xlfn.XLOOKUP(D10,'BASE DE PONTOS V+'!C:C,'BASE DE PONTOS V+'!L:L)</f>
        <v>•	31/12/2021
•	Recorrente
■	Vorcon Auditoria &amp; Consultoria
■	24/06/2022</v>
      </c>
      <c r="N10" s="385">
        <f>IF(B10="","",IFERROR(IF(I10="Financeiro",VLOOKUP(G10,'BASE DA MATRIZ DE RISCOS'!$O$58:$Q$62,3,1),"Avaliar por julgameto"),"1"))</f>
        <v>2</v>
      </c>
    </row>
    <row r="11" spans="2:14" ht="73.95" customHeight="1" x14ac:dyDescent="0.25">
      <c r="B11" s="331" t="s">
        <v>737</v>
      </c>
      <c r="C11" s="217" t="s">
        <v>148</v>
      </c>
      <c r="D11" s="332" t="str">
        <f>_xlfn.XLOOKUP($B11,'BASE DE PONTOS V+'!$B:$B,'BASE DE PONTOS V+'!$C:$C)</f>
        <v>Negligência na gestão dos Documentos que compõe os Demonstrativos</v>
      </c>
      <c r="E11" s="218" t="str">
        <f>_xlfn.XLOOKUP($B11,'BASE DE PONTOS V+'!$B:$B,'BASE DE PONTOS V+'!$D:$D)</f>
        <v>Verificamos que alguns comprovantes não estão sendo arquivados com os cuidados necessários, com isso alguns estão ilegíveis.</v>
      </c>
      <c r="F11" s="219" t="str">
        <f>_xlfn.XLOOKUP($B11,'BASE DE PONTOS V+'!$B:$B,'BASE DE PONTOS V+'!$F:$F)</f>
        <v>Dificuldade na visualização dos gastos e impossibilidade e dúvidas quanto a possíveis consultas no futuro em função do estado dos documentos.</v>
      </c>
      <c r="G11" s="221">
        <f>_xlfn.XLOOKUP(B11,'BASE DE PONTOS V+'!B:B,'BASE DE PONTOS V+'!E:E)</f>
        <v>1087.3899999999999</v>
      </c>
      <c r="H11" s="219" t="str">
        <f>_xlfn.XLOOKUP($B11,'BASE DE PONTOS V+'!$B:$B,'BASE DE PONTOS V+'!$G:$G)</f>
        <v>Sugerimos que sejam criados processos para que os comprovantes sejam de responsabilidade do financeiro tirar cópia ou digitalizá-los assim que os receber.</v>
      </c>
      <c r="I11" s="219" t="str">
        <f>_xlfn.XLOOKUP($B11,'BASE DE PONTOS V+'!$B:$B,'BASE DE PONTOS V+'!$H:$H)</f>
        <v>Operacional</v>
      </c>
      <c r="J11" s="220" t="str">
        <f>_xlfn.XLOOKUP($B11,'BASE DE PONTOS V+'!$B:$B,'BASE DE PONTOS V+'!$I:$I)</f>
        <v>Voucher Documental</v>
      </c>
      <c r="K11" s="220">
        <f>_xlfn.XLOOKUP($B11,'BASE DE PONTOS V+'!$B:$B,'BASE DE PONTOS V+'!$M:$M)</f>
        <v>0</v>
      </c>
      <c r="L11" s="227" t="str">
        <f>_xlfn.XLOOKUP(B11,'BASE DE PONTOS V+'!B:B,'BASE DE PONTOS V+'!J:J)</f>
        <v>Baixo Impacto</v>
      </c>
      <c r="M11" s="387" t="str">
        <f>_xlfn.XLOOKUP(D11,'BASE DE PONTOS V+'!C:C,'BASE DE PONTOS V+'!L:L)</f>
        <v>•	31/12/2021
•	Recorrente
■	Vorcon Auditoria &amp; Consultoria
■	24/06/2022</v>
      </c>
      <c r="N11" s="385" t="str">
        <f>IF(B11="","",IFERROR(IF(I11="Financeiro",VLOOKUP(G11,'BASE DA MATRIZ DE RISCOS'!$O$58:$Q$62,3,1),"Avaliar por julgameto"),"1"))</f>
        <v>Avaliar por julgameto</v>
      </c>
    </row>
    <row r="12" spans="2:14" ht="73.95" customHeight="1" x14ac:dyDescent="0.25">
      <c r="B12" s="331" t="s">
        <v>738</v>
      </c>
      <c r="C12" s="217" t="s">
        <v>630</v>
      </c>
      <c r="D12" s="332" t="str">
        <f>_xlfn.XLOOKUP($B12,'BASE DE PONTOS V+'!$B:$B,'BASE DE PONTOS V+'!$C:$C)</f>
        <v>Pagamento de tarifa bancária.</v>
      </c>
      <c r="E12" s="218" t="str">
        <f>_xlfn.XLOOKUP($B12,'BASE DE PONTOS V+'!$B:$B,'BASE DE PONTOS V+'!$D:$D)</f>
        <v>Verificamos que ocorreram pagamento de fornecedores e prestadores de serviços por meio de transferência bancária.</v>
      </c>
      <c r="F12" s="219" t="str">
        <f>_xlfn.XLOOKUP($B12,'BASE DE PONTOS V+'!$B:$B,'BASE DE PONTOS V+'!$F:$F)</f>
        <v>Pagamento de encargos financeiros que deveriam ser de responsabilidade dos Fornecedores/Prestadores de serviços</v>
      </c>
      <c r="G12" s="221">
        <f>_xlfn.XLOOKUP(B12,'BASE DE PONTOS V+'!B:B,'BASE DE PONTOS V+'!E:E)</f>
        <v>88.399999999999991</v>
      </c>
      <c r="H12" s="219" t="str">
        <f>_xlfn.XLOOKUP($B12,'BASE DE PONTOS V+'!$B:$B,'BASE DE PONTOS V+'!$G:$G)</f>
        <v>Sugerimos que seja solicitado boleto para pagamento de todos os Fornecedores/Prestadores de serviços e em caso de negativa o valor dos encargos financeiros deve ser subtraído do pagamento.</v>
      </c>
      <c r="I12" s="219" t="str">
        <f>_xlfn.XLOOKUP($B12,'BASE DE PONTOS V+'!$B:$B,'BASE DE PONTOS V+'!$H:$H)</f>
        <v>Financeiro</v>
      </c>
      <c r="J12" s="220" t="str">
        <f>_xlfn.XLOOKUP($B12,'BASE DE PONTOS V+'!$B:$B,'BASE DE PONTOS V+'!$I:$I)</f>
        <v>Voucher Documental</v>
      </c>
      <c r="K12" s="220">
        <f>_xlfn.XLOOKUP($B12,'BASE DE PONTOS V+'!$B:$B,'BASE DE PONTOS V+'!$M:$M)</f>
        <v>0</v>
      </c>
      <c r="L12" s="227" t="str">
        <f>_xlfn.XLOOKUP(B12,'BASE DE PONTOS V+'!B:B,'BASE DE PONTOS V+'!J:J)</f>
        <v>Baixo Impacto</v>
      </c>
      <c r="M12" s="387" t="str">
        <f>_xlfn.XLOOKUP(D12,'BASE DE PONTOS V+'!C:C,'BASE DE PONTOS V+'!L:L)</f>
        <v>•	31/12/2021
•	Recorrente
■	Vorcon Auditoria &amp; Consultoria
■	24/06/2022</v>
      </c>
      <c r="N12" s="385">
        <f>IF(B12="","",IFERROR(IF(I12="Financeiro",VLOOKUP(G12,'BASE DA MATRIZ DE RISCOS'!$O$58:$Q$62,3,1),"Avaliar por julgameto"),"1"))</f>
        <v>1</v>
      </c>
    </row>
    <row r="13" spans="2:14" ht="73.95" customHeight="1" x14ac:dyDescent="0.25">
      <c r="B13" s="331" t="s">
        <v>739</v>
      </c>
      <c r="C13" s="217" t="s">
        <v>631</v>
      </c>
      <c r="D13" s="332" t="str">
        <f>_xlfn.XLOOKUP($B13,'BASE DE PONTOS V+'!$B:$B,'BASE DE PONTOS V+'!$C:$C)</f>
        <v>Diferenças entre: Valor do comprovante de pagamento X Valor da documentação suporte.</v>
      </c>
      <c r="E13" s="218" t="str">
        <f>_xlfn.XLOOKUP($B13,'BASE DE PONTOS V+'!$B:$B,'BASE DE PONTOS V+'!$D:$D)</f>
        <v>Verificamos que há diferença entre os valores apresentados, não justificada por parcelamento ou multa.</v>
      </c>
      <c r="F13" s="219" t="str">
        <f>_xlfn.XLOOKUP($B13,'BASE DE PONTOS V+'!$B:$B,'BASE DE PONTOS V+'!$F:$F)</f>
        <v>Possibilidade de pagamentos realizados com valores incorretos.</v>
      </c>
      <c r="G13" s="221">
        <f>_xlfn.XLOOKUP(B13,'BASE DE PONTOS V+'!B:B,'BASE DE PONTOS V+'!E:E)</f>
        <v>333.29999999999927</v>
      </c>
      <c r="H13" s="219" t="str">
        <f>_xlfn.XLOOKUP($B13,'BASE DE PONTOS V+'!$B:$B,'BASE DE PONTOS V+'!$G:$G)</f>
        <v>Sugerimos que os pagamentos sejam realizados com os valores que constam no documento auxiliar.</v>
      </c>
      <c r="I13" s="219" t="str">
        <f>_xlfn.XLOOKUP($B13,'BASE DE PONTOS V+'!$B:$B,'BASE DE PONTOS V+'!$H:$H)</f>
        <v>Financeiro</v>
      </c>
      <c r="J13" s="220" t="str">
        <f>_xlfn.XLOOKUP($B13,'BASE DE PONTOS V+'!$B:$B,'BASE DE PONTOS V+'!$I:$I)</f>
        <v>Voucher Documental</v>
      </c>
      <c r="K13" s="220">
        <f>_xlfn.XLOOKUP($B13,'BASE DE PONTOS V+'!$B:$B,'BASE DE PONTOS V+'!$M:$M)</f>
        <v>0</v>
      </c>
      <c r="L13" s="227" t="str">
        <f>_xlfn.XLOOKUP(B13,'BASE DE PONTOS V+'!B:B,'BASE DE PONTOS V+'!J:J)</f>
        <v>Baixo Impacto</v>
      </c>
      <c r="M13" s="387" t="str">
        <f>_xlfn.XLOOKUP(D13,'BASE DE PONTOS V+'!C:C,'BASE DE PONTOS V+'!L:L)</f>
        <v>•	31/12/2021
•	Recorrente
■	Vorcon Auditoria &amp; Consultoria
■	24/06/2022</v>
      </c>
      <c r="N13" s="385">
        <f>IF(B13="","",IFERROR(IF(I13="Financeiro",VLOOKUP(G13,'BASE DA MATRIZ DE RISCOS'!$O$58:$Q$62,3,1),"Avaliar por julgameto"),"1"))</f>
        <v>1</v>
      </c>
    </row>
    <row r="14" spans="2:14" ht="73.95" customHeight="1" x14ac:dyDescent="0.25">
      <c r="B14" s="331" t="s">
        <v>733</v>
      </c>
      <c r="C14" s="217" t="s">
        <v>164</v>
      </c>
      <c r="D14" s="332" t="str">
        <f>_xlfn.XLOOKUP($B14,'BASE DE PONTOS V+'!$B:$B,'BASE DE PONTOS V+'!$C:$C)</f>
        <v>Acesso a Convenção do Condomínio</v>
      </c>
      <c r="E14" s="218" t="str">
        <f>_xlfn.XLOOKUP($B14,'BASE DE PONTOS V+'!$B:$B,'BASE DE PONTOS V+'!$D:$D)</f>
        <v>Verificamos que o Condomínio não possui site, o ideal seria ter um site e disponibiliar o requimento Regimento nele.</v>
      </c>
      <c r="F14" s="219" t="str">
        <f>_xlfn.XLOOKUP($B14,'BASE DE PONTOS V+'!$B:$B,'BASE DE PONTOS V+'!$F:$F)</f>
        <v>As melhores práticas de gestão sugerem que as informações do Condomínio estejam de fácil acesso para qualquer condômino.</v>
      </c>
      <c r="G14" s="221" t="str">
        <f>_xlfn.XLOOKUP(B14,'BASE DE PONTOS V+'!B:B,'BASE DE PONTOS V+'!E:E)</f>
        <v>N/A</v>
      </c>
      <c r="H14" s="219" t="str">
        <f>_xlfn.XLOOKUP($B14,'BASE DE PONTOS V+'!$B:$B,'BASE DE PONTOS V+'!$G:$G)</f>
        <v>Sugerimos que o Condomínio contate a sua equipe de TI e verifique a possibilidade de criar um site do Condomínio e disponibilizar a convenção</v>
      </c>
      <c r="I14" s="219" t="str">
        <f>_xlfn.XLOOKUP($B14,'BASE DE PONTOS V+'!$B:$B,'BASE DE PONTOS V+'!$H:$H)</f>
        <v>Operacional</v>
      </c>
      <c r="J14" s="220" t="str">
        <f>_xlfn.XLOOKUP($B14,'BASE DE PONTOS V+'!$B:$B,'BASE DE PONTOS V+'!$I:$I)</f>
        <v>Resumo da Convenção</v>
      </c>
      <c r="K14" s="220">
        <f>_xlfn.XLOOKUP($B14,'BASE DE PONTOS V+'!$B:$B,'BASE DE PONTOS V+'!$M:$M)</f>
        <v>0</v>
      </c>
      <c r="L14" s="227" t="str">
        <f>_xlfn.XLOOKUP(B14,'BASE DE PONTOS V+'!B:B,'BASE DE PONTOS V+'!J:J)</f>
        <v>Baixo Impacto</v>
      </c>
      <c r="M14" s="387" t="str">
        <f>_xlfn.XLOOKUP(D14,'BASE DE PONTOS V+'!C:C,'BASE DE PONTOS V+'!L:L)</f>
        <v>•	31/12/2021
•	Recorrente
■	Vorcon Auditoria &amp; Consultoria
■	24/06/2022</v>
      </c>
      <c r="N14" s="385" t="str">
        <f>IF(B14="","",IFERROR(IF(I14="Financeiro",VLOOKUP(G14,'BASE DA MATRIZ DE RISCOS'!$O$58:$Q$62,3,1),"Avaliar por julgameto"),"1"))</f>
        <v>Avaliar por julgameto</v>
      </c>
    </row>
    <row r="15" spans="2:14" ht="73.95" customHeight="1" x14ac:dyDescent="0.25">
      <c r="B15" s="331" t="s">
        <v>894</v>
      </c>
      <c r="C15" s="217" t="s">
        <v>374</v>
      </c>
      <c r="D15" s="332" t="str">
        <f>_xlfn.XLOOKUP($B15,'BASE DE PONTOS V+'!$B:$B,'BASE DE PONTOS V+'!$C:$C)</f>
        <v>Os balancetes sem aprovação dos conselheiros fiscais no termo de aprovação.</v>
      </c>
      <c r="E15" s="218" t="str">
        <f>_xlfn.XLOOKUP($B15,'BASE DE PONTOS V+'!$B:$B,'BASE DE PONTOS V+'!$D:$D)</f>
        <v>Nos meses 01/2021 à 12/2021 não constam as assinaturas dos conselheiros fiscais e do síndico para aprovação dos balancetes.</v>
      </c>
      <c r="F15" s="219" t="str">
        <f>_xlfn.XLOOKUP($B15,'BASE DE PONTOS V+'!$B:$B,'BASE DE PONTOS V+'!$F:$F)</f>
        <v>A falta das assinaturas dos conselheiros fiscais nos termos de aprovação dos balancetes indica que as contas do condomínio não foram submetidas ao exame, acarretando a redução do nível de confiança dos demonstrativos e podendo prejudicar a leitura dos usuários.</v>
      </c>
      <c r="G15" s="221" t="str">
        <f>_xlfn.XLOOKUP(B15,'BASE DE PONTOS V+'!B:B,'BASE DE PONTOS V+'!E:E)</f>
        <v>N/A</v>
      </c>
      <c r="H15" s="219" t="str">
        <f>_xlfn.XLOOKUP($B15,'BASE DE PONTOS V+'!$B:$B,'BASE DE PONTOS V+'!$G:$G)</f>
        <v>Sugerimos que os conselheiros fiscais realizem o exame dos balancetes e caso ocorra a aprovação dos mesmos, confirmem com as suas assinaturas nos termos de aprovação. Mesmo com as demonstrações financeiras sendo auditadas mensalmente, é necessário a validação do conselho fiscal.</v>
      </c>
      <c r="I15" s="219" t="str">
        <f>_xlfn.XLOOKUP($B15,'BASE DE PONTOS V+'!$B:$B,'BASE DE PONTOS V+'!$H:$H)</f>
        <v>Operacional</v>
      </c>
      <c r="J15" s="220" t="str">
        <f>_xlfn.XLOOKUP($B15,'BASE DE PONTOS V+'!$B:$B,'BASE DE PONTOS V+'!$I:$I)</f>
        <v>Resumo da Convenção</v>
      </c>
      <c r="K15" s="220">
        <f>_xlfn.XLOOKUP($B15,'BASE DE PONTOS V+'!$B:$B,'BASE DE PONTOS V+'!$M:$M)</f>
        <v>0</v>
      </c>
      <c r="L15" s="227" t="str">
        <f>_xlfn.XLOOKUP(B15,'BASE DE PONTOS V+'!B:B,'BASE DE PONTOS V+'!J:J)</f>
        <v>Baixo Impacto</v>
      </c>
      <c r="M15" s="387" t="str">
        <f>_xlfn.XLOOKUP(D15,'BASE DE PONTOS V+'!C:C,'BASE DE PONTOS V+'!L:L)</f>
        <v>•	31/12/2021
•	Novo
■	Vorcon Auditoria &amp; Consultoria
■	24/06/2022</v>
      </c>
      <c r="N15" s="385" t="str">
        <f>IF(B15="","",IFERROR(IF(I15="Financeiro",VLOOKUP(G15,'BASE DA MATRIZ DE RISCOS'!$O$58:$Q$62,3,1),"Avaliar por julgameto"),"1"))</f>
        <v>Avaliar por julgameto</v>
      </c>
    </row>
    <row r="16" spans="2:14" ht="73.95" customHeight="1" x14ac:dyDescent="0.25">
      <c r="B16" s="331" t="s">
        <v>896</v>
      </c>
      <c r="C16" s="217" t="s">
        <v>375</v>
      </c>
      <c r="D16" s="332" t="str">
        <f>_xlfn.XLOOKUP($B16,'BASE DE PONTOS V+'!$B:$B,'BASE DE PONTOS V+'!$C:$C)</f>
        <v>Impacto com os inadimplentes</v>
      </c>
      <c r="E16" s="218" t="str">
        <f>_xlfn.XLOOKUP($B16,'BASE DE PONTOS V+'!$B:$B,'BASE DE PONTOS V+'!$D:$D)</f>
        <v>Verificamos que a inadimplência na data base de 31/12/2021 foi equivalente a R$ 23.053,25 atualizados com multas, juros e correção.</v>
      </c>
      <c r="F16" s="219" t="str">
        <f>_xlfn.XLOOKUP($B16,'BASE DE PONTOS V+'!$B:$B,'BASE DE PONTOS V+'!$F:$F)</f>
        <v>O alto índice de inadimplência condominial impacta inicialmente o orçamento do condomínio. Assim, é preciso compensar de alguma forma o déficit orçamentário para que as obrigações condominiais sejam cumpridas. Como alternativas para essas compensações, podem ser ajustados os valores das taxas condominiais, utilizados os seus fundos de reserva ou criadas taxas extras, gerado assim, prejuízos aos condomínios adimplentes e a toda estrutura financeira condominial. Ademais, ocorre as implicações de ordem interpessoal para que ocorra a regularização dos valores, o que em casos mais graves necessita de cobrança judicial, gerando outros gastos com honorários advocatícios e custas judiciais.</v>
      </c>
      <c r="G16" s="221">
        <f>_xlfn.XLOOKUP(B16,'BASE DE PONTOS V+'!B:B,'BASE DE PONTOS V+'!E:E)</f>
        <v>23053.25</v>
      </c>
      <c r="H16" s="222" t="str">
        <f>_xlfn.XLOOKUP($B16,'BASE DE PONTOS V+'!$B:$B,'BASE DE PONTOS V+'!$G:$G)</f>
        <v>Indicamos à administração ações preventivas que tenham como objetivo a redução das despesas condominiais, o fortalecimento do fundo de reserva e a cobrança de maneira assertiva dos inadimplentes. Além disso, devem ser buscadas alternativas analisando a relação de custos e benefícios para solução desse problema, como por exemplo, a utilização dos serviços de uma garantidora de condomínio.</v>
      </c>
      <c r="I16" s="219" t="str">
        <f>_xlfn.XLOOKUP($B16,'BASE DE PONTOS V+'!$B:$B,'BASE DE PONTOS V+'!$H:$H)</f>
        <v>Financeiro</v>
      </c>
      <c r="J16" s="220" t="str">
        <f>_xlfn.XLOOKUP($B16,'BASE DE PONTOS V+'!$B:$B,'BASE DE PONTOS V+'!$I:$I)</f>
        <v>Inadimplentes</v>
      </c>
      <c r="K16" s="220">
        <f>_xlfn.XLOOKUP($B16,'BASE DE PONTOS V+'!$B:$B,'BASE DE PONTOS V+'!$M:$M)</f>
        <v>0</v>
      </c>
      <c r="L16" s="227" t="str">
        <f>_xlfn.XLOOKUP(B16,'BASE DE PONTOS V+'!B:B,'BASE DE PONTOS V+'!J:J)</f>
        <v>Médio Impacto</v>
      </c>
      <c r="M16" s="387" t="str">
        <f>_xlfn.XLOOKUP(D16,'BASE DE PONTOS V+'!C:C,'BASE DE PONTOS V+'!L:L)</f>
        <v>•	31/12/2021
•	Recorrente
■	Vorcon Auditoria &amp; Consultoria
■	24/06/2022</v>
      </c>
      <c r="N16" s="385">
        <f>IF(B16="","",IFERROR(IF(I16="Financeiro",VLOOKUP(G16,'BASE DA MATRIZ DE RISCOS'!$O$58:$Q$62,3,1),"Avaliar por julgameto"),"1"))</f>
        <v>2</v>
      </c>
    </row>
    <row r="17" spans="2:14" ht="73.95" customHeight="1" x14ac:dyDescent="0.25">
      <c r="B17" s="331" t="s">
        <v>917</v>
      </c>
      <c r="C17" s="217" t="s">
        <v>376</v>
      </c>
      <c r="D17" s="333" t="str">
        <f>_xlfn.XLOOKUP($B17,'BASE DE PONTOS V+'!$B:$B,'BASE DE PONTOS V+'!$C:$C)</f>
        <v>Ausência de Inventário dos ativos imobilizados</v>
      </c>
      <c r="E17" s="222" t="str">
        <f>_xlfn.XLOOKUP($B17,'BASE DE PONTOS V+'!$B:$B,'BASE DE PONTOS V+'!$D:$D)</f>
        <v>Não foi possível identificar o controle patrimonial dos ativos imobilizados do condomínio.</v>
      </c>
      <c r="F17" s="222" t="str">
        <f>_xlfn.XLOOKUP($B17,'BASE DE PONTOS V+'!$B:$B,'BASE DE PONTOS V+'!$F:$F)</f>
        <v>A ausência do controle patrimonial, o condomínio poderá impactar em possíveis perdas ou desvios do ativo imobilizado.</v>
      </c>
      <c r="G17" s="221" t="str">
        <f>_xlfn.XLOOKUP(B17,'BASE DE PONTOS V+'!B:B,'BASE DE PONTOS V+'!E:E)</f>
        <v>N/A</v>
      </c>
      <c r="H17" s="222" t="str">
        <f>_xlfn.XLOOKUP($B17,'BASE DE PONTOS V+'!$B:$B,'BASE DE PONTOS V+'!$G:$G)</f>
        <v>Sugerimos à Administração do condomínio que busque realizar o inventário dos ativos imobilizados anualmente.</v>
      </c>
      <c r="I17" s="223" t="str">
        <f>_xlfn.XLOOKUP($B17,'BASE DE PONTOS V+'!$B:$B,'BASE DE PONTOS V+'!$H:$H)</f>
        <v>Financeiro</v>
      </c>
      <c r="J17" s="224" t="str">
        <f>_xlfn.XLOOKUP($B17,'BASE DE PONTOS V+'!$B:$B,'BASE DE PONTOS V+'!$I:$I)</f>
        <v>Ativo imobilizado</v>
      </c>
      <c r="K17" s="220">
        <f>_xlfn.XLOOKUP($B17,'BASE DE PONTOS V+'!$B:$B,'BASE DE PONTOS V+'!$M:$M)</f>
        <v>0</v>
      </c>
      <c r="L17" s="227" t="str">
        <f>_xlfn.XLOOKUP(B17,'BASE DE PONTOS V+'!B:B,'BASE DE PONTOS V+'!J:J)</f>
        <v>Alto Impacto</v>
      </c>
      <c r="M17" s="387" t="str">
        <f>_xlfn.XLOOKUP(D17,'BASE DE PONTOS V+'!C:C,'BASE DE PONTOS V+'!L:L)</f>
        <v>•	31/12/2021
•	Recorrente
■	Vorcon Auditoria &amp; Consultoria
■	24/06/2022</v>
      </c>
      <c r="N17" s="385" t="str">
        <f>IF(B17="","",IFERROR(IF(I17="Financeiro",VLOOKUP(G17,'BASE DA MATRIZ DE RISCOS'!$O$58:$Q$62,3,1),"Avaliar por julgameto"),"1"))</f>
        <v>1</v>
      </c>
    </row>
    <row r="18" spans="2:14" ht="73.95" customHeight="1" x14ac:dyDescent="0.25">
      <c r="B18" s="331" t="s">
        <v>918</v>
      </c>
      <c r="C18" s="217" t="s">
        <v>377</v>
      </c>
      <c r="D18" s="333" t="str">
        <f>_xlfn.XLOOKUP($B18,'BASE DE PONTOS V+'!$B:$B,'BASE DE PONTOS V+'!$C:$C)</f>
        <v>Inexistência de informações para emissão da certidão de FGTS na Caixa econômica Federal.</v>
      </c>
      <c r="E18" s="222" t="str">
        <f>_xlfn.XLOOKUP($B18,'BASE DE PONTOS V+'!$B:$B,'BASE DE PONTOS V+'!$D:$D)</f>
        <v>Ao realizar a consulta do Certificado de Regularidade Do FGTS, obtivemos a seguinte resposta: "As informações disponíveis não são suficientes para a comprovação automática da regularidade do empregador perante o FGTS. Solicitamos acessar o portal Conectividade Social, mediante certificado ICP, para verificar possíveis impedimentos ou comparecer a uma das Agências da CAIXA". Com esclarecimentos adicionais no endereçamento.</v>
      </c>
      <c r="F18" s="222" t="str">
        <f>_xlfn.XLOOKUP($B18,'BASE DE PONTOS V+'!$B:$B,'BASE DE PONTOS V+'!$F:$F)</f>
        <v>A inexistência dos dados para emissão da certidão junto ao Caixa, poderá resultar no agravamento do acompanhamento das certidões.</v>
      </c>
      <c r="G18" s="221" t="str">
        <f>_xlfn.XLOOKUP(B18,'BASE DE PONTOS V+'!B:B,'BASE DE PONTOS V+'!E:E)</f>
        <v>N/A</v>
      </c>
      <c r="H18" s="222" t="str">
        <f>_xlfn.XLOOKUP($B18,'BASE DE PONTOS V+'!$B:$B,'BASE DE PONTOS V+'!$G:$G)</f>
        <v>Sugerimos que a administração entre no portal Conectividade Social da Caixa e faça o entendimento de quais dados estão faltando para verificar possíveis impedimentos.</v>
      </c>
      <c r="I18" s="223" t="str">
        <f>_xlfn.XLOOKUP($B18,'BASE DE PONTOS V+'!$B:$B,'BASE DE PONTOS V+'!$H:$H)</f>
        <v>Legal</v>
      </c>
      <c r="J18" s="224" t="str">
        <f>_xlfn.XLOOKUP($B18,'BASE DE PONTOS V+'!$B:$B,'BASE DE PONTOS V+'!$I:$I)</f>
        <v>Certidão</v>
      </c>
      <c r="K18" s="220">
        <f>_xlfn.XLOOKUP($B18,'BASE DE PONTOS V+'!$B:$B,'BASE DE PONTOS V+'!$M:$M)</f>
        <v>0</v>
      </c>
      <c r="L18" s="227" t="str">
        <f>_xlfn.XLOOKUP(B18,'BASE DE PONTOS V+'!B:B,'BASE DE PONTOS V+'!J:J)</f>
        <v>Alto Impacto</v>
      </c>
      <c r="M18" s="387" t="str">
        <f>_xlfn.XLOOKUP(D18,'BASE DE PONTOS V+'!C:C,'BASE DE PONTOS V+'!L:L)</f>
        <v>•	31/12/2021
•	Recorrente
■	Vorcon Auditoria &amp; Consultoria
■	24/06/2022</v>
      </c>
      <c r="N18" s="385" t="str">
        <f>IF(B18="","",IFERROR(IF(I18="Financeiro",VLOOKUP(G18,'BASE DA MATRIZ DE RISCOS'!$O$58:$Q$62,3,1),"Avaliar por julgameto"),"1"))</f>
        <v>Avaliar por julgameto</v>
      </c>
    </row>
    <row r="19" spans="2:14" ht="73.95" customHeight="1" x14ac:dyDescent="0.25">
      <c r="B19" s="331" t="s">
        <v>919</v>
      </c>
      <c r="C19" s="217" t="s">
        <v>378</v>
      </c>
      <c r="D19" s="333" t="str">
        <f>_xlfn.XLOOKUP($B19,'BASE DE PONTOS V+'!$B:$B,'BASE DE PONTOS V+'!$C:$C)</f>
        <v>Capacidade de arrecadação inferior aos gastos.</v>
      </c>
      <c r="E19" s="222" t="str">
        <f>_xlfn.XLOOKUP($B19,'BASE DE PONTOS V+'!$B:$B,'BASE DE PONTOS V+'!$D:$D)</f>
        <v>As receitas do meses 02, 04, 07, 09, 10 e 12/2021 não estão sendo suficiente para cobrir as despesas, acarretando em um défict no total nesses meses de - R$ 235.528,38</v>
      </c>
      <c r="F19" s="222" t="str">
        <f>_xlfn.XLOOKUP($B19,'BASE DE PONTOS V+'!$B:$B,'BASE DE PONTOS V+'!$F:$F)</f>
        <v>Com as despesas elevadas, o condomínio não consegue arcar com 100% das suas obrigações afetando o fluxo de caixa do financeiro, e ao mesmo tempo não consegue atingir um valor médio ou alto para o fundo de reserva para um futuro inesperado.</v>
      </c>
      <c r="G19" s="221">
        <f>_xlfn.XLOOKUP(B19,'BASE DE PONTOS V+'!B:B,'BASE DE PONTOS V+'!E:E)</f>
        <v>-235528.38</v>
      </c>
      <c r="H19" s="222" t="str">
        <f>_xlfn.XLOOKUP($B19,'BASE DE PONTOS V+'!$B:$B,'BASE DE PONTOS V+'!$G:$G)</f>
        <v>Recomendamos ao Conselho Fiscal e a Administração condominial que verifique novas ações a realizar para redução das despesas mitigando ou solucionando o problema.</v>
      </c>
      <c r="I19" s="223" t="str">
        <f>_xlfn.XLOOKUP($B19,'BASE DE PONTOS V+'!$B:$B,'BASE DE PONTOS V+'!$H:$H)</f>
        <v>Estratégico</v>
      </c>
      <c r="J19" s="224" t="str">
        <f>_xlfn.XLOOKUP($B19,'BASE DE PONTOS V+'!$B:$B,'BASE DE PONTOS V+'!$I:$I)</f>
        <v>Demonstrativo de Receita e Despesas</v>
      </c>
      <c r="K19" s="220">
        <f>_xlfn.XLOOKUP($B19,'BASE DE PONTOS V+'!$B:$B,'BASE DE PONTOS V+'!$M:$M)</f>
        <v>0</v>
      </c>
      <c r="L19" s="227" t="str">
        <f>_xlfn.XLOOKUP(B19,'BASE DE PONTOS V+'!B:B,'BASE DE PONTOS V+'!J:J)</f>
        <v>Alto Impacto</v>
      </c>
      <c r="M19" s="387" t="str">
        <f>_xlfn.XLOOKUP(D19,'BASE DE PONTOS V+'!C:C,'BASE DE PONTOS V+'!L:L)</f>
        <v>•	31/12/2021
•	Recorrente
■	Vorcon Auditoria &amp; Consultoria
■	24/06/2022</v>
      </c>
      <c r="N19" s="385" t="str">
        <f>IF(B19="","",IFERROR(IF(I19="Financeiro",VLOOKUP(G19,'BASE DA MATRIZ DE RISCOS'!$O$58:$Q$62,3,1),"Avaliar por julgameto"),"1"))</f>
        <v>Avaliar por julgameto</v>
      </c>
    </row>
    <row r="20" spans="2:14" ht="73.95" customHeight="1" x14ac:dyDescent="0.25">
      <c r="B20" s="331" t="s">
        <v>920</v>
      </c>
      <c r="C20" s="217" t="s">
        <v>379</v>
      </c>
      <c r="D20" s="333" t="str">
        <f>_xlfn.XLOOKUP($B20,'BASE DE PONTOS V+'!$B:$B,'BASE DE PONTOS V+'!$C:$C)</f>
        <v>Envio de Boleto Fraudado</v>
      </c>
      <c r="E20" s="222" t="str">
        <f>_xlfn.XLOOKUP($B20,'BASE DE PONTOS V+'!$B:$B,'BASE DE PONTOS V+'!$D:$D)</f>
        <v>Identificamos que o Condomínio enviou um possível boleto fraudado para a Condômina Jussara Barros da Unidade 2801 B no Mês 01/2021 na qual realizou o pagamento. O condomínio necessitou realizar a baixa do valor pago da condômina resultando em prejuízo financeiro de R$ 919,14.</v>
      </c>
      <c r="F20" s="222" t="str">
        <f>_xlfn.XLOOKUP($B20,'BASE DE PONTOS V+'!$B:$B,'BASE DE PONTOS V+'!$F:$F)</f>
        <v>A falta de processo da análise do controle interno das contas a pagar sobre a verificação dos envios dos boletos recebidos pelo Advogado, poderá acarretar em envios de boletos errôneos e gerar prejuízos ao condomínio e a toda estrutura financeira condominial.</v>
      </c>
      <c r="G20" s="221">
        <f>_xlfn.XLOOKUP(B20,'BASE DE PONTOS V+'!B:B,'BASE DE PONTOS V+'!E:E)</f>
        <v>919.14</v>
      </c>
      <c r="H20" s="222" t="str">
        <f>_xlfn.XLOOKUP($B20,'BASE DE PONTOS V+'!$B:$B,'BASE DE PONTOS V+'!$G:$G)</f>
        <v>Recomendamos a Administração do Condomíonio verifique ações de controles internos para verificação dos boletos enviados aos clientes.</v>
      </c>
      <c r="I20" s="223" t="str">
        <f>_xlfn.XLOOKUP($B20,'BASE DE PONTOS V+'!$B:$B,'BASE DE PONTOS V+'!$H:$H)</f>
        <v>Operacional</v>
      </c>
      <c r="J20" s="224" t="str">
        <f>_xlfn.XLOOKUP($B20,'BASE DE PONTOS V+'!$B:$B,'BASE DE PONTOS V+'!$I:$I)</f>
        <v>Demonstrativo de Receita e Despesas</v>
      </c>
      <c r="K20" s="220">
        <f>_xlfn.XLOOKUP($B20,'BASE DE PONTOS V+'!$B:$B,'BASE DE PONTOS V+'!$M:$M)</f>
        <v>0</v>
      </c>
      <c r="L20" s="227" t="str">
        <f>_xlfn.XLOOKUP(B20,'BASE DE PONTOS V+'!B:B,'BASE DE PONTOS V+'!J:J)</f>
        <v>Baixo Impacto</v>
      </c>
      <c r="M20" s="387" t="str">
        <f>_xlfn.XLOOKUP(D20,'BASE DE PONTOS V+'!C:C,'BASE DE PONTOS V+'!L:L)</f>
        <v>•	31/12/2021
•	Novo
■	Vorcon Auditoria &amp; Consultoria
■	24/06/2022</v>
      </c>
      <c r="N20" s="385" t="str">
        <f>IF(B20="","",IFERROR(IF(I20="Financeiro",VLOOKUP(G20,'BASE DA MATRIZ DE RISCOS'!$O$58:$Q$62,3,1),"Avaliar por julgameto"),"1"))</f>
        <v>Avaliar por julgameto</v>
      </c>
    </row>
    <row r="21" spans="2:14" ht="73.95" customHeight="1" x14ac:dyDescent="0.25">
      <c r="B21" s="331" t="s">
        <v>921</v>
      </c>
      <c r="C21" s="217" t="s">
        <v>636</v>
      </c>
      <c r="D21" s="333" t="str">
        <f>_xlfn.XLOOKUP($B21,'BASE DE PONTOS V+'!$B:$B,'BASE DE PONTOS V+'!$C:$C)</f>
        <v>Débito automático referente ao bloqueio judicial</v>
      </c>
      <c r="E21" s="222" t="str">
        <f>_xlfn.XLOOKUP($B21,'BASE DE PONTOS V+'!$B:$B,'BASE DE PONTOS V+'!$D:$D)</f>
        <v>Identificamos nos extratos e nas despesas operacionais que houve o débito automático de de R$ 1.045,19 no mês 8/2021 e de R$ 420,069 no mês 09/2021 referente ao bloqueio judicial.</v>
      </c>
      <c r="F21" s="222" t="str">
        <f>_xlfn.XLOOKUP($B21,'BASE DE PONTOS V+'!$B:$B,'BASE DE PONTOS V+'!$F:$F)</f>
        <v xml:space="preserve">Os gastos com bloqueios judiciais geram possíveis prejuízos ao condomínio e a toda estrutura financeira condominial. </v>
      </c>
      <c r="G21" s="221">
        <f>_xlfn.XLOOKUP(B21,'BASE DE PONTOS V+'!B:B,'BASE DE PONTOS V+'!E:E)</f>
        <v>1465.259</v>
      </c>
      <c r="H21" s="222" t="str">
        <f>_xlfn.XLOOKUP($B21,'BASE DE PONTOS V+'!$B:$B,'BASE DE PONTOS V+'!$G:$G)</f>
        <v>Sugerimos a Administração do Condomínio que mantenha o monitoramento constante dos processos financeiros e judicial acompanhando os processos em andamento.</v>
      </c>
      <c r="I21" s="223" t="str">
        <f>_xlfn.XLOOKUP($B21,'BASE DE PONTOS V+'!$B:$B,'BASE DE PONTOS V+'!$H:$H)</f>
        <v>Legal</v>
      </c>
      <c r="J21" s="224" t="str">
        <f>_xlfn.XLOOKUP($B21,'BASE DE PONTOS V+'!$B:$B,'BASE DE PONTOS V+'!$I:$I)</f>
        <v>Extratos</v>
      </c>
      <c r="K21" s="220">
        <f>_xlfn.XLOOKUP($B21,'BASE DE PONTOS V+'!$B:$B,'BASE DE PONTOS V+'!$M:$M)</f>
        <v>0</v>
      </c>
      <c r="L21" s="227" t="str">
        <f>_xlfn.XLOOKUP(B21,'BASE DE PONTOS V+'!B:B,'BASE DE PONTOS V+'!J:J)</f>
        <v>Médio Impacto</v>
      </c>
      <c r="M21" s="387" t="str">
        <f>_xlfn.XLOOKUP(D21,'BASE DE PONTOS V+'!C:C,'BASE DE PONTOS V+'!L:L)</f>
        <v>•	31/12/2021
•	Novo
■	Vorcon Auditoria &amp; Consultoria
■	24/06/2022</v>
      </c>
      <c r="N21" s="385" t="str">
        <f>IF(B21="","",IFERROR(IF(I21="Financeiro",VLOOKUP(G21,'BASE DA MATRIZ DE RISCOS'!$O$58:$Q$62,3,1),"Avaliar por julgameto"),"1"))</f>
        <v>Avaliar por julgameto</v>
      </c>
    </row>
    <row r="22" spans="2:14" ht="73.95" customHeight="1" x14ac:dyDescent="0.25">
      <c r="B22" s="331" t="s">
        <v>897</v>
      </c>
      <c r="C22" s="217" t="s">
        <v>637</v>
      </c>
      <c r="D22" s="333" t="str">
        <f>_xlfn.XLOOKUP($B22,'BASE DE PONTOS V+'!$B:$B,'BASE DE PONTOS V+'!$C:$C)</f>
        <v>Saldo bloqueado Custódia de Caução.</v>
      </c>
      <c r="E22" s="222" t="str">
        <f>_xlfn.XLOOKUP($B22,'BASE DE PONTOS V+'!$B:$B,'BASE DE PONTOS V+'!$D:$D)</f>
        <v>Identificamos que durante os meses 09, 10, 11 e 12/2021 o condomínio  está em opção custodia caução no valor R$ 4.889,37 nas contas, Bradesco e Caixa Econômica devido a cancelamento do acesso ao conta CEF não foi possível atualizar o saldo das contas.</v>
      </c>
      <c r="F22" s="222" t="str">
        <f>_xlfn.XLOOKUP($B22,'BASE DE PONTOS V+'!$B:$B,'BASE DE PONTOS V+'!$F:$F)</f>
        <v>Devido ao bloqueio do saldo da conta CEF, não foi possível atualizar o saldo das contas nos meses 09, 10, 11 e 12/2021 podendo afetar diretamente o fluxo de caixa e o controle do financeiro do condomínio.</v>
      </c>
      <c r="G22" s="221">
        <f>_xlfn.XLOOKUP(B22,'BASE DE PONTOS V+'!B:B,'BASE DE PONTOS V+'!E:E)</f>
        <v>4889.37</v>
      </c>
      <c r="H22" s="222" t="str">
        <f>_xlfn.XLOOKUP($B22,'BASE DE PONTOS V+'!$B:$B,'BASE DE PONTOS V+'!$G:$G)</f>
        <v>Sugerimos que a administração entre em contato com a Caixa Econômica Federal e verificar os possíveis impedimentos.</v>
      </c>
      <c r="I22" s="223" t="str">
        <f>_xlfn.XLOOKUP($B22,'BASE DE PONTOS V+'!$B:$B,'BASE DE PONTOS V+'!$H:$H)</f>
        <v>Financeiro</v>
      </c>
      <c r="J22" s="224" t="str">
        <f>_xlfn.XLOOKUP($B22,'BASE DE PONTOS V+'!$B:$B,'BASE DE PONTOS V+'!$I:$I)</f>
        <v>Demonstrativo de Receita e Despesas</v>
      </c>
      <c r="K22" s="220">
        <f>_xlfn.XLOOKUP($B22,'BASE DE PONTOS V+'!$B:$B,'BASE DE PONTOS V+'!$M:$M)</f>
        <v>0</v>
      </c>
      <c r="L22" s="227" t="str">
        <f>_xlfn.XLOOKUP(B22,'BASE DE PONTOS V+'!B:B,'BASE DE PONTOS V+'!J:J)</f>
        <v>Baixo Impacto</v>
      </c>
      <c r="M22" s="387" t="str">
        <f>_xlfn.XLOOKUP(D22,'BASE DE PONTOS V+'!C:C,'BASE DE PONTOS V+'!L:L)</f>
        <v>•	31/12/2021
•	Novo
■	Vorcon Auditoria &amp; Consultoria
■	24/06/2022</v>
      </c>
      <c r="N22" s="385">
        <f>IF(B22="","",IFERROR(IF(I22="Financeiro",VLOOKUP(G22,'BASE DA MATRIZ DE RISCOS'!$O$58:$Q$62,3,1),"Avaliar por julgameto"),"1"))</f>
        <v>1</v>
      </c>
    </row>
    <row r="23" spans="2:14" ht="73.95" customHeight="1" x14ac:dyDescent="0.25">
      <c r="B23" s="331" t="s">
        <v>956</v>
      </c>
      <c r="C23" s="217" t="s">
        <v>638</v>
      </c>
      <c r="D23" s="333" t="str">
        <f>_xlfn.XLOOKUP($B23,'BASE DE PONTOS V+'!$B:$B,'BASE DE PONTOS V+'!$C:$C)</f>
        <v>Não há classificação de expectativa de ganho para algumas causas ativas e de perda para as passivas.</v>
      </c>
      <c r="E23" s="222" t="str">
        <f>_xlfn.XLOOKUP($B23,'BASE DE PONTOS V+'!$B:$B,'BASE DE PONTOS V+'!$D:$D)</f>
        <v>Não há classificação de expectativa de ganho para algumas causas ativas e de perda para as passivas.</v>
      </c>
      <c r="F23" s="222" t="str">
        <f>_xlfn.XLOOKUP($B23,'BASE DE PONTOS V+'!$B:$B,'BASE DE PONTOS V+'!$F:$F)</f>
        <v>Verificamos os relatórios de contingências de 2021 e não identificamos quais expectativas de ganho ou perda no contrato.
• Passivas – montante de R$ 22.000,00</v>
      </c>
      <c r="G23" s="221">
        <f>_xlfn.XLOOKUP(B23,'BASE DE PONTOS V+'!B:B,'BASE DE PONTOS V+'!E:E)</f>
        <v>22000</v>
      </c>
      <c r="H23" s="222" t="str">
        <f>_xlfn.XLOOKUP($B23,'BASE DE PONTOS V+'!$B:$B,'BASE DE PONTOS V+'!$G:$G)</f>
        <v>Recomendamos que o jurídico do condomínio forneça informações relativa a estimativa de perda ou ganhos dos processos ativos.</v>
      </c>
      <c r="I23" s="223" t="str">
        <f>_xlfn.XLOOKUP($B23,'BASE DE PONTOS V+'!$B:$B,'BASE DE PONTOS V+'!$H:$H)</f>
        <v>Legal</v>
      </c>
      <c r="J23" s="224" t="str">
        <f>_xlfn.XLOOKUP($B23,'BASE DE PONTOS V+'!$B:$B,'BASE DE PONTOS V+'!$I:$I)</f>
        <v>Contigência</v>
      </c>
      <c r="K23" s="220">
        <f>_xlfn.XLOOKUP($B23,'BASE DE PONTOS V+'!$B:$B,'BASE DE PONTOS V+'!$M:$M)</f>
        <v>0</v>
      </c>
      <c r="L23" s="227" t="str">
        <f>_xlfn.XLOOKUP(B23,'BASE DE PONTOS V+'!B:B,'BASE DE PONTOS V+'!J:J)</f>
        <v>Alto Impacto</v>
      </c>
      <c r="M23" s="387" t="str">
        <f>_xlfn.XLOOKUP(D23,'BASE DE PONTOS V+'!C:C,'BASE DE PONTOS V+'!L:L)</f>
        <v>•	31/12/2021
•	Novo
■	Vorcon Auditoria &amp; Consultoria
■	24/06/2022</v>
      </c>
      <c r="N23" s="385" t="str">
        <f>IF(B23="","",IFERROR(IF(I23="Financeiro",VLOOKUP(G23,'BASE DA MATRIZ DE RISCOS'!$O$58:$Q$62,3,1),"Avaliar por julgameto"),"1"))</f>
        <v>Avaliar por julgameto</v>
      </c>
    </row>
    <row r="24" spans="2:14" ht="73.95" customHeight="1" x14ac:dyDescent="0.25">
      <c r="B24" s="331" t="s">
        <v>961</v>
      </c>
      <c r="C24" s="217" t="s">
        <v>639</v>
      </c>
      <c r="D24" s="333" t="str">
        <f>_xlfn.XLOOKUP($B24,'BASE DE PONTOS V+'!$B:$B,'BASE DE PONTOS V+'!$C:$C)</f>
        <v>Perda de Causa Judicial</v>
      </c>
      <c r="E24" s="222" t="str">
        <f>_xlfn.XLOOKUP($B24,'BASE DE PONTOS V+'!$B:$B,'BASE DE PONTOS V+'!$D:$D)</f>
        <v xml:space="preserve">Indentificamos que durante o período de 2021 que há perda de causa judicial de R$ 10.477,17 referente ao n° 0101419-55.2017.8.05.0001 de TICIANA CARNEIRO DA ROCHA PRATA 
MONTEIRO X TRIBECA, e R$ 29.000,00 referente ao n° 0164073-44.2018.8.05.0001 de RAFAEL CALDAS LOPES X TRIBECA, totalizando em uma perda de R$ 39.477,17 </v>
      </c>
      <c r="F24" s="222" t="str">
        <f>_xlfn.XLOOKUP($B24,'BASE DE PONTOS V+'!$B:$B,'BASE DE PONTOS V+'!$F:$F)</f>
        <v>Devido a perda das causas judicais podendo afetar diretamente o fluxo de caixa e o controle do financeiro do condomínio.</v>
      </c>
      <c r="G24" s="221">
        <f>_xlfn.XLOOKUP(B24,'BASE DE PONTOS V+'!B:B,'BASE DE PONTOS V+'!E:E)</f>
        <v>39477.17</v>
      </c>
      <c r="H24" s="222" t="str">
        <f>_xlfn.XLOOKUP($B24,'BASE DE PONTOS V+'!$B:$B,'BASE DE PONTOS V+'!$G:$G)</f>
        <v xml:space="preserve">Recomendamos ações preventivas nas melhorias no controle interno para que as causas judiciais não sejam abertas contra o condomínio. </v>
      </c>
      <c r="I24" s="223" t="str">
        <f>_xlfn.XLOOKUP($B24,'BASE DE PONTOS V+'!$B:$B,'BASE DE PONTOS V+'!$H:$H)</f>
        <v>Legal</v>
      </c>
      <c r="J24" s="224" t="str">
        <f>_xlfn.XLOOKUP($B24,'BASE DE PONTOS V+'!$B:$B,'BASE DE PONTOS V+'!$I:$I)</f>
        <v>Contigência</v>
      </c>
      <c r="K24" s="220">
        <f>_xlfn.XLOOKUP($B24,'BASE DE PONTOS V+'!$B:$B,'BASE DE PONTOS V+'!$M:$M)</f>
        <v>0</v>
      </c>
      <c r="L24" s="227" t="str">
        <f>_xlfn.XLOOKUP(B24,'BASE DE PONTOS V+'!B:B,'BASE DE PONTOS V+'!J:J)</f>
        <v>Alto Impacto</v>
      </c>
      <c r="M24" s="387" t="str">
        <f>_xlfn.XLOOKUP(D24,'BASE DE PONTOS V+'!C:C,'BASE DE PONTOS V+'!L:L)</f>
        <v>•	31/12/2021
•	Novo
■	Vorcon Auditoria &amp; Consultoria
■	24/06/2022</v>
      </c>
      <c r="N24" s="385" t="str">
        <f>IF(B24="","",IFERROR(IF(I24="Financeiro",VLOOKUP(G24,'BASE DA MATRIZ DE RISCOS'!$O$58:$Q$62,3,1),"Avaliar por julgameto"),"1"))</f>
        <v>Avaliar por julgameto</v>
      </c>
    </row>
    <row r="25" spans="2:14" ht="73.95" customHeight="1" x14ac:dyDescent="0.25">
      <c r="B25" s="331"/>
      <c r="C25" s="217" t="s">
        <v>640</v>
      </c>
      <c r="D25" s="333">
        <f>_xlfn.XLOOKUP($B25,'BASE DE PONTOS V+'!$B:$B,'BASE DE PONTOS V+'!$C:$C)</f>
        <v>0</v>
      </c>
      <c r="E25" s="222">
        <f>_xlfn.XLOOKUP($B25,'BASE DE PONTOS V+'!$B:$B,'BASE DE PONTOS V+'!$D:$D)</f>
        <v>0</v>
      </c>
      <c r="F25" s="222">
        <f>_xlfn.XLOOKUP($B25,'BASE DE PONTOS V+'!$B:$B,'BASE DE PONTOS V+'!$F:$F)</f>
        <v>0</v>
      </c>
      <c r="G25" s="221">
        <f>_xlfn.XLOOKUP(B25,'BASE DE PONTOS V+'!B:B,'BASE DE PONTOS V+'!E:E)</f>
        <v>0</v>
      </c>
      <c r="H25" s="222">
        <f>_xlfn.XLOOKUP($B25,'BASE DE PONTOS V+'!$B:$B,'BASE DE PONTOS V+'!$G:$G)</f>
        <v>0</v>
      </c>
      <c r="I25" s="223">
        <f>_xlfn.XLOOKUP($B25,'BASE DE PONTOS V+'!$B:$B,'BASE DE PONTOS V+'!$H:$H)</f>
        <v>0</v>
      </c>
      <c r="J25" s="224">
        <f>_xlfn.XLOOKUP($B25,'BASE DE PONTOS V+'!$B:$B,'BASE DE PONTOS V+'!$I:$I)</f>
        <v>0</v>
      </c>
      <c r="K25" s="220">
        <f>_xlfn.XLOOKUP($B25,'BASE DE PONTOS V+'!$B:$B,'BASE DE PONTOS V+'!$M:$M)</f>
        <v>0</v>
      </c>
      <c r="L25" s="227">
        <f>_xlfn.XLOOKUP(B25,'BASE DE PONTOS V+'!B:B,'BASE DE PONTOS V+'!J:J)</f>
        <v>0</v>
      </c>
      <c r="M25" s="387" t="e">
        <f>_xlfn.XLOOKUP(D25,'BASE DE PONTOS V+'!C:C,'BASE DE PONTOS V+'!L:L)</f>
        <v>#N/A</v>
      </c>
      <c r="N25" s="385" t="str">
        <f>IF(B25="","",IFERROR(IF(I25="Financeiro",VLOOKUP(G25,'BASE DA MATRIZ DE RISCOS'!$O$58:$Q$62,3,1),"Avaliar por julgameto"),"1"))</f>
        <v/>
      </c>
    </row>
    <row r="26" spans="2:14" ht="73.95" customHeight="1" x14ac:dyDescent="0.25">
      <c r="B26" s="331"/>
      <c r="C26" s="217" t="s">
        <v>641</v>
      </c>
      <c r="D26" s="333">
        <f>_xlfn.XLOOKUP($B26,'BASE DE PONTOS V+'!$B:$B,'BASE DE PONTOS V+'!$C:$C)</f>
        <v>0</v>
      </c>
      <c r="E26" s="222">
        <f>_xlfn.XLOOKUP($B26,'BASE DE PONTOS V+'!$B:$B,'BASE DE PONTOS V+'!$D:$D)</f>
        <v>0</v>
      </c>
      <c r="F26" s="222">
        <f>_xlfn.XLOOKUP($B26,'BASE DE PONTOS V+'!$B:$B,'BASE DE PONTOS V+'!$F:$F)</f>
        <v>0</v>
      </c>
      <c r="G26" s="221">
        <f>_xlfn.XLOOKUP(B26,'BASE DE PONTOS V+'!B:B,'BASE DE PONTOS V+'!E:E)</f>
        <v>0</v>
      </c>
      <c r="H26" s="222">
        <f>_xlfn.XLOOKUP($B26,'BASE DE PONTOS V+'!$B:$B,'BASE DE PONTOS V+'!$G:$G)</f>
        <v>0</v>
      </c>
      <c r="I26" s="223">
        <f>_xlfn.XLOOKUP($B26,'BASE DE PONTOS V+'!$B:$B,'BASE DE PONTOS V+'!$H:$H)</f>
        <v>0</v>
      </c>
      <c r="J26" s="224">
        <f>_xlfn.XLOOKUP($B26,'BASE DE PONTOS V+'!$B:$B,'BASE DE PONTOS V+'!$I:$I)</f>
        <v>0</v>
      </c>
      <c r="K26" s="220">
        <f>_xlfn.XLOOKUP($B26,'BASE DE PONTOS V+'!$B:$B,'BASE DE PONTOS V+'!$M:$M)</f>
        <v>0</v>
      </c>
      <c r="L26" s="227">
        <f>_xlfn.XLOOKUP(B26,'BASE DE PONTOS V+'!B:B,'BASE DE PONTOS V+'!J:J)</f>
        <v>0</v>
      </c>
      <c r="M26" s="387" t="e">
        <f>_xlfn.XLOOKUP(D26,'BASE DE PONTOS V+'!C:C,'BASE DE PONTOS V+'!L:L)</f>
        <v>#N/A</v>
      </c>
      <c r="N26" s="385" t="str">
        <f>IF(B26="","",IFERROR(IF(I26="Financeiro",VLOOKUP(G26,'BASE DA MATRIZ DE RISCOS'!$O$58:$Q$62,3,1),"Avaliar por julgameto"),"1"))</f>
        <v/>
      </c>
    </row>
    <row r="27" spans="2:14" ht="73.95" customHeight="1" x14ac:dyDescent="0.25">
      <c r="B27" s="331"/>
      <c r="C27" s="217" t="s">
        <v>642</v>
      </c>
      <c r="D27" s="333">
        <f>_xlfn.XLOOKUP($B27,'BASE DE PONTOS V+'!$B:$B,'BASE DE PONTOS V+'!$C:$C)</f>
        <v>0</v>
      </c>
      <c r="E27" s="222">
        <f>_xlfn.XLOOKUP($B27,'BASE DE PONTOS V+'!$B:$B,'BASE DE PONTOS V+'!$D:$D)</f>
        <v>0</v>
      </c>
      <c r="F27" s="222">
        <f>_xlfn.XLOOKUP($B27,'BASE DE PONTOS V+'!$B:$B,'BASE DE PONTOS V+'!$F:$F)</f>
        <v>0</v>
      </c>
      <c r="G27" s="221">
        <f>_xlfn.XLOOKUP(B27,'BASE DE PONTOS V+'!B:B,'BASE DE PONTOS V+'!E:E)</f>
        <v>0</v>
      </c>
      <c r="H27" s="222">
        <f>_xlfn.XLOOKUP($B27,'BASE DE PONTOS V+'!$B:$B,'BASE DE PONTOS V+'!$G:$G)</f>
        <v>0</v>
      </c>
      <c r="I27" s="223">
        <f>_xlfn.XLOOKUP($B27,'BASE DE PONTOS V+'!$B:$B,'BASE DE PONTOS V+'!$H:$H)</f>
        <v>0</v>
      </c>
      <c r="J27" s="224">
        <f>_xlfn.XLOOKUP($B27,'BASE DE PONTOS V+'!$B:$B,'BASE DE PONTOS V+'!$I:$I)</f>
        <v>0</v>
      </c>
      <c r="K27" s="220">
        <f>_xlfn.XLOOKUP($B27,'BASE DE PONTOS V+'!$B:$B,'BASE DE PONTOS V+'!$M:$M)</f>
        <v>0</v>
      </c>
      <c r="L27" s="227">
        <f>_xlfn.XLOOKUP(B27,'BASE DE PONTOS V+'!B:B,'BASE DE PONTOS V+'!J:J)</f>
        <v>0</v>
      </c>
      <c r="M27" s="387" t="e">
        <f>_xlfn.XLOOKUP(D27,'BASE DE PONTOS V+'!C:C,'BASE DE PONTOS V+'!L:L)</f>
        <v>#N/A</v>
      </c>
      <c r="N27" s="385" t="str">
        <f>IF(B27="","",IFERROR(IF(I27="Financeiro",VLOOKUP(G27,'BASE DA MATRIZ DE RISCOS'!$O$58:$Q$62,3,1),"Avaliar por julgameto"),"1"))</f>
        <v/>
      </c>
    </row>
    <row r="28" spans="2:14" ht="73.95" customHeight="1" x14ac:dyDescent="0.25">
      <c r="B28" s="331"/>
      <c r="C28" s="217" t="s">
        <v>218</v>
      </c>
      <c r="D28" s="333">
        <f>_xlfn.XLOOKUP($B28,'BASE DE PONTOS V+'!$B:$B,'BASE DE PONTOS V+'!$C:$C)</f>
        <v>0</v>
      </c>
      <c r="E28" s="222">
        <f>_xlfn.XLOOKUP($B28,'BASE DE PONTOS V+'!$B:$B,'BASE DE PONTOS V+'!$D:$D)</f>
        <v>0</v>
      </c>
      <c r="F28" s="222">
        <f>_xlfn.XLOOKUP($B28,'BASE DE PONTOS V+'!$B:$B,'BASE DE PONTOS V+'!$F:$F)</f>
        <v>0</v>
      </c>
      <c r="G28" s="221">
        <f>_xlfn.XLOOKUP(B28,'BASE DE PONTOS V+'!B:B,'BASE DE PONTOS V+'!E:E)</f>
        <v>0</v>
      </c>
      <c r="H28" s="222">
        <f>_xlfn.XLOOKUP($B28,'BASE DE PONTOS V+'!$B:$B,'BASE DE PONTOS V+'!$G:$G)</f>
        <v>0</v>
      </c>
      <c r="I28" s="223">
        <f>_xlfn.XLOOKUP($B28,'BASE DE PONTOS V+'!$B:$B,'BASE DE PONTOS V+'!$H:$H)</f>
        <v>0</v>
      </c>
      <c r="J28" s="224">
        <f>_xlfn.XLOOKUP($B28,'BASE DE PONTOS V+'!$B:$B,'BASE DE PONTOS V+'!$I:$I)</f>
        <v>0</v>
      </c>
      <c r="K28" s="220">
        <f>_xlfn.XLOOKUP($B28,'BASE DE PONTOS V+'!$B:$B,'BASE DE PONTOS V+'!$M:$M)</f>
        <v>0</v>
      </c>
      <c r="L28" s="227">
        <f>_xlfn.XLOOKUP(B28,'BASE DE PONTOS V+'!B:B,'BASE DE PONTOS V+'!J:J)</f>
        <v>0</v>
      </c>
      <c r="M28" s="387" t="e">
        <f>_xlfn.XLOOKUP(D28,'BASE DE PONTOS V+'!C:C,'BASE DE PONTOS V+'!L:L)</f>
        <v>#N/A</v>
      </c>
      <c r="N28" s="385" t="str">
        <f>IF(B28="","",IFERROR(IF(I28="Financeiro",VLOOKUP(G28,'BASE DA MATRIZ DE RISCOS'!$O$58:$Q$62,3,1),"Avaliar por julgameto"),"1"))</f>
        <v/>
      </c>
    </row>
    <row r="29" spans="2:14" ht="73.95" customHeight="1" x14ac:dyDescent="0.25">
      <c r="B29" s="331"/>
      <c r="C29" s="217" t="s">
        <v>223</v>
      </c>
      <c r="D29" s="333">
        <f>_xlfn.XLOOKUP($B29,'BASE DE PONTOS V+'!$B:$B,'BASE DE PONTOS V+'!$C:$C)</f>
        <v>0</v>
      </c>
      <c r="E29" s="222">
        <f>_xlfn.XLOOKUP($B29,'BASE DE PONTOS V+'!$B:$B,'BASE DE PONTOS V+'!$D:$D)</f>
        <v>0</v>
      </c>
      <c r="F29" s="222">
        <f>_xlfn.XLOOKUP($B29,'BASE DE PONTOS V+'!$B:$B,'BASE DE PONTOS V+'!$F:$F)</f>
        <v>0</v>
      </c>
      <c r="G29" s="221">
        <f>_xlfn.XLOOKUP(B29,'BASE DE PONTOS V+'!B:B,'BASE DE PONTOS V+'!E:E)</f>
        <v>0</v>
      </c>
      <c r="H29" s="222">
        <f>_xlfn.XLOOKUP($B29,'BASE DE PONTOS V+'!$B:$B,'BASE DE PONTOS V+'!$G:$G)</f>
        <v>0</v>
      </c>
      <c r="I29" s="223">
        <f>_xlfn.XLOOKUP($B29,'BASE DE PONTOS V+'!$B:$B,'BASE DE PONTOS V+'!$H:$H)</f>
        <v>0</v>
      </c>
      <c r="J29" s="224">
        <f>_xlfn.XLOOKUP($B29,'BASE DE PONTOS V+'!$B:$B,'BASE DE PONTOS V+'!$I:$I)</f>
        <v>0</v>
      </c>
      <c r="K29" s="220">
        <f>_xlfn.XLOOKUP($B29,'BASE DE PONTOS V+'!$B:$B,'BASE DE PONTOS V+'!$M:$M)</f>
        <v>0</v>
      </c>
      <c r="L29" s="227">
        <f>_xlfn.XLOOKUP(B29,'BASE DE PONTOS V+'!B:B,'BASE DE PONTOS V+'!J:J)</f>
        <v>0</v>
      </c>
      <c r="M29" s="387" t="e">
        <f>_xlfn.XLOOKUP(D29,'BASE DE PONTOS V+'!C:C,'BASE DE PONTOS V+'!L:L)</f>
        <v>#N/A</v>
      </c>
      <c r="N29" s="385" t="str">
        <f>IF(B29="","",IFERROR(IF(I29="Financeiro",VLOOKUP(G29,'BASE DA MATRIZ DE RISCOS'!$O$58:$Q$62,3,1),"Avaliar por julgameto"),"1"))</f>
        <v/>
      </c>
    </row>
    <row r="30" spans="2:14" ht="73.95" customHeight="1" x14ac:dyDescent="0.25">
      <c r="B30" s="331"/>
      <c r="C30" s="217" t="s">
        <v>228</v>
      </c>
      <c r="D30" s="333">
        <f>_xlfn.XLOOKUP($B30,'BASE DE PONTOS V+'!$B:$B,'BASE DE PONTOS V+'!$C:$C)</f>
        <v>0</v>
      </c>
      <c r="E30" s="222">
        <f>_xlfn.XLOOKUP($B30,'BASE DE PONTOS V+'!$B:$B,'BASE DE PONTOS V+'!$D:$D)</f>
        <v>0</v>
      </c>
      <c r="F30" s="222">
        <f>_xlfn.XLOOKUP($B30,'BASE DE PONTOS V+'!$B:$B,'BASE DE PONTOS V+'!$F:$F)</f>
        <v>0</v>
      </c>
      <c r="G30" s="221">
        <f>_xlfn.XLOOKUP(B30,'BASE DE PONTOS V+'!B:B,'BASE DE PONTOS V+'!E:E)</f>
        <v>0</v>
      </c>
      <c r="H30" s="222">
        <f>_xlfn.XLOOKUP($B30,'BASE DE PONTOS V+'!$B:$B,'BASE DE PONTOS V+'!$G:$G)</f>
        <v>0</v>
      </c>
      <c r="I30" s="223">
        <f>_xlfn.XLOOKUP($B30,'BASE DE PONTOS V+'!$B:$B,'BASE DE PONTOS V+'!$H:$H)</f>
        <v>0</v>
      </c>
      <c r="J30" s="224">
        <f>_xlfn.XLOOKUP($B30,'BASE DE PONTOS V+'!$B:$B,'BASE DE PONTOS V+'!$I:$I)</f>
        <v>0</v>
      </c>
      <c r="K30" s="220">
        <f>_xlfn.XLOOKUP($B30,'BASE DE PONTOS V+'!$B:$B,'BASE DE PONTOS V+'!$M:$M)</f>
        <v>0</v>
      </c>
      <c r="L30" s="227">
        <f>_xlfn.XLOOKUP(B30,'BASE DE PONTOS V+'!B:B,'BASE DE PONTOS V+'!J:J)</f>
        <v>0</v>
      </c>
      <c r="M30" s="387" t="e">
        <f>_xlfn.XLOOKUP(D30,'BASE DE PONTOS V+'!C:C,'BASE DE PONTOS V+'!L:L)</f>
        <v>#N/A</v>
      </c>
      <c r="N30" s="385" t="str">
        <f>IF(B30="","",IFERROR(IF(I30="Financeiro",VLOOKUP(G30,'BASE DA MATRIZ DE RISCOS'!$O$58:$Q$62,3,1),"Avaliar por julgameto"),"1"))</f>
        <v/>
      </c>
    </row>
    <row r="31" spans="2:14" ht="73.95" customHeight="1" x14ac:dyDescent="0.25">
      <c r="B31" s="331"/>
      <c r="C31" s="217" t="s">
        <v>233</v>
      </c>
      <c r="D31" s="333">
        <f>_xlfn.XLOOKUP($B31,'BASE DE PONTOS V+'!$B:$B,'BASE DE PONTOS V+'!$C:$C)</f>
        <v>0</v>
      </c>
      <c r="E31" s="222">
        <f>_xlfn.XLOOKUP($B31,'BASE DE PONTOS V+'!$B:$B,'BASE DE PONTOS V+'!$D:$D)</f>
        <v>0</v>
      </c>
      <c r="F31" s="222">
        <f>_xlfn.XLOOKUP($B31,'BASE DE PONTOS V+'!$B:$B,'BASE DE PONTOS V+'!$F:$F)</f>
        <v>0</v>
      </c>
      <c r="G31" s="221">
        <f>_xlfn.XLOOKUP(B31,'BASE DE PONTOS V+'!B:B,'BASE DE PONTOS V+'!E:E)</f>
        <v>0</v>
      </c>
      <c r="H31" s="222">
        <f>_xlfn.XLOOKUP($B31,'BASE DE PONTOS V+'!$B:$B,'BASE DE PONTOS V+'!$G:$G)</f>
        <v>0</v>
      </c>
      <c r="I31" s="223">
        <f>_xlfn.XLOOKUP($B31,'BASE DE PONTOS V+'!$B:$B,'BASE DE PONTOS V+'!$H:$H)</f>
        <v>0</v>
      </c>
      <c r="J31" s="224">
        <f>_xlfn.XLOOKUP($B31,'BASE DE PONTOS V+'!$B:$B,'BASE DE PONTOS V+'!$I:$I)</f>
        <v>0</v>
      </c>
      <c r="K31" s="220">
        <f>_xlfn.XLOOKUP($B31,'BASE DE PONTOS V+'!$B:$B,'BASE DE PONTOS V+'!$M:$M)</f>
        <v>0</v>
      </c>
      <c r="L31" s="227">
        <f>_xlfn.XLOOKUP(B31,'BASE DE PONTOS V+'!B:B,'BASE DE PONTOS V+'!J:J)</f>
        <v>0</v>
      </c>
      <c r="M31" s="387" t="e">
        <f>_xlfn.XLOOKUP(D31,'BASE DE PONTOS V+'!C:C,'BASE DE PONTOS V+'!L:L)</f>
        <v>#N/A</v>
      </c>
      <c r="N31" s="385" t="str">
        <f>IF(B31="","",IFERROR(IF(I31="Financeiro",VLOOKUP(G31,'BASE DA MATRIZ DE RISCOS'!$O$58:$Q$62,3,1),"Avaliar por julgameto"),"1"))</f>
        <v/>
      </c>
    </row>
    <row r="32" spans="2:14" ht="73.95" customHeight="1" x14ac:dyDescent="0.25">
      <c r="B32" s="331"/>
      <c r="C32" s="217" t="s">
        <v>238</v>
      </c>
      <c r="D32" s="333">
        <f>_xlfn.XLOOKUP($B32,'BASE DE PONTOS V+'!$B:$B,'BASE DE PONTOS V+'!$C:$C)</f>
        <v>0</v>
      </c>
      <c r="E32" s="222">
        <f>_xlfn.XLOOKUP($B32,'BASE DE PONTOS V+'!$B:$B,'BASE DE PONTOS V+'!$D:$D)</f>
        <v>0</v>
      </c>
      <c r="F32" s="222">
        <f>_xlfn.XLOOKUP($B32,'BASE DE PONTOS V+'!$B:$B,'BASE DE PONTOS V+'!$F:$F)</f>
        <v>0</v>
      </c>
      <c r="G32" s="221">
        <f>_xlfn.XLOOKUP(B32,'BASE DE PONTOS V+'!B:B,'BASE DE PONTOS V+'!E:E)</f>
        <v>0</v>
      </c>
      <c r="H32" s="222">
        <f>_xlfn.XLOOKUP($B32,'BASE DE PONTOS V+'!$B:$B,'BASE DE PONTOS V+'!$G:$G)</f>
        <v>0</v>
      </c>
      <c r="I32" s="223">
        <f>_xlfn.XLOOKUP($B32,'BASE DE PONTOS V+'!$B:$B,'BASE DE PONTOS V+'!$H:$H)</f>
        <v>0</v>
      </c>
      <c r="J32" s="224">
        <f>_xlfn.XLOOKUP($B32,'BASE DE PONTOS V+'!$B:$B,'BASE DE PONTOS V+'!$I:$I)</f>
        <v>0</v>
      </c>
      <c r="K32" s="220">
        <f>_xlfn.XLOOKUP($B32,'BASE DE PONTOS V+'!$B:$B,'BASE DE PONTOS V+'!$M:$M)</f>
        <v>0</v>
      </c>
      <c r="L32" s="227">
        <f>_xlfn.XLOOKUP(B32,'BASE DE PONTOS V+'!B:B,'BASE DE PONTOS V+'!J:J)</f>
        <v>0</v>
      </c>
      <c r="M32" s="387" t="e">
        <f>_xlfn.XLOOKUP(D32,'BASE DE PONTOS V+'!C:C,'BASE DE PONTOS V+'!L:L)</f>
        <v>#N/A</v>
      </c>
      <c r="N32" s="385" t="str">
        <f>IF(B32="","",IFERROR(IF(I32="Financeiro",VLOOKUP(G32,'BASE DA MATRIZ DE RISCOS'!$O$58:$Q$62,3,1),"Avaliar por julgameto"),"1"))</f>
        <v/>
      </c>
    </row>
    <row r="33" spans="2:14" ht="73.95" customHeight="1" x14ac:dyDescent="0.25">
      <c r="B33" s="331"/>
      <c r="C33" s="217" t="s">
        <v>243</v>
      </c>
      <c r="D33" s="333">
        <f>_xlfn.XLOOKUP($B33,'BASE DE PONTOS V+'!$B:$B,'BASE DE PONTOS V+'!$C:$C)</f>
        <v>0</v>
      </c>
      <c r="E33" s="222">
        <f>_xlfn.XLOOKUP($B33,'BASE DE PONTOS V+'!$B:$B,'BASE DE PONTOS V+'!$D:$D)</f>
        <v>0</v>
      </c>
      <c r="F33" s="222">
        <f>_xlfn.XLOOKUP($B33,'BASE DE PONTOS V+'!$B:$B,'BASE DE PONTOS V+'!$F:$F)</f>
        <v>0</v>
      </c>
      <c r="G33" s="221">
        <f>_xlfn.XLOOKUP(B33,'BASE DE PONTOS V+'!B:B,'BASE DE PONTOS V+'!E:E)</f>
        <v>0</v>
      </c>
      <c r="H33" s="222">
        <f>_xlfn.XLOOKUP($B33,'BASE DE PONTOS V+'!$B:$B,'BASE DE PONTOS V+'!$G:$G)</f>
        <v>0</v>
      </c>
      <c r="I33" s="223">
        <f>_xlfn.XLOOKUP($B33,'BASE DE PONTOS V+'!$B:$B,'BASE DE PONTOS V+'!$H:$H)</f>
        <v>0</v>
      </c>
      <c r="J33" s="224">
        <f>_xlfn.XLOOKUP($B33,'BASE DE PONTOS V+'!$B:$B,'BASE DE PONTOS V+'!$I:$I)</f>
        <v>0</v>
      </c>
      <c r="K33" s="220">
        <f>_xlfn.XLOOKUP($B33,'BASE DE PONTOS V+'!$B:$B,'BASE DE PONTOS V+'!$M:$M)</f>
        <v>0</v>
      </c>
      <c r="L33" s="227">
        <f>_xlfn.XLOOKUP(B33,'BASE DE PONTOS V+'!B:B,'BASE DE PONTOS V+'!J:J)</f>
        <v>0</v>
      </c>
      <c r="M33" s="387" t="e">
        <f>_xlfn.XLOOKUP(D33,'BASE DE PONTOS V+'!C:C,'BASE DE PONTOS V+'!L:L)</f>
        <v>#N/A</v>
      </c>
      <c r="N33" s="385" t="str">
        <f>IF(B33="","",IFERROR(IF(I33="Financeiro",VLOOKUP(G33,'BASE DA MATRIZ DE RISCOS'!$O$58:$Q$62,3,1),"Avaliar por julgameto"),"1"))</f>
        <v/>
      </c>
    </row>
    <row r="34" spans="2:14" ht="73.95" customHeight="1" x14ac:dyDescent="0.25">
      <c r="B34" s="331"/>
      <c r="C34" s="217" t="s">
        <v>248</v>
      </c>
      <c r="D34" s="333">
        <f>_xlfn.XLOOKUP($B34,'BASE DE PONTOS V+'!$B:$B,'BASE DE PONTOS V+'!$C:$C)</f>
        <v>0</v>
      </c>
      <c r="E34" s="222">
        <f>_xlfn.XLOOKUP($B34,'BASE DE PONTOS V+'!$B:$B,'BASE DE PONTOS V+'!$D:$D)</f>
        <v>0</v>
      </c>
      <c r="F34" s="222">
        <f>_xlfn.XLOOKUP($B34,'BASE DE PONTOS V+'!$B:$B,'BASE DE PONTOS V+'!$F:$F)</f>
        <v>0</v>
      </c>
      <c r="G34" s="221">
        <f>_xlfn.XLOOKUP(B34,'BASE DE PONTOS V+'!B:B,'BASE DE PONTOS V+'!E:E)</f>
        <v>0</v>
      </c>
      <c r="H34" s="222">
        <f>_xlfn.XLOOKUP($B34,'BASE DE PONTOS V+'!$B:$B,'BASE DE PONTOS V+'!$G:$G)</f>
        <v>0</v>
      </c>
      <c r="I34" s="223">
        <f>_xlfn.XLOOKUP($B34,'BASE DE PONTOS V+'!$B:$B,'BASE DE PONTOS V+'!$H:$H)</f>
        <v>0</v>
      </c>
      <c r="J34" s="224">
        <f>_xlfn.XLOOKUP($B34,'BASE DE PONTOS V+'!$B:$B,'BASE DE PONTOS V+'!$I:$I)</f>
        <v>0</v>
      </c>
      <c r="K34" s="220">
        <f>_xlfn.XLOOKUP($B34,'BASE DE PONTOS V+'!$B:$B,'BASE DE PONTOS V+'!$M:$M)</f>
        <v>0</v>
      </c>
      <c r="L34" s="227">
        <f>_xlfn.XLOOKUP(B34,'BASE DE PONTOS V+'!B:B,'BASE DE PONTOS V+'!J:J)</f>
        <v>0</v>
      </c>
      <c r="M34" s="387" t="e">
        <f>_xlfn.XLOOKUP(D34,'BASE DE PONTOS V+'!C:C,'BASE DE PONTOS V+'!L:L)</f>
        <v>#N/A</v>
      </c>
      <c r="N34" s="385" t="str">
        <f>IF(B34="","",IFERROR(IF(I34="Financeiro",VLOOKUP(G34,'BASE DA MATRIZ DE RISCOS'!$O$58:$Q$62,3,1),"Avaliar por julgameto"),"1"))</f>
        <v/>
      </c>
    </row>
    <row r="35" spans="2:14" ht="73.95" customHeight="1" x14ac:dyDescent="0.25">
      <c r="B35" s="331"/>
      <c r="C35" s="217" t="s">
        <v>253</v>
      </c>
      <c r="D35" s="333">
        <f>_xlfn.XLOOKUP($B35,'BASE DE PONTOS V+'!$B:$B,'BASE DE PONTOS V+'!$C:$C)</f>
        <v>0</v>
      </c>
      <c r="E35" s="222">
        <f>_xlfn.XLOOKUP($B35,'BASE DE PONTOS V+'!$B:$B,'BASE DE PONTOS V+'!$D:$D)</f>
        <v>0</v>
      </c>
      <c r="F35" s="222">
        <f>_xlfn.XLOOKUP($B35,'BASE DE PONTOS V+'!$B:$B,'BASE DE PONTOS V+'!$F:$F)</f>
        <v>0</v>
      </c>
      <c r="G35" s="221">
        <f>_xlfn.XLOOKUP(B35,'BASE DE PONTOS V+'!B:B,'BASE DE PONTOS V+'!E:E)</f>
        <v>0</v>
      </c>
      <c r="H35" s="222">
        <f>_xlfn.XLOOKUP($B35,'BASE DE PONTOS V+'!$B:$B,'BASE DE PONTOS V+'!$G:$G)</f>
        <v>0</v>
      </c>
      <c r="I35" s="223">
        <f>_xlfn.XLOOKUP($B35,'BASE DE PONTOS V+'!$B:$B,'BASE DE PONTOS V+'!$H:$H)</f>
        <v>0</v>
      </c>
      <c r="J35" s="224">
        <f>_xlfn.XLOOKUP($B35,'BASE DE PONTOS V+'!$B:$B,'BASE DE PONTOS V+'!$I:$I)</f>
        <v>0</v>
      </c>
      <c r="K35" s="220">
        <f>_xlfn.XLOOKUP($B35,'BASE DE PONTOS V+'!$B:$B,'BASE DE PONTOS V+'!$M:$M)</f>
        <v>0</v>
      </c>
      <c r="L35" s="227">
        <f>_xlfn.XLOOKUP(B35,'BASE DE PONTOS V+'!B:B,'BASE DE PONTOS V+'!J:J)</f>
        <v>0</v>
      </c>
      <c r="M35" s="387" t="e">
        <f>_xlfn.XLOOKUP(D35,'BASE DE PONTOS V+'!C:C,'BASE DE PONTOS V+'!L:L)</f>
        <v>#N/A</v>
      </c>
      <c r="N35" s="385" t="str">
        <f>IF(B35="","",IFERROR(IF(I35="Financeiro",VLOOKUP(G35,'BASE DA MATRIZ DE RISCOS'!$O$58:$Q$62,3,1),"Avaliar por julgameto"),"1"))</f>
        <v/>
      </c>
    </row>
    <row r="36" spans="2:14" ht="73.95" customHeight="1" x14ac:dyDescent="0.25">
      <c r="B36" s="331"/>
      <c r="C36" s="217" t="s">
        <v>258</v>
      </c>
      <c r="D36" s="333">
        <f>_xlfn.XLOOKUP($B36,'BASE DE PONTOS V+'!$B:$B,'BASE DE PONTOS V+'!$C:$C)</f>
        <v>0</v>
      </c>
      <c r="E36" s="222">
        <f>_xlfn.XLOOKUP($B36,'BASE DE PONTOS V+'!$B:$B,'BASE DE PONTOS V+'!$D:$D)</f>
        <v>0</v>
      </c>
      <c r="F36" s="222">
        <f>_xlfn.XLOOKUP($B36,'BASE DE PONTOS V+'!$B:$B,'BASE DE PONTOS V+'!$F:$F)</f>
        <v>0</v>
      </c>
      <c r="G36" s="221">
        <f>_xlfn.XLOOKUP(B36,'BASE DE PONTOS V+'!B:B,'BASE DE PONTOS V+'!E:E)</f>
        <v>0</v>
      </c>
      <c r="H36" s="222">
        <f>_xlfn.XLOOKUP($B36,'BASE DE PONTOS V+'!$B:$B,'BASE DE PONTOS V+'!$G:$G)</f>
        <v>0</v>
      </c>
      <c r="I36" s="223">
        <f>_xlfn.XLOOKUP($B36,'BASE DE PONTOS V+'!$B:$B,'BASE DE PONTOS V+'!$H:$H)</f>
        <v>0</v>
      </c>
      <c r="J36" s="224">
        <f>_xlfn.XLOOKUP($B36,'BASE DE PONTOS V+'!$B:$B,'BASE DE PONTOS V+'!$I:$I)</f>
        <v>0</v>
      </c>
      <c r="K36" s="220">
        <f>_xlfn.XLOOKUP($B36,'BASE DE PONTOS V+'!$B:$B,'BASE DE PONTOS V+'!$M:$M)</f>
        <v>0</v>
      </c>
      <c r="L36" s="227">
        <f>_xlfn.XLOOKUP(B36,'BASE DE PONTOS V+'!B:B,'BASE DE PONTOS V+'!J:J)</f>
        <v>0</v>
      </c>
      <c r="M36" s="387" t="e">
        <f>_xlfn.XLOOKUP(D36,'BASE DE PONTOS V+'!C:C,'BASE DE PONTOS V+'!L:L)</f>
        <v>#N/A</v>
      </c>
      <c r="N36" s="385" t="str">
        <f>IF(B36="","",IFERROR(IF(I36="Financeiro",VLOOKUP(G36,'BASE DA MATRIZ DE RISCOS'!$O$58:$Q$62,3,1),"Avaliar por julgameto"),"1"))</f>
        <v/>
      </c>
    </row>
    <row r="37" spans="2:14" ht="73.95" customHeight="1" x14ac:dyDescent="0.25">
      <c r="B37" s="331"/>
      <c r="C37" s="217" t="s">
        <v>263</v>
      </c>
      <c r="D37" s="333">
        <f>_xlfn.XLOOKUP($B37,'BASE DE PONTOS V+'!$B:$B,'BASE DE PONTOS V+'!$C:$C)</f>
        <v>0</v>
      </c>
      <c r="E37" s="222">
        <f>_xlfn.XLOOKUP($B37,'BASE DE PONTOS V+'!$B:$B,'BASE DE PONTOS V+'!$D:$D)</f>
        <v>0</v>
      </c>
      <c r="F37" s="222">
        <f>_xlfn.XLOOKUP($B37,'BASE DE PONTOS V+'!$B:$B,'BASE DE PONTOS V+'!$F:$F)</f>
        <v>0</v>
      </c>
      <c r="G37" s="221">
        <f>_xlfn.XLOOKUP(B37,'BASE DE PONTOS V+'!B:B,'BASE DE PONTOS V+'!E:E)</f>
        <v>0</v>
      </c>
      <c r="H37" s="222">
        <f>_xlfn.XLOOKUP($B37,'BASE DE PONTOS V+'!$B:$B,'BASE DE PONTOS V+'!$G:$G)</f>
        <v>0</v>
      </c>
      <c r="I37" s="223">
        <f>_xlfn.XLOOKUP($B37,'BASE DE PONTOS V+'!$B:$B,'BASE DE PONTOS V+'!$H:$H)</f>
        <v>0</v>
      </c>
      <c r="J37" s="224">
        <f>_xlfn.XLOOKUP($B37,'BASE DE PONTOS V+'!$B:$B,'BASE DE PONTOS V+'!$I:$I)</f>
        <v>0</v>
      </c>
      <c r="K37" s="220">
        <f>_xlfn.XLOOKUP($B37,'BASE DE PONTOS V+'!$B:$B,'BASE DE PONTOS V+'!$M:$M)</f>
        <v>0</v>
      </c>
      <c r="L37" s="227">
        <f>_xlfn.XLOOKUP(B37,'BASE DE PONTOS V+'!B:B,'BASE DE PONTOS V+'!J:J)</f>
        <v>0</v>
      </c>
      <c r="M37" s="387" t="e">
        <f>_xlfn.XLOOKUP(D37,'BASE DE PONTOS V+'!C:C,'BASE DE PONTOS V+'!L:L)</f>
        <v>#N/A</v>
      </c>
      <c r="N37" s="385" t="str">
        <f>IF(B37="","",IFERROR(IF(I37="Financeiro",VLOOKUP(G37,'BASE DA MATRIZ DE RISCOS'!$O$58:$Q$62,3,1),"Avaliar por julgameto"),"1"))</f>
        <v/>
      </c>
    </row>
    <row r="38" spans="2:14" ht="73.95" customHeight="1" x14ac:dyDescent="0.25">
      <c r="B38" s="331"/>
      <c r="C38" s="217" t="s">
        <v>268</v>
      </c>
      <c r="D38" s="333">
        <f>_xlfn.XLOOKUP($B38,'BASE DE PONTOS V+'!$B:$B,'BASE DE PONTOS V+'!$C:$C)</f>
        <v>0</v>
      </c>
      <c r="E38" s="222">
        <f>_xlfn.XLOOKUP($B38,'BASE DE PONTOS V+'!$B:$B,'BASE DE PONTOS V+'!$D:$D)</f>
        <v>0</v>
      </c>
      <c r="F38" s="222">
        <f>_xlfn.XLOOKUP($B38,'BASE DE PONTOS V+'!$B:$B,'BASE DE PONTOS V+'!$F:$F)</f>
        <v>0</v>
      </c>
      <c r="G38" s="221">
        <f>_xlfn.XLOOKUP(B38,'BASE DE PONTOS V+'!B:B,'BASE DE PONTOS V+'!E:E)</f>
        <v>0</v>
      </c>
      <c r="H38" s="222">
        <f>_xlfn.XLOOKUP($B38,'BASE DE PONTOS V+'!$B:$B,'BASE DE PONTOS V+'!$G:$G)</f>
        <v>0</v>
      </c>
      <c r="I38" s="223">
        <f>_xlfn.XLOOKUP($B38,'BASE DE PONTOS V+'!$B:$B,'BASE DE PONTOS V+'!$H:$H)</f>
        <v>0</v>
      </c>
      <c r="J38" s="224">
        <f>_xlfn.XLOOKUP($B38,'BASE DE PONTOS V+'!$B:$B,'BASE DE PONTOS V+'!$I:$I)</f>
        <v>0</v>
      </c>
      <c r="K38" s="220">
        <f>_xlfn.XLOOKUP($B38,'BASE DE PONTOS V+'!$B:$B,'BASE DE PONTOS V+'!$M:$M)</f>
        <v>0</v>
      </c>
      <c r="L38" s="227">
        <f>_xlfn.XLOOKUP(B38,'BASE DE PONTOS V+'!B:B,'BASE DE PONTOS V+'!J:J)</f>
        <v>0</v>
      </c>
      <c r="M38" s="387" t="e">
        <f>_xlfn.XLOOKUP(D38,'BASE DE PONTOS V+'!C:C,'BASE DE PONTOS V+'!L:L)</f>
        <v>#N/A</v>
      </c>
      <c r="N38" s="385" t="str">
        <f>IF(B38="","",IFERROR(IF(I38="Financeiro",VLOOKUP(G38,'BASE DA MATRIZ DE RISCOS'!$O$58:$Q$62,3,1),"Avaliar por julgameto"),"1"))</f>
        <v/>
      </c>
    </row>
    <row r="39" spans="2:14" ht="14.4" x14ac:dyDescent="0.25">
      <c r="B39" s="331"/>
      <c r="C39" s="217"/>
      <c r="D39" s="333"/>
      <c r="E39" s="222"/>
      <c r="F39" s="222"/>
      <c r="G39" s="221"/>
      <c r="H39" s="222"/>
      <c r="I39" s="223"/>
      <c r="J39" s="224"/>
      <c r="K39" s="220"/>
      <c r="L39" s="227"/>
      <c r="M39" s="387">
        <f>_xlfn.XLOOKUP(D39,'BASE DE PONTOS V+'!C:C,'BASE DE PONTOS V+'!L:L)</f>
        <v>0</v>
      </c>
      <c r="N39" s="385" t="str">
        <f>IF(B39="","",IFERROR(IF(I39="Financeiro",VLOOKUP(G39,'BASE DA MATRIZ DE RISCOS'!$O$58:$Q$62,3,1),"Avaliar por julgameto"),"1"))</f>
        <v/>
      </c>
    </row>
    <row r="40" spans="2:14" ht="15.75" customHeight="1" x14ac:dyDescent="0.25">
      <c r="B40" s="331"/>
      <c r="C40" s="217"/>
      <c r="D40" s="333"/>
      <c r="E40" s="222"/>
      <c r="F40" s="222"/>
      <c r="G40" s="221"/>
      <c r="H40" s="222"/>
      <c r="I40" s="223"/>
      <c r="J40" s="224"/>
      <c r="K40" s="220"/>
      <c r="L40" s="227"/>
      <c r="M40" s="387">
        <f>_xlfn.XLOOKUP(D40,'BASE DE PONTOS V+'!C:C,'BASE DE PONTOS V+'!L:L)</f>
        <v>0</v>
      </c>
      <c r="N40" s="385" t="str">
        <f>IF(B40="","",IFERROR(IF(I40="Financeiro",VLOOKUP(G40,'BASE DA MATRIZ DE RISCOS'!$O$58:$Q$62,3,1),"Avaliar por julgameto"),"1"))</f>
        <v/>
      </c>
    </row>
    <row r="41" spans="2:14" ht="15.75" customHeight="1" x14ac:dyDescent="0.25">
      <c r="B41" s="331"/>
      <c r="C41" s="217"/>
      <c r="D41" s="333"/>
      <c r="E41" s="222"/>
      <c r="F41" s="222"/>
      <c r="G41" s="221"/>
      <c r="H41" s="222"/>
      <c r="I41" s="223"/>
      <c r="J41" s="224"/>
      <c r="K41" s="220"/>
      <c r="L41" s="227"/>
      <c r="M41" s="387">
        <f>_xlfn.XLOOKUP(D41,'BASE DE PONTOS V+'!C:C,'BASE DE PONTOS V+'!L:L)</f>
        <v>0</v>
      </c>
      <c r="N41" s="385" t="str">
        <f>IF(B41="","",IFERROR(IF(I41="Financeiro",VLOOKUP(G41,'BASE DA MATRIZ DE RISCOS'!$O$58:$Q$62,3,1),"Avaliar por julgameto"),"1"))</f>
        <v/>
      </c>
    </row>
    <row r="42" spans="2:14" ht="15.75" customHeight="1" x14ac:dyDescent="0.25">
      <c r="B42" s="331"/>
      <c r="C42" s="217"/>
      <c r="D42" s="333"/>
      <c r="E42" s="222"/>
      <c r="F42" s="222"/>
      <c r="G42" s="221"/>
      <c r="H42" s="222"/>
      <c r="I42" s="223"/>
      <c r="J42" s="224"/>
      <c r="K42" s="220"/>
      <c r="L42" s="227"/>
      <c r="M42" s="387">
        <f>_xlfn.XLOOKUP(D42,'BASE DE PONTOS V+'!C:C,'BASE DE PONTOS V+'!L:L)</f>
        <v>0</v>
      </c>
      <c r="N42" s="385" t="str">
        <f>IF(B42="","",IFERROR(IF(I42="Financeiro",VLOOKUP(G42,'BASE DA MATRIZ DE RISCOS'!$O$58:$Q$62,3,1),"Avaliar por julgameto"),"1"))</f>
        <v/>
      </c>
    </row>
    <row r="43" spans="2:14" ht="14.4" x14ac:dyDescent="0.25">
      <c r="B43" s="331"/>
      <c r="C43" s="217"/>
      <c r="D43" s="333"/>
      <c r="E43" s="222"/>
      <c r="F43" s="222"/>
      <c r="G43" s="221"/>
      <c r="H43" s="222"/>
      <c r="I43" s="223"/>
      <c r="J43" s="224"/>
      <c r="K43" s="220"/>
      <c r="L43" s="227"/>
      <c r="M43" s="387">
        <f>_xlfn.XLOOKUP(D43,'BASE DE PONTOS V+'!C:C,'BASE DE PONTOS V+'!L:L)</f>
        <v>0</v>
      </c>
      <c r="N43" s="385" t="str">
        <f>IF(B43="","",IFERROR(IF(I43="Financeiro",VLOOKUP(G43,'BASE DA MATRIZ DE RISCOS'!$O$58:$Q$62,3,1),"Avaliar por julgameto"),"1"))</f>
        <v/>
      </c>
    </row>
    <row r="44" spans="2:14" ht="15.75" customHeight="1" x14ac:dyDescent="0.25"/>
    <row r="45" spans="2:14" ht="15.75" customHeight="1" x14ac:dyDescent="0.25"/>
    <row r="46" spans="2:14" ht="15.75" customHeight="1" x14ac:dyDescent="0.25"/>
    <row r="47" spans="2:14" ht="15.75" customHeight="1" x14ac:dyDescent="0.25"/>
    <row r="48" spans="2:14"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sheetData>
  <autoFilter ref="C7:L38" xr:uid="{00000000-0009-0000-0000-000003000000}"/>
  <phoneticPr fontId="66" type="noConversion"/>
  <conditionalFormatting sqref="L9:L43">
    <cfRule type="containsText" dxfId="112" priority="3" operator="containsText" text="BAIXO IMPACTO">
      <formula>NOT(ISERROR(SEARCH(("BAIXO IMPACTO"),(L9))))</formula>
    </cfRule>
  </conditionalFormatting>
  <conditionalFormatting sqref="L9:L43">
    <cfRule type="containsText" dxfId="111" priority="4" operator="containsText" text="MÉDIO IMPACTO">
      <formula>NOT(ISERROR(SEARCH(("MÉDIO IMPACTO"),(L9))))</formula>
    </cfRule>
  </conditionalFormatting>
  <conditionalFormatting sqref="L9:L43">
    <cfRule type="containsText" dxfId="110" priority="5" operator="containsText" text="ALTO IMPACTO">
      <formula>NOT(ISERROR(SEARCH(("ALTO IMPACTO"),(L9))))</formula>
    </cfRule>
  </conditionalFormatting>
  <conditionalFormatting sqref="G9:G43">
    <cfRule type="cellIs" dxfId="109" priority="1" operator="equal">
      <formula>"PREENCHER"</formula>
    </cfRule>
    <cfRule type="cellIs" dxfId="108" priority="2" operator="equal">
      <formula>"N/A"</formula>
    </cfRule>
  </conditionalFormatting>
  <dataValidations disablePrompts="1" count="1">
    <dataValidation type="list" allowBlank="1" showErrorMessage="1" sqref="I9:I20" xr:uid="{00000000-0002-0000-0300-000000000000}">
      <formula1>"Estratégico,Financeiro,Operacional,Legal,Tecnologia,Imagem"</formula1>
    </dataValidation>
  </dataValidations>
  <pageMargins left="0.511811024" right="0.511811024" top="0.78740157499999996" bottom="0.78740157499999996" header="0" footer="0"/>
  <pageSetup paperSize="9"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4F65F2C9-D975-4B4F-BE12-00726FE77420}">
          <x14:formula1>
            <xm:f>'Lista Suspensa'!$C$4:$C$62</xm:f>
          </x14:formula1>
          <xm:sqref>J7:K8 J3:K5 J44:K1048576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87BF2-3D9C-4457-A0EE-37479535D32A}">
  <sheetPr>
    <tabColor rgb="FF273A77"/>
  </sheetPr>
  <dimension ref="A1:J26"/>
  <sheetViews>
    <sheetView showGridLines="0" zoomScale="50" zoomScaleNormal="50" workbookViewId="0">
      <selection activeCell="J2" sqref="J2:J19"/>
    </sheetView>
  </sheetViews>
  <sheetFormatPr defaultRowHeight="13.8" x14ac:dyDescent="0.25"/>
  <cols>
    <col min="1" max="1" width="9"/>
    <col min="2" max="2" width="6.59765625" bestFit="1" customWidth="1"/>
    <col min="3" max="3" width="58.59765625" style="116" customWidth="1"/>
    <col min="4" max="4" width="65" style="116" customWidth="1"/>
    <col min="6" max="6" width="10.3984375" customWidth="1"/>
    <col min="7" max="7" width="10.796875" customWidth="1"/>
    <col min="8" max="8" width="14.69921875" customWidth="1"/>
    <col min="9" max="9" width="15.69921875" customWidth="1"/>
    <col min="10" max="10" width="6.3984375" bestFit="1" customWidth="1"/>
    <col min="11" max="11" width="20.59765625" bestFit="1" customWidth="1"/>
    <col min="12" max="12" width="19.5" bestFit="1" customWidth="1"/>
    <col min="13" max="13" width="15.796875" bestFit="1" customWidth="1"/>
    <col min="14" max="14" width="19.5" bestFit="1" customWidth="1"/>
    <col min="15" max="15" width="15.5" bestFit="1" customWidth="1"/>
    <col min="17" max="17" width="32.09765625" bestFit="1" customWidth="1"/>
    <col min="18" max="18" width="28.59765625" bestFit="1" customWidth="1"/>
    <col min="19" max="19" width="15.5" bestFit="1" customWidth="1"/>
    <col min="20" max="20" width="38.09765625" bestFit="1" customWidth="1"/>
    <col min="21" max="21" width="60.09765625" bestFit="1" customWidth="1"/>
    <col min="22" max="25" width="11.796875" bestFit="1" customWidth="1"/>
  </cols>
  <sheetData>
    <row r="1" spans="1:10" ht="34.049999999999997" customHeight="1" thickBot="1" x14ac:dyDescent="0.3">
      <c r="A1" s="299" t="s">
        <v>753</v>
      </c>
      <c r="B1" s="299" t="s">
        <v>662</v>
      </c>
      <c r="C1" s="300" t="s">
        <v>663</v>
      </c>
      <c r="D1" s="301" t="s">
        <v>664</v>
      </c>
      <c r="E1" s="301"/>
      <c r="F1" s="302" t="s">
        <v>45</v>
      </c>
      <c r="G1" s="303" t="s">
        <v>673</v>
      </c>
      <c r="H1" s="304" t="s">
        <v>298</v>
      </c>
      <c r="I1" s="304" t="s">
        <v>665</v>
      </c>
      <c r="J1" s="305" t="s">
        <v>316</v>
      </c>
    </row>
    <row r="2" spans="1:10" ht="27.6" x14ac:dyDescent="0.25">
      <c r="A2" s="206"/>
      <c r="B2" s="363" t="s">
        <v>48</v>
      </c>
      <c r="C2" s="364" t="s">
        <v>132</v>
      </c>
      <c r="D2" s="379" t="s">
        <v>133</v>
      </c>
      <c r="E2" s="212"/>
      <c r="F2" s="334" t="s">
        <v>48</v>
      </c>
      <c r="G2" s="335">
        <v>35</v>
      </c>
      <c r="H2" s="336">
        <v>0.61403508771929827</v>
      </c>
      <c r="I2" s="375" t="s">
        <v>328</v>
      </c>
      <c r="J2" s="337">
        <v>5</v>
      </c>
    </row>
    <row r="3" spans="1:10" ht="27.6" x14ac:dyDescent="0.25">
      <c r="A3" s="206"/>
      <c r="B3" s="363" t="s">
        <v>51</v>
      </c>
      <c r="C3" s="364" t="s">
        <v>90</v>
      </c>
      <c r="D3" s="379" t="s">
        <v>142</v>
      </c>
      <c r="E3" s="213"/>
      <c r="F3" s="338" t="s">
        <v>51</v>
      </c>
      <c r="G3" s="339">
        <v>0</v>
      </c>
      <c r="H3" s="340" t="s">
        <v>666</v>
      </c>
      <c r="I3" s="341" t="s">
        <v>666</v>
      </c>
      <c r="J3" s="342" t="s">
        <v>666</v>
      </c>
    </row>
    <row r="4" spans="1:10" ht="41.4" x14ac:dyDescent="0.25">
      <c r="A4" s="206"/>
      <c r="B4" s="363" t="s">
        <v>53</v>
      </c>
      <c r="C4" s="364" t="s">
        <v>93</v>
      </c>
      <c r="D4" s="379" t="s">
        <v>149</v>
      </c>
      <c r="E4" s="213"/>
      <c r="F4" s="338" t="s">
        <v>53</v>
      </c>
      <c r="G4" s="339">
        <v>9</v>
      </c>
      <c r="H4" s="340">
        <v>0.15789473684210525</v>
      </c>
      <c r="I4" s="341" t="s">
        <v>330</v>
      </c>
      <c r="J4" s="342">
        <v>3</v>
      </c>
    </row>
    <row r="5" spans="1:10" ht="28.8" x14ac:dyDescent="0.25">
      <c r="A5" s="206"/>
      <c r="B5" s="363" t="s">
        <v>55</v>
      </c>
      <c r="C5" s="364" t="s">
        <v>154</v>
      </c>
      <c r="D5" s="380" t="s">
        <v>155</v>
      </c>
      <c r="E5" s="213"/>
      <c r="F5" s="338" t="s">
        <v>55</v>
      </c>
      <c r="G5" s="339">
        <v>0</v>
      </c>
      <c r="H5" s="340" t="s">
        <v>666</v>
      </c>
      <c r="I5" s="341" t="s">
        <v>666</v>
      </c>
      <c r="J5" s="342" t="s">
        <v>666</v>
      </c>
    </row>
    <row r="6" spans="1:10" ht="28.8" x14ac:dyDescent="0.25">
      <c r="A6" s="206"/>
      <c r="B6" s="363" t="s">
        <v>56</v>
      </c>
      <c r="C6" s="364" t="s">
        <v>742</v>
      </c>
      <c r="D6" s="380" t="s">
        <v>161</v>
      </c>
      <c r="E6" s="213"/>
      <c r="F6" s="338" t="s">
        <v>56</v>
      </c>
      <c r="G6" s="339">
        <v>0</v>
      </c>
      <c r="H6" s="340" t="s">
        <v>666</v>
      </c>
      <c r="I6" s="341" t="s">
        <v>666</v>
      </c>
      <c r="J6" s="342" t="s">
        <v>666</v>
      </c>
    </row>
    <row r="7" spans="1:10" ht="27.6" x14ac:dyDescent="0.25">
      <c r="A7" s="206"/>
      <c r="B7" s="363" t="s">
        <v>57</v>
      </c>
      <c r="C7" s="364" t="s">
        <v>165</v>
      </c>
      <c r="D7" s="379" t="s">
        <v>166</v>
      </c>
      <c r="E7" s="213"/>
      <c r="F7" s="338" t="s">
        <v>57</v>
      </c>
      <c r="G7" s="339">
        <v>0</v>
      </c>
      <c r="H7" s="340" t="s">
        <v>666</v>
      </c>
      <c r="I7" s="341" t="s">
        <v>666</v>
      </c>
      <c r="J7" s="342" t="s">
        <v>666</v>
      </c>
    </row>
    <row r="8" spans="1:10" ht="27.6" x14ac:dyDescent="0.25">
      <c r="A8" s="206"/>
      <c r="B8" s="363" t="s">
        <v>58</v>
      </c>
      <c r="C8" s="364" t="s">
        <v>170</v>
      </c>
      <c r="D8" s="379" t="s">
        <v>171</v>
      </c>
      <c r="E8" s="213"/>
      <c r="F8" s="338" t="s">
        <v>58</v>
      </c>
      <c r="G8" s="339">
        <v>0</v>
      </c>
      <c r="H8" s="340" t="s">
        <v>666</v>
      </c>
      <c r="I8" s="341" t="s">
        <v>666</v>
      </c>
      <c r="J8" s="342" t="s">
        <v>666</v>
      </c>
    </row>
    <row r="9" spans="1:10" ht="28.8" x14ac:dyDescent="0.25">
      <c r="A9" s="206"/>
      <c r="B9" s="363" t="s">
        <v>60</v>
      </c>
      <c r="C9" s="364" t="s">
        <v>176</v>
      </c>
      <c r="D9" s="380" t="s">
        <v>177</v>
      </c>
      <c r="E9" s="213"/>
      <c r="F9" s="338" t="s">
        <v>60</v>
      </c>
      <c r="G9" s="339">
        <v>4</v>
      </c>
      <c r="H9" s="340">
        <v>7.0175438596491224E-2</v>
      </c>
      <c r="I9" s="343" t="s">
        <v>331</v>
      </c>
      <c r="J9" s="342">
        <v>2</v>
      </c>
    </row>
    <row r="10" spans="1:10" ht="28.8" x14ac:dyDescent="0.25">
      <c r="A10" s="206"/>
      <c r="B10" s="363" t="s">
        <v>62</v>
      </c>
      <c r="C10" s="364" t="s">
        <v>181</v>
      </c>
      <c r="D10" s="380" t="s">
        <v>187</v>
      </c>
      <c r="E10" s="213"/>
      <c r="F10" s="338" t="s">
        <v>62</v>
      </c>
      <c r="G10" s="339">
        <v>0</v>
      </c>
      <c r="H10" s="340" t="s">
        <v>666</v>
      </c>
      <c r="I10" s="341" t="s">
        <v>666</v>
      </c>
      <c r="J10" s="342" t="s">
        <v>666</v>
      </c>
    </row>
    <row r="11" spans="1:10" ht="28.8" x14ac:dyDescent="0.25">
      <c r="A11" s="206"/>
      <c r="B11" s="363" t="s">
        <v>63</v>
      </c>
      <c r="C11" s="364" t="s">
        <v>186</v>
      </c>
      <c r="D11" s="380" t="s">
        <v>187</v>
      </c>
      <c r="E11" s="213"/>
      <c r="F11" s="338" t="s">
        <v>63</v>
      </c>
      <c r="G11" s="339">
        <v>0</v>
      </c>
      <c r="H11" s="340" t="s">
        <v>666</v>
      </c>
      <c r="I11" s="341" t="s">
        <v>666</v>
      </c>
      <c r="J11" s="342" t="s">
        <v>666</v>
      </c>
    </row>
    <row r="12" spans="1:10" ht="27.6" x14ac:dyDescent="0.25">
      <c r="A12" s="206"/>
      <c r="B12" s="363" t="s">
        <v>64</v>
      </c>
      <c r="C12" s="364" t="s">
        <v>191</v>
      </c>
      <c r="D12" s="379" t="s">
        <v>192</v>
      </c>
      <c r="E12" s="213"/>
      <c r="F12" s="338" t="s">
        <v>64</v>
      </c>
      <c r="G12" s="339">
        <v>8</v>
      </c>
      <c r="H12" s="340">
        <v>0.14035087719298245</v>
      </c>
      <c r="I12" s="341" t="s">
        <v>330</v>
      </c>
      <c r="J12" s="342">
        <v>3</v>
      </c>
    </row>
    <row r="13" spans="1:10" ht="27.6" x14ac:dyDescent="0.25">
      <c r="A13" s="206"/>
      <c r="B13" s="363" t="s">
        <v>65</v>
      </c>
      <c r="C13" s="364" t="s">
        <v>197</v>
      </c>
      <c r="D13" s="379" t="s">
        <v>672</v>
      </c>
      <c r="E13" s="213"/>
      <c r="F13" s="338" t="s">
        <v>65</v>
      </c>
      <c r="G13" s="339">
        <v>0</v>
      </c>
      <c r="H13" s="340" t="s">
        <v>666</v>
      </c>
      <c r="I13" s="341" t="s">
        <v>666</v>
      </c>
      <c r="J13" s="342" t="s">
        <v>666</v>
      </c>
    </row>
    <row r="14" spans="1:10" ht="28.8" x14ac:dyDescent="0.25">
      <c r="A14" s="206"/>
      <c r="B14" s="363" t="s">
        <v>66</v>
      </c>
      <c r="C14" s="366" t="s">
        <v>202</v>
      </c>
      <c r="D14" s="381" t="s">
        <v>203</v>
      </c>
      <c r="E14" s="213"/>
      <c r="F14" s="338" t="s">
        <v>66</v>
      </c>
      <c r="G14" s="339">
        <v>0</v>
      </c>
      <c r="H14" s="340" t="s">
        <v>666</v>
      </c>
      <c r="I14" s="341" t="s">
        <v>666</v>
      </c>
      <c r="J14" s="342" t="s">
        <v>666</v>
      </c>
    </row>
    <row r="15" spans="1:10" ht="28.8" x14ac:dyDescent="0.25">
      <c r="A15" s="206"/>
      <c r="B15" s="363" t="s">
        <v>67</v>
      </c>
      <c r="C15" s="365" t="s">
        <v>95</v>
      </c>
      <c r="D15" s="382" t="s">
        <v>209</v>
      </c>
      <c r="E15" s="213"/>
      <c r="F15" s="338" t="s">
        <v>67</v>
      </c>
      <c r="G15" s="339">
        <v>1</v>
      </c>
      <c r="H15" s="340">
        <v>1.7543859649122806E-2</v>
      </c>
      <c r="I15" s="341" t="s">
        <v>332</v>
      </c>
      <c r="J15" s="342">
        <v>1</v>
      </c>
    </row>
    <row r="16" spans="1:10" ht="27.6" x14ac:dyDescent="0.25">
      <c r="A16" s="206"/>
      <c r="B16" s="363" t="s">
        <v>68</v>
      </c>
      <c r="C16" s="365" t="s">
        <v>214</v>
      </c>
      <c r="D16" s="382" t="s">
        <v>215</v>
      </c>
      <c r="E16" s="213"/>
      <c r="F16" s="338" t="s">
        <v>68</v>
      </c>
      <c r="G16" s="339">
        <v>0</v>
      </c>
      <c r="H16" s="340" t="s">
        <v>666</v>
      </c>
      <c r="I16" s="341" t="s">
        <v>666</v>
      </c>
      <c r="J16" s="342" t="s">
        <v>666</v>
      </c>
    </row>
    <row r="17" spans="1:10" ht="28.8" x14ac:dyDescent="0.25">
      <c r="A17" s="206"/>
      <c r="B17" s="363" t="s">
        <v>69</v>
      </c>
      <c r="C17" s="364" t="s">
        <v>632</v>
      </c>
      <c r="D17" s="380" t="s">
        <v>633</v>
      </c>
      <c r="E17" s="213"/>
      <c r="F17" s="338" t="s">
        <v>69</v>
      </c>
      <c r="G17" s="339">
        <v>0</v>
      </c>
      <c r="H17" s="340" t="s">
        <v>666</v>
      </c>
      <c r="I17" s="341" t="s">
        <v>666</v>
      </c>
      <c r="J17" s="342" t="s">
        <v>666</v>
      </c>
    </row>
    <row r="18" spans="1:10" ht="28.8" x14ac:dyDescent="0.25">
      <c r="A18" s="206"/>
      <c r="B18" s="367" t="s">
        <v>70</v>
      </c>
      <c r="C18" s="364" t="s">
        <v>634</v>
      </c>
      <c r="D18" s="380" t="s">
        <v>635</v>
      </c>
      <c r="E18" s="213"/>
      <c r="F18" s="338" t="s">
        <v>70</v>
      </c>
      <c r="G18" s="339">
        <v>0</v>
      </c>
      <c r="H18" s="340" t="s">
        <v>666</v>
      </c>
      <c r="I18" s="341" t="s">
        <v>666</v>
      </c>
      <c r="J18" s="342" t="s">
        <v>666</v>
      </c>
    </row>
    <row r="19" spans="1:10" ht="28.8" x14ac:dyDescent="0.25">
      <c r="A19" s="206"/>
      <c r="B19" s="367" t="s">
        <v>71</v>
      </c>
      <c r="C19" s="364" t="s">
        <v>743</v>
      </c>
      <c r="D19" s="380" t="s">
        <v>744</v>
      </c>
      <c r="E19" s="213"/>
      <c r="F19" s="338" t="s">
        <v>71</v>
      </c>
      <c r="G19" s="339">
        <v>0</v>
      </c>
      <c r="H19" s="340" t="s">
        <v>666</v>
      </c>
      <c r="I19" s="341" t="s">
        <v>666</v>
      </c>
      <c r="J19" s="342" t="s">
        <v>666</v>
      </c>
    </row>
    <row r="20" spans="1:10" ht="14.4" x14ac:dyDescent="0.25">
      <c r="A20" s="206"/>
      <c r="B20" s="367"/>
      <c r="C20" s="368"/>
      <c r="D20" s="383"/>
      <c r="E20" s="307"/>
      <c r="F20" s="344">
        <v>0</v>
      </c>
      <c r="G20" s="339">
        <v>0</v>
      </c>
      <c r="H20" s="346" t="s">
        <v>666</v>
      </c>
      <c r="I20" s="347" t="s">
        <v>666</v>
      </c>
      <c r="J20" s="348" t="s">
        <v>666</v>
      </c>
    </row>
    <row r="21" spans="1:10" ht="14.4" x14ac:dyDescent="0.25">
      <c r="A21" s="206"/>
      <c r="B21" s="367"/>
      <c r="C21" s="368"/>
      <c r="D21" s="383"/>
      <c r="E21" s="307"/>
      <c r="F21" s="344"/>
      <c r="G21" s="339"/>
      <c r="H21" s="346"/>
      <c r="I21" s="347"/>
      <c r="J21" s="348"/>
    </row>
    <row r="22" spans="1:10" ht="14.4" x14ac:dyDescent="0.25">
      <c r="A22" s="206"/>
      <c r="B22" s="367"/>
      <c r="C22" s="368"/>
      <c r="D22" s="383"/>
      <c r="E22" s="307"/>
      <c r="F22" s="344"/>
      <c r="G22" s="339"/>
      <c r="H22" s="346"/>
      <c r="I22" s="347"/>
      <c r="J22" s="348"/>
    </row>
    <row r="23" spans="1:10" ht="14.4" x14ac:dyDescent="0.25">
      <c r="A23" s="206"/>
      <c r="B23" s="209"/>
      <c r="C23" s="207"/>
      <c r="D23" s="306"/>
      <c r="E23" s="307"/>
      <c r="F23" s="344"/>
      <c r="G23" s="345"/>
      <c r="H23" s="346"/>
      <c r="I23" s="347"/>
      <c r="J23" s="348"/>
    </row>
    <row r="24" spans="1:10" ht="15" thickBot="1" x14ac:dyDescent="0.3">
      <c r="A24" s="208"/>
      <c r="B24" s="210"/>
      <c r="C24" s="208"/>
      <c r="D24" s="211"/>
      <c r="E24" s="214"/>
      <c r="F24" s="349"/>
      <c r="G24" s="350"/>
      <c r="H24" s="351" t="s">
        <v>666</v>
      </c>
      <c r="I24" s="352" t="s">
        <v>666</v>
      </c>
      <c r="J24" s="353" t="s">
        <v>666</v>
      </c>
    </row>
    <row r="26" spans="1:10" x14ac:dyDescent="0.25">
      <c r="G26" s="132">
        <v>57</v>
      </c>
      <c r="H26" s="133">
        <v>1</v>
      </c>
    </row>
  </sheetData>
  <pageMargins left="0.511811024" right="0.511811024" top="0.78740157499999996" bottom="0.78740157499999996" header="0.31496062000000002" footer="0.31496062000000002"/>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991A1-8144-4DA6-8471-439AFB4F6DD5}">
  <dimension ref="B2:J62"/>
  <sheetViews>
    <sheetView showGridLines="0" topLeftCell="B37" workbookViewId="0">
      <selection activeCell="C7" sqref="C7"/>
    </sheetView>
  </sheetViews>
  <sheetFormatPr defaultColWidth="8.59765625" defaultRowHeight="14.4" x14ac:dyDescent="0.3"/>
  <cols>
    <col min="1" max="1" width="8.59765625" style="98"/>
    <col min="2" max="2" width="5.09765625" style="97" customWidth="1"/>
    <col min="3" max="3" width="113.09765625" style="98" bestFit="1" customWidth="1"/>
    <col min="4" max="4" width="6.09765625" style="98" customWidth="1"/>
    <col min="5" max="7" width="8.59765625" style="98"/>
    <col min="8" max="8" width="5.5" style="98" customWidth="1"/>
    <col min="9" max="16384" width="8.59765625" style="98"/>
  </cols>
  <sheetData>
    <row r="2" spans="3:10" ht="15" thickBot="1" x14ac:dyDescent="0.35"/>
    <row r="3" spans="3:10" ht="15" thickBot="1" x14ac:dyDescent="0.35">
      <c r="C3" s="99" t="s">
        <v>548</v>
      </c>
      <c r="D3" s="123"/>
      <c r="H3" s="400" t="s">
        <v>549</v>
      </c>
      <c r="I3" s="401"/>
      <c r="J3" s="402"/>
    </row>
    <row r="4" spans="3:10" x14ac:dyDescent="0.3">
      <c r="C4" s="134" t="s">
        <v>675</v>
      </c>
      <c r="D4" s="122"/>
      <c r="H4" s="100" t="s">
        <v>550</v>
      </c>
      <c r="I4" s="101" t="s">
        <v>551</v>
      </c>
      <c r="J4" s="102"/>
    </row>
    <row r="5" spans="3:10" x14ac:dyDescent="0.3">
      <c r="C5" s="98" t="s">
        <v>676</v>
      </c>
      <c r="H5" s="103" t="s">
        <v>553</v>
      </c>
      <c r="I5" s="98" t="s">
        <v>554</v>
      </c>
      <c r="J5" s="104"/>
    </row>
    <row r="6" spans="3:10" x14ac:dyDescent="0.3">
      <c r="C6" s="98" t="s">
        <v>677</v>
      </c>
      <c r="H6" s="103" t="s">
        <v>555</v>
      </c>
      <c r="I6" s="98" t="s">
        <v>557</v>
      </c>
      <c r="J6" s="104"/>
    </row>
    <row r="7" spans="3:10" ht="15" thickBot="1" x14ac:dyDescent="0.35">
      <c r="C7" s="98" t="s">
        <v>678</v>
      </c>
      <c r="H7" s="105" t="s">
        <v>80</v>
      </c>
      <c r="I7" s="106" t="s">
        <v>558</v>
      </c>
      <c r="J7" s="107"/>
    </row>
    <row r="8" spans="3:10" x14ac:dyDescent="0.3">
      <c r="C8" s="98" t="s">
        <v>679</v>
      </c>
      <c r="D8" s="97"/>
    </row>
    <row r="9" spans="3:10" x14ac:dyDescent="0.3">
      <c r="C9" s="98" t="s">
        <v>674</v>
      </c>
      <c r="D9" s="97"/>
    </row>
    <row r="10" spans="3:10" x14ac:dyDescent="0.3">
      <c r="C10" s="98" t="s">
        <v>680</v>
      </c>
      <c r="D10" s="97"/>
    </row>
    <row r="11" spans="3:10" x14ac:dyDescent="0.3">
      <c r="C11" s="134" t="s">
        <v>732</v>
      </c>
    </row>
    <row r="12" spans="3:10" x14ac:dyDescent="0.3">
      <c r="C12" s="98" t="s">
        <v>681</v>
      </c>
      <c r="D12" s="97"/>
    </row>
    <row r="13" spans="3:10" x14ac:dyDescent="0.3">
      <c r="C13" s="98" t="s">
        <v>682</v>
      </c>
      <c r="D13" s="97"/>
    </row>
    <row r="14" spans="3:10" x14ac:dyDescent="0.3">
      <c r="C14" s="98" t="s">
        <v>683</v>
      </c>
      <c r="D14" s="97"/>
    </row>
    <row r="15" spans="3:10" x14ac:dyDescent="0.3">
      <c r="C15" s="98" t="s">
        <v>684</v>
      </c>
      <c r="D15" s="97"/>
    </row>
    <row r="16" spans="3:10" x14ac:dyDescent="0.3">
      <c r="C16" s="98" t="s">
        <v>685</v>
      </c>
      <c r="D16" s="97"/>
    </row>
    <row r="17" spans="3:3" x14ac:dyDescent="0.3">
      <c r="C17" s="98" t="s">
        <v>686</v>
      </c>
    </row>
    <row r="18" spans="3:3" x14ac:dyDescent="0.3">
      <c r="C18" s="98" t="s">
        <v>687</v>
      </c>
    </row>
    <row r="19" spans="3:3" x14ac:dyDescent="0.3">
      <c r="C19" s="98" t="s">
        <v>688</v>
      </c>
    </row>
    <row r="20" spans="3:3" x14ac:dyDescent="0.3">
      <c r="C20" s="98" t="s">
        <v>689</v>
      </c>
    </row>
    <row r="21" spans="3:3" x14ac:dyDescent="0.3">
      <c r="C21" s="98" t="s">
        <v>690</v>
      </c>
    </row>
    <row r="22" spans="3:3" x14ac:dyDescent="0.3">
      <c r="C22" s="98" t="s">
        <v>691</v>
      </c>
    </row>
    <row r="23" spans="3:3" x14ac:dyDescent="0.3">
      <c r="C23" s="98" t="s">
        <v>692</v>
      </c>
    </row>
    <row r="24" spans="3:3" x14ac:dyDescent="0.3">
      <c r="C24" s="98" t="s">
        <v>693</v>
      </c>
    </row>
    <row r="25" spans="3:3" x14ac:dyDescent="0.3">
      <c r="C25" s="98" t="s">
        <v>694</v>
      </c>
    </row>
    <row r="26" spans="3:3" x14ac:dyDescent="0.3">
      <c r="C26" s="98" t="s">
        <v>695</v>
      </c>
    </row>
    <row r="27" spans="3:3" x14ac:dyDescent="0.3">
      <c r="C27" s="98" t="s">
        <v>696</v>
      </c>
    </row>
    <row r="28" spans="3:3" x14ac:dyDescent="0.3">
      <c r="C28" s="98" t="s">
        <v>697</v>
      </c>
    </row>
    <row r="29" spans="3:3" x14ac:dyDescent="0.3">
      <c r="C29" s="98" t="s">
        <v>698</v>
      </c>
    </row>
    <row r="30" spans="3:3" x14ac:dyDescent="0.3">
      <c r="C30" s="98" t="s">
        <v>699</v>
      </c>
    </row>
    <row r="31" spans="3:3" x14ac:dyDescent="0.3">
      <c r="C31" s="98" t="s">
        <v>700</v>
      </c>
    </row>
    <row r="32" spans="3:3" x14ac:dyDescent="0.3">
      <c r="C32" s="98" t="s">
        <v>701</v>
      </c>
    </row>
    <row r="33" spans="3:3" x14ac:dyDescent="0.3">
      <c r="C33" s="98" t="s">
        <v>702</v>
      </c>
    </row>
    <row r="34" spans="3:3" x14ac:dyDescent="0.3">
      <c r="C34" s="98" t="s">
        <v>703</v>
      </c>
    </row>
    <row r="35" spans="3:3" x14ac:dyDescent="0.3">
      <c r="C35" s="98" t="s">
        <v>704</v>
      </c>
    </row>
    <row r="36" spans="3:3" x14ac:dyDescent="0.3">
      <c r="C36" s="98" t="s">
        <v>705</v>
      </c>
    </row>
    <row r="37" spans="3:3" x14ac:dyDescent="0.3">
      <c r="C37" s="98" t="s">
        <v>706</v>
      </c>
    </row>
    <row r="38" spans="3:3" x14ac:dyDescent="0.3">
      <c r="C38" s="98" t="s">
        <v>707</v>
      </c>
    </row>
    <row r="39" spans="3:3" x14ac:dyDescent="0.3">
      <c r="C39" s="98" t="s">
        <v>708</v>
      </c>
    </row>
    <row r="40" spans="3:3" x14ac:dyDescent="0.3">
      <c r="C40" s="98" t="s">
        <v>709</v>
      </c>
    </row>
    <row r="41" spans="3:3" x14ac:dyDescent="0.3">
      <c r="C41" s="98" t="s">
        <v>710</v>
      </c>
    </row>
    <row r="42" spans="3:3" x14ac:dyDescent="0.3">
      <c r="C42" s="98" t="s">
        <v>711</v>
      </c>
    </row>
    <row r="43" spans="3:3" x14ac:dyDescent="0.3">
      <c r="C43" s="98" t="s">
        <v>712</v>
      </c>
    </row>
    <row r="44" spans="3:3" x14ac:dyDescent="0.3">
      <c r="C44" s="98" t="s">
        <v>713</v>
      </c>
    </row>
    <row r="45" spans="3:3" x14ac:dyDescent="0.3">
      <c r="C45" s="98" t="s">
        <v>714</v>
      </c>
    </row>
    <row r="46" spans="3:3" x14ac:dyDescent="0.3">
      <c r="C46" s="98" t="s">
        <v>715</v>
      </c>
    </row>
    <row r="47" spans="3:3" x14ac:dyDescent="0.3">
      <c r="C47" s="98" t="s">
        <v>716</v>
      </c>
    </row>
    <row r="48" spans="3:3" x14ac:dyDescent="0.3">
      <c r="C48" s="98" t="s">
        <v>717</v>
      </c>
    </row>
    <row r="49" spans="3:3" x14ac:dyDescent="0.3">
      <c r="C49" s="98" t="s">
        <v>718</v>
      </c>
    </row>
    <row r="50" spans="3:3" x14ac:dyDescent="0.3">
      <c r="C50" s="98" t="s">
        <v>719</v>
      </c>
    </row>
    <row r="51" spans="3:3" x14ac:dyDescent="0.3">
      <c r="C51" s="98" t="s">
        <v>720</v>
      </c>
    </row>
    <row r="52" spans="3:3" x14ac:dyDescent="0.3">
      <c r="C52" s="98" t="s">
        <v>721</v>
      </c>
    </row>
    <row r="53" spans="3:3" x14ac:dyDescent="0.3">
      <c r="C53" s="98" t="s">
        <v>722</v>
      </c>
    </row>
    <row r="54" spans="3:3" x14ac:dyDescent="0.3">
      <c r="C54" s="98" t="s">
        <v>723</v>
      </c>
    </row>
    <row r="55" spans="3:3" x14ac:dyDescent="0.3">
      <c r="C55" s="98" t="s">
        <v>724</v>
      </c>
    </row>
    <row r="56" spans="3:3" x14ac:dyDescent="0.3">
      <c r="C56" s="98" t="s">
        <v>725</v>
      </c>
    </row>
    <row r="57" spans="3:3" x14ac:dyDescent="0.3">
      <c r="C57" s="98" t="s">
        <v>726</v>
      </c>
    </row>
    <row r="58" spans="3:3" x14ac:dyDescent="0.3">
      <c r="C58" s="98" t="s">
        <v>727</v>
      </c>
    </row>
    <row r="59" spans="3:3" x14ac:dyDescent="0.3">
      <c r="C59" s="98" t="s">
        <v>728</v>
      </c>
    </row>
    <row r="60" spans="3:3" x14ac:dyDescent="0.3">
      <c r="C60" s="98" t="s">
        <v>729</v>
      </c>
    </row>
    <row r="61" spans="3:3" x14ac:dyDescent="0.3">
      <c r="C61" s="98" t="s">
        <v>730</v>
      </c>
    </row>
    <row r="62" spans="3:3" x14ac:dyDescent="0.3">
      <c r="C62" s="98" t="s">
        <v>731</v>
      </c>
    </row>
  </sheetData>
  <mergeCells count="1">
    <mergeCell ref="H3:J3"/>
  </mergeCells>
  <pageMargins left="0.511811024" right="0.511811024" top="0.78740157499999996" bottom="0.78740157499999996" header="0.31496062000000002" footer="0.31496062000000002"/>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73A77"/>
  </sheetPr>
  <dimension ref="A1:U973"/>
  <sheetViews>
    <sheetView showGridLines="0" topLeftCell="A76" zoomScale="70" zoomScaleNormal="70" workbookViewId="0">
      <selection activeCell="C77" sqref="C77:O88"/>
    </sheetView>
  </sheetViews>
  <sheetFormatPr defaultColWidth="12.59765625" defaultRowHeight="15" customHeight="1" x14ac:dyDescent="0.25"/>
  <cols>
    <col min="1" max="1" width="7.59765625" customWidth="1"/>
    <col min="2" max="2" width="2.59765625" customWidth="1"/>
    <col min="3" max="3" width="21.19921875" customWidth="1"/>
    <col min="4" max="4" width="33.09765625" customWidth="1"/>
    <col min="5" max="5" width="12.09765625" customWidth="1"/>
    <col min="6" max="6" width="14.296875" customWidth="1"/>
    <col min="7" max="7" width="15.796875" style="116" customWidth="1"/>
    <col min="8" max="8" width="18" bestFit="1" customWidth="1"/>
    <col min="9" max="9" width="16.69921875" bestFit="1" customWidth="1"/>
    <col min="10" max="10" width="15" customWidth="1"/>
    <col min="11" max="11" width="15.59765625" bestFit="1" customWidth="1"/>
    <col min="12" max="12" width="6.5" bestFit="1" customWidth="1"/>
    <col min="13" max="13" width="13.59765625" customWidth="1"/>
    <col min="14" max="14" width="7.59765625" customWidth="1"/>
    <col min="15" max="15" width="15.09765625" bestFit="1" customWidth="1"/>
    <col min="16" max="16" width="17.5" bestFit="1" customWidth="1"/>
    <col min="17" max="29" width="7.59765625" customWidth="1"/>
  </cols>
  <sheetData>
    <row r="1" spans="2:11" ht="14.4" x14ac:dyDescent="0.3">
      <c r="B1" s="50"/>
      <c r="K1" s="51"/>
    </row>
    <row r="2" spans="2:11" ht="15.6" x14ac:dyDescent="0.3">
      <c r="B2" s="50"/>
      <c r="C2" s="164" t="s">
        <v>289</v>
      </c>
      <c r="D2" s="165" t="s">
        <v>290</v>
      </c>
      <c r="K2" s="51"/>
    </row>
    <row r="3" spans="2:11" ht="14.4" x14ac:dyDescent="0.3">
      <c r="B3" s="50"/>
      <c r="C3" s="290" t="s">
        <v>291</v>
      </c>
      <c r="D3" s="170" t="s">
        <v>152</v>
      </c>
      <c r="K3" s="51"/>
    </row>
    <row r="4" spans="2:11" ht="46.8" x14ac:dyDescent="0.3">
      <c r="B4" s="50"/>
      <c r="C4" s="167" t="s">
        <v>123</v>
      </c>
      <c r="D4" s="168" t="s">
        <v>292</v>
      </c>
      <c r="K4" s="51"/>
    </row>
    <row r="5" spans="2:11" ht="31.2" x14ac:dyDescent="0.3">
      <c r="B5" s="50"/>
      <c r="C5" s="291" t="s">
        <v>293</v>
      </c>
      <c r="D5" s="292" t="s">
        <v>294</v>
      </c>
      <c r="K5" s="51"/>
    </row>
    <row r="6" spans="2:11" ht="31.2" x14ac:dyDescent="0.3">
      <c r="B6" s="50"/>
      <c r="C6" s="167" t="s">
        <v>295</v>
      </c>
      <c r="D6" s="168" t="s">
        <v>296</v>
      </c>
      <c r="K6" s="51"/>
    </row>
    <row r="7" spans="2:11" ht="46.8" x14ac:dyDescent="0.3">
      <c r="B7" s="50"/>
      <c r="C7" s="291" t="s">
        <v>46</v>
      </c>
      <c r="D7" s="293" t="s">
        <v>297</v>
      </c>
      <c r="K7" s="51"/>
    </row>
    <row r="8" spans="2:11" ht="31.2" x14ac:dyDescent="0.3">
      <c r="B8" s="50"/>
      <c r="C8" s="167" t="s">
        <v>298</v>
      </c>
      <c r="D8" s="296" t="s">
        <v>299</v>
      </c>
      <c r="K8" s="51"/>
    </row>
    <row r="9" spans="2:11" ht="46.8" x14ac:dyDescent="0.3">
      <c r="B9" s="50"/>
      <c r="C9" s="291" t="s">
        <v>291</v>
      </c>
      <c r="D9" s="293" t="s">
        <v>300</v>
      </c>
      <c r="K9" s="51"/>
    </row>
    <row r="10" spans="2:11" ht="31.2" x14ac:dyDescent="0.3">
      <c r="B10" s="50"/>
      <c r="C10" s="167" t="s">
        <v>301</v>
      </c>
      <c r="D10" s="168" t="s">
        <v>302</v>
      </c>
      <c r="K10" s="51"/>
    </row>
    <row r="11" spans="2:11" ht="31.2" x14ac:dyDescent="0.3">
      <c r="B11" s="50"/>
      <c r="C11" s="291" t="s">
        <v>303</v>
      </c>
      <c r="D11" s="293" t="s">
        <v>304</v>
      </c>
      <c r="K11" s="51"/>
    </row>
    <row r="12" spans="2:11" ht="31.2" x14ac:dyDescent="0.3">
      <c r="B12" s="50"/>
      <c r="C12" s="167" t="s">
        <v>290</v>
      </c>
      <c r="D12" s="168" t="s">
        <v>305</v>
      </c>
      <c r="K12" s="51"/>
    </row>
    <row r="13" spans="2:11" ht="46.8" x14ac:dyDescent="0.3">
      <c r="B13" s="50"/>
      <c r="C13" s="291" t="s">
        <v>127</v>
      </c>
      <c r="D13" s="293" t="s">
        <v>306</v>
      </c>
      <c r="K13" s="51"/>
    </row>
    <row r="14" spans="2:11" ht="46.8" x14ac:dyDescent="0.3">
      <c r="B14" s="50"/>
      <c r="C14" s="167" t="s">
        <v>129</v>
      </c>
      <c r="D14" s="168" t="s">
        <v>307</v>
      </c>
      <c r="K14" s="51"/>
    </row>
    <row r="15" spans="2:11" ht="72" x14ac:dyDescent="0.3">
      <c r="B15" s="50"/>
      <c r="C15" s="294" t="s">
        <v>308</v>
      </c>
      <c r="D15" s="295" t="s">
        <v>309</v>
      </c>
      <c r="K15" s="51"/>
    </row>
    <row r="16" spans="2:11" ht="43.2" x14ac:dyDescent="0.3">
      <c r="B16" s="50"/>
      <c r="C16" s="171" t="s">
        <v>310</v>
      </c>
      <c r="D16" s="172" t="s">
        <v>311</v>
      </c>
      <c r="K16" s="51"/>
    </row>
    <row r="17" spans="2:11" ht="57.6" x14ac:dyDescent="0.3">
      <c r="B17" s="50"/>
      <c r="C17" s="294" t="s">
        <v>312</v>
      </c>
      <c r="D17" s="295" t="s">
        <v>313</v>
      </c>
      <c r="K17" s="51"/>
    </row>
    <row r="18" spans="2:11" ht="15.6" x14ac:dyDescent="0.3">
      <c r="B18" s="50"/>
      <c r="C18" s="58"/>
      <c r="D18" s="59"/>
      <c r="K18" s="51"/>
    </row>
    <row r="19" spans="2:11" ht="17.399999999999999" x14ac:dyDescent="0.3">
      <c r="B19" s="50"/>
      <c r="C19" s="60" t="s">
        <v>314</v>
      </c>
      <c r="K19" s="51"/>
    </row>
    <row r="20" spans="2:11" ht="15.6" x14ac:dyDescent="0.3">
      <c r="B20" s="50"/>
      <c r="C20" s="61" t="s">
        <v>315</v>
      </c>
      <c r="K20" s="51"/>
    </row>
    <row r="21" spans="2:11" ht="15.75" hidden="1" customHeight="1" x14ac:dyDescent="0.3">
      <c r="B21" s="50"/>
      <c r="C21" s="52" t="s">
        <v>46</v>
      </c>
      <c r="D21" s="53" t="s">
        <v>290</v>
      </c>
      <c r="E21" s="53" t="s">
        <v>316</v>
      </c>
      <c r="K21" s="51"/>
    </row>
    <row r="22" spans="2:11" ht="15.75" hidden="1" customHeight="1" x14ac:dyDescent="0.3">
      <c r="B22" s="50"/>
      <c r="C22" s="56" t="s">
        <v>137</v>
      </c>
      <c r="D22" s="62" t="s">
        <v>317</v>
      </c>
      <c r="E22" s="63">
        <v>4</v>
      </c>
      <c r="K22" s="51"/>
    </row>
    <row r="23" spans="2:11" ht="15.75" hidden="1" customHeight="1" x14ac:dyDescent="0.3">
      <c r="B23" s="50"/>
      <c r="C23" s="55" t="s">
        <v>195</v>
      </c>
      <c r="D23" s="64" t="s">
        <v>318</v>
      </c>
      <c r="E23" s="65">
        <v>5</v>
      </c>
      <c r="K23" s="51"/>
    </row>
    <row r="24" spans="2:11" ht="15.75" hidden="1" customHeight="1" x14ac:dyDescent="0.3">
      <c r="B24" s="50"/>
      <c r="C24" s="56" t="s">
        <v>145</v>
      </c>
      <c r="D24" s="62" t="s">
        <v>319</v>
      </c>
      <c r="E24" s="63">
        <v>4</v>
      </c>
      <c r="K24" s="51"/>
    </row>
    <row r="25" spans="2:11" ht="15.75" hidden="1" customHeight="1" x14ac:dyDescent="0.3">
      <c r="B25" s="50"/>
      <c r="C25" s="55" t="s">
        <v>283</v>
      </c>
      <c r="D25" s="64" t="s">
        <v>320</v>
      </c>
      <c r="E25" s="65">
        <v>3</v>
      </c>
      <c r="K25" s="51"/>
    </row>
    <row r="26" spans="2:11" ht="15.75" hidden="1" customHeight="1" x14ac:dyDescent="0.3">
      <c r="B26" s="50"/>
      <c r="C26" s="56" t="s">
        <v>321</v>
      </c>
      <c r="D26" s="62" t="s">
        <v>322</v>
      </c>
      <c r="E26" s="63">
        <v>3</v>
      </c>
      <c r="K26" s="51"/>
    </row>
    <row r="27" spans="2:11" ht="15.75" hidden="1" customHeight="1" x14ac:dyDescent="0.3">
      <c r="B27" s="50"/>
      <c r="C27" s="55" t="s">
        <v>323</v>
      </c>
      <c r="D27" s="64" t="s">
        <v>324</v>
      </c>
      <c r="E27" s="65">
        <v>3</v>
      </c>
      <c r="K27" s="51"/>
    </row>
    <row r="28" spans="2:11" ht="15.75" customHeight="1" x14ac:dyDescent="0.3">
      <c r="B28" s="50"/>
      <c r="C28" s="58"/>
      <c r="D28" s="59"/>
      <c r="E28" s="66"/>
      <c r="K28" s="51"/>
    </row>
    <row r="29" spans="2:11" ht="15.75" customHeight="1" thickBot="1" x14ac:dyDescent="0.35">
      <c r="B29" s="50"/>
      <c r="C29" s="260" t="s">
        <v>46</v>
      </c>
      <c r="D29" s="260" t="s">
        <v>290</v>
      </c>
      <c r="E29" s="260" t="s">
        <v>316</v>
      </c>
      <c r="F29" s="260" t="s">
        <v>46</v>
      </c>
      <c r="G29" s="260" t="s">
        <v>46</v>
      </c>
      <c r="H29" s="260" t="s">
        <v>325</v>
      </c>
      <c r="I29" s="260" t="s">
        <v>46</v>
      </c>
    </row>
    <row r="30" spans="2:11" ht="46.8" x14ac:dyDescent="0.3">
      <c r="B30" s="50"/>
      <c r="C30" s="230" t="s">
        <v>137</v>
      </c>
      <c r="D30" s="229" t="s">
        <v>317</v>
      </c>
      <c r="E30" s="232">
        <v>4</v>
      </c>
      <c r="F30" s="230" t="s">
        <v>137</v>
      </c>
      <c r="G30" s="230" t="s">
        <v>137</v>
      </c>
      <c r="H30" s="14">
        <f t="shared" ref="H30:H35" si="0">I30/$J$36</f>
        <v>6.25E-2</v>
      </c>
      <c r="I30" s="1">
        <f t="shared" ref="I30:I35" si="1">COUNTIFS($E$78:$E$109,$C30)</f>
        <v>1</v>
      </c>
    </row>
    <row r="31" spans="2:11" ht="46.8" x14ac:dyDescent="0.3">
      <c r="B31" s="50"/>
      <c r="C31" s="167" t="s">
        <v>195</v>
      </c>
      <c r="D31" s="168" t="s">
        <v>318</v>
      </c>
      <c r="E31" s="169">
        <v>5</v>
      </c>
      <c r="F31" s="167" t="s">
        <v>195</v>
      </c>
      <c r="G31" s="167" t="s">
        <v>195</v>
      </c>
      <c r="H31" s="14">
        <f t="shared" si="0"/>
        <v>0.375</v>
      </c>
      <c r="I31" s="1">
        <f t="shared" si="1"/>
        <v>6</v>
      </c>
    </row>
    <row r="32" spans="2:11" ht="46.8" x14ac:dyDescent="0.3">
      <c r="B32" s="50"/>
      <c r="C32" s="230" t="s">
        <v>145</v>
      </c>
      <c r="D32" s="229" t="s">
        <v>319</v>
      </c>
      <c r="E32" s="232">
        <v>4</v>
      </c>
      <c r="F32" s="230" t="s">
        <v>145</v>
      </c>
      <c r="G32" s="230" t="s">
        <v>145</v>
      </c>
      <c r="H32" s="14">
        <f t="shared" si="0"/>
        <v>0.25</v>
      </c>
      <c r="I32" s="1">
        <f t="shared" si="1"/>
        <v>4</v>
      </c>
    </row>
    <row r="33" spans="2:12" ht="31.2" x14ac:dyDescent="0.3">
      <c r="B33" s="50"/>
      <c r="C33" s="167" t="s">
        <v>283</v>
      </c>
      <c r="D33" s="168" t="s">
        <v>320</v>
      </c>
      <c r="E33" s="169">
        <v>3</v>
      </c>
      <c r="F33" s="167" t="s">
        <v>283</v>
      </c>
      <c r="G33" s="167" t="s">
        <v>283</v>
      </c>
      <c r="H33" s="14">
        <f t="shared" si="0"/>
        <v>0.3125</v>
      </c>
      <c r="I33" s="1">
        <f t="shared" si="1"/>
        <v>5</v>
      </c>
    </row>
    <row r="34" spans="2:12" ht="31.2" x14ac:dyDescent="0.3">
      <c r="B34" s="50"/>
      <c r="C34" s="230" t="s">
        <v>321</v>
      </c>
      <c r="D34" s="229" t="s">
        <v>322</v>
      </c>
      <c r="E34" s="232">
        <v>3</v>
      </c>
      <c r="F34" s="230" t="s">
        <v>321</v>
      </c>
      <c r="G34" s="230" t="s">
        <v>321</v>
      </c>
      <c r="H34" s="14">
        <f t="shared" si="0"/>
        <v>0</v>
      </c>
      <c r="I34" s="1">
        <f t="shared" si="1"/>
        <v>0</v>
      </c>
    </row>
    <row r="35" spans="2:12" ht="46.8" x14ac:dyDescent="0.3">
      <c r="B35" s="50"/>
      <c r="C35" s="167" t="s">
        <v>323</v>
      </c>
      <c r="D35" s="168" t="s">
        <v>324</v>
      </c>
      <c r="E35" s="169">
        <v>3</v>
      </c>
      <c r="F35" s="167" t="s">
        <v>323</v>
      </c>
      <c r="G35" s="167" t="s">
        <v>323</v>
      </c>
      <c r="H35" s="14">
        <f t="shared" si="0"/>
        <v>0</v>
      </c>
      <c r="I35" s="1">
        <f t="shared" si="1"/>
        <v>0</v>
      </c>
    </row>
    <row r="36" spans="2:12" ht="15.75" customHeight="1" x14ac:dyDescent="0.3">
      <c r="B36" s="50"/>
      <c r="G36"/>
      <c r="I36" s="14">
        <f>SUM(H30:H35)</f>
        <v>1</v>
      </c>
      <c r="J36" s="1">
        <f>SUM(I30:I35)</f>
        <v>16</v>
      </c>
    </row>
    <row r="37" spans="2:12" ht="15.6" x14ac:dyDescent="0.3">
      <c r="B37" s="50"/>
      <c r="C37" s="67" t="s">
        <v>326</v>
      </c>
    </row>
    <row r="38" spans="2:12" ht="16.2" thickBot="1" x14ac:dyDescent="0.35">
      <c r="B38" s="50"/>
      <c r="C38" s="260" t="s">
        <v>298</v>
      </c>
      <c r="D38" s="260" t="s">
        <v>327</v>
      </c>
      <c r="E38" s="260" t="s">
        <v>316</v>
      </c>
      <c r="K38" s="51"/>
    </row>
    <row r="39" spans="2:12" ht="31.2" x14ac:dyDescent="0.3">
      <c r="B39" s="50"/>
      <c r="C39" s="230" t="s">
        <v>328</v>
      </c>
      <c r="D39" s="231" t="s">
        <v>667</v>
      </c>
      <c r="E39" s="232">
        <v>5</v>
      </c>
      <c r="K39" s="51"/>
    </row>
    <row r="40" spans="2:12" ht="31.2" x14ac:dyDescent="0.3">
      <c r="B40" s="50"/>
      <c r="C40" s="167" t="s">
        <v>329</v>
      </c>
      <c r="D40" s="168" t="s">
        <v>668</v>
      </c>
      <c r="E40" s="169">
        <v>4</v>
      </c>
      <c r="K40" s="51"/>
    </row>
    <row r="41" spans="2:12" ht="31.2" x14ac:dyDescent="0.3">
      <c r="B41" s="50"/>
      <c r="C41" s="230" t="s">
        <v>330</v>
      </c>
      <c r="D41" s="229" t="s">
        <v>669</v>
      </c>
      <c r="E41" s="232">
        <v>3</v>
      </c>
      <c r="K41" s="51"/>
    </row>
    <row r="42" spans="2:12" ht="31.2" x14ac:dyDescent="0.3">
      <c r="B42" s="50"/>
      <c r="C42" s="167" t="s">
        <v>331</v>
      </c>
      <c r="D42" s="168" t="s">
        <v>670</v>
      </c>
      <c r="E42" s="169">
        <v>2</v>
      </c>
      <c r="K42" s="51"/>
    </row>
    <row r="43" spans="2:12" ht="31.2" x14ac:dyDescent="0.3">
      <c r="B43" s="50"/>
      <c r="C43" s="230" t="s">
        <v>332</v>
      </c>
      <c r="D43" s="229" t="s">
        <v>671</v>
      </c>
      <c r="E43" s="232">
        <v>1</v>
      </c>
      <c r="K43" s="51"/>
    </row>
    <row r="44" spans="2:12" ht="15.75" customHeight="1" x14ac:dyDescent="0.3">
      <c r="B44" s="50"/>
      <c r="C44" s="68" t="s">
        <v>333</v>
      </c>
      <c r="K44" s="51"/>
    </row>
    <row r="45" spans="2:12" ht="15.75" customHeight="1" x14ac:dyDescent="0.3">
      <c r="B45" s="128"/>
      <c r="C45" s="68"/>
      <c r="K45" s="51"/>
    </row>
    <row r="46" spans="2:12" ht="15.75" customHeight="1" thickBot="1" x14ac:dyDescent="0.35">
      <c r="B46" s="50"/>
      <c r="C46" s="228" t="s">
        <v>334</v>
      </c>
      <c r="K46" s="51"/>
    </row>
    <row r="47" spans="2:12" ht="15.75" customHeight="1" x14ac:dyDescent="0.3">
      <c r="B47" s="50"/>
      <c r="C47" s="252"/>
      <c r="D47" s="253"/>
      <c r="E47" s="253"/>
      <c r="F47" s="253"/>
      <c r="G47" s="253"/>
      <c r="H47" s="253"/>
      <c r="I47" s="253"/>
      <c r="J47" s="254" t="str">
        <f>'RESUMO DE PONTOS'!E3</f>
        <v>Materialidade</v>
      </c>
      <c r="K47" s="175">
        <f>'RESUMO DE PONTOS'!F3</f>
        <v>141950</v>
      </c>
      <c r="L47" s="176">
        <f>K47/$H$49</f>
        <v>3.0001064736625078E-2</v>
      </c>
    </row>
    <row r="48" spans="2:12" ht="15.75" customHeight="1" x14ac:dyDescent="0.3">
      <c r="B48" s="50"/>
      <c r="C48" s="255"/>
      <c r="D48" s="256"/>
      <c r="E48" s="256"/>
      <c r="F48" s="426" t="s">
        <v>749</v>
      </c>
      <c r="G48" s="257"/>
      <c r="H48" s="258" t="str">
        <f>'RESUMO DE PONTOS'!G3</f>
        <v>Total da Receita</v>
      </c>
      <c r="I48" s="256"/>
      <c r="J48" s="259" t="str">
        <f>'RESUMO DE PONTOS'!E4</f>
        <v>PM</v>
      </c>
      <c r="K48" s="175">
        <f>'RESUMO DE PONTOS'!F4</f>
        <v>95800</v>
      </c>
      <c r="L48" s="176">
        <f>K48/$H$49</f>
        <v>2.0247284267479272E-2</v>
      </c>
    </row>
    <row r="49" spans="2:17" ht="15.75" customHeight="1" thickBot="1" x14ac:dyDescent="0.35">
      <c r="B49" s="50"/>
      <c r="C49" s="281" t="s">
        <v>291</v>
      </c>
      <c r="D49" s="282" t="s">
        <v>335</v>
      </c>
      <c r="E49" s="282" t="s">
        <v>316</v>
      </c>
      <c r="F49" s="426"/>
      <c r="G49" s="257"/>
      <c r="H49" s="283">
        <f>'RESUMO DE PONTOS'!G4</f>
        <v>4731498.74</v>
      </c>
      <c r="I49" s="256"/>
      <c r="J49" s="259" t="str">
        <f>'RESUMO DE PONTOS'!E5</f>
        <v>AMPT</v>
      </c>
      <c r="K49" s="175">
        <f>'RESUMO DE PONTOS'!F5</f>
        <v>7100</v>
      </c>
      <c r="L49" s="176">
        <f>K49/$H$49</f>
        <v>1.5005816106378165E-3</v>
      </c>
    </row>
    <row r="50" spans="2:17" ht="15.75" customHeight="1" x14ac:dyDescent="0.3">
      <c r="B50" s="50"/>
      <c r="C50" s="413" t="s">
        <v>336</v>
      </c>
      <c r="D50" s="284" t="s">
        <v>651</v>
      </c>
      <c r="E50" s="418">
        <v>5</v>
      </c>
      <c r="F50" s="420">
        <f>G54+0.0000001%</f>
        <v>3.0001065736625077E-2</v>
      </c>
      <c r="G50" s="427"/>
      <c r="H50" s="430">
        <f>$H$49*F50</f>
        <v>141950.00473149875</v>
      </c>
      <c r="I50" s="430">
        <v>10000000</v>
      </c>
      <c r="J50" s="429">
        <v>5</v>
      </c>
      <c r="K50" s="173"/>
      <c r="L50" s="166"/>
    </row>
    <row r="51" spans="2:17" ht="15.75" customHeight="1" x14ac:dyDescent="0.3">
      <c r="B51" s="50"/>
      <c r="C51" s="414"/>
      <c r="D51" s="285" t="s">
        <v>337</v>
      </c>
      <c r="E51" s="416"/>
      <c r="F51" s="421"/>
      <c r="G51" s="428"/>
      <c r="H51" s="411"/>
      <c r="I51" s="411"/>
      <c r="J51" s="408"/>
      <c r="K51" s="51"/>
    </row>
    <row r="52" spans="2:17" ht="15.75" customHeight="1" x14ac:dyDescent="0.3">
      <c r="B52" s="50"/>
      <c r="C52" s="414"/>
      <c r="D52" s="285" t="s">
        <v>338</v>
      </c>
      <c r="E52" s="416"/>
      <c r="F52" s="421"/>
      <c r="G52" s="428"/>
      <c r="H52" s="411"/>
      <c r="I52" s="411"/>
      <c r="J52" s="408"/>
      <c r="K52" s="51"/>
    </row>
    <row r="53" spans="2:17" ht="15.75" customHeight="1" x14ac:dyDescent="0.3">
      <c r="B53" s="50"/>
      <c r="C53" s="414"/>
      <c r="D53" s="285" t="s">
        <v>339</v>
      </c>
      <c r="E53" s="416"/>
      <c r="F53" s="421"/>
      <c r="G53" s="428"/>
      <c r="H53" s="411"/>
      <c r="I53" s="411"/>
      <c r="J53" s="408"/>
      <c r="K53" s="51"/>
    </row>
    <row r="54" spans="2:17" ht="15.75" customHeight="1" x14ac:dyDescent="0.3">
      <c r="B54" s="50"/>
      <c r="C54" s="422" t="s">
        <v>340</v>
      </c>
      <c r="D54" s="286" t="s">
        <v>650</v>
      </c>
      <c r="E54" s="424">
        <v>4</v>
      </c>
      <c r="F54" s="404">
        <f>G60+0.0000001%</f>
        <v>2.0247285267479272E-2</v>
      </c>
      <c r="G54" s="405">
        <f>L47</f>
        <v>3.0001064736625078E-2</v>
      </c>
      <c r="H54" s="412">
        <f>$H$49*F54</f>
        <v>95800.004731498746</v>
      </c>
      <c r="I54" s="410">
        <f>$H$49*G54</f>
        <v>141950</v>
      </c>
      <c r="J54" s="407">
        <v>4</v>
      </c>
      <c r="K54" s="51"/>
    </row>
    <row r="55" spans="2:17" ht="15.75" customHeight="1" x14ac:dyDescent="0.3">
      <c r="B55" s="50"/>
      <c r="C55" s="423"/>
      <c r="D55" s="287" t="s">
        <v>341</v>
      </c>
      <c r="E55" s="424"/>
      <c r="F55" s="404"/>
      <c r="G55" s="405"/>
      <c r="H55" s="412"/>
      <c r="I55" s="410"/>
      <c r="J55" s="407"/>
      <c r="K55" s="51"/>
    </row>
    <row r="56" spans="2:17" ht="15.75" customHeight="1" x14ac:dyDescent="0.3">
      <c r="B56" s="50"/>
      <c r="C56" s="423"/>
      <c r="D56" s="287" t="s">
        <v>342</v>
      </c>
      <c r="E56" s="424"/>
      <c r="F56" s="404"/>
      <c r="G56" s="405"/>
      <c r="H56" s="412"/>
      <c r="I56" s="410"/>
      <c r="J56" s="407"/>
      <c r="K56" s="51"/>
    </row>
    <row r="57" spans="2:17" ht="15.75" customHeight="1" x14ac:dyDescent="0.3">
      <c r="B57" s="50"/>
      <c r="C57" s="423"/>
      <c r="D57" s="287" t="s">
        <v>343</v>
      </c>
      <c r="E57" s="424"/>
      <c r="F57" s="404"/>
      <c r="G57" s="405"/>
      <c r="H57" s="412"/>
      <c r="I57" s="410"/>
      <c r="J57" s="407"/>
      <c r="K57" s="51"/>
    </row>
    <row r="58" spans="2:17" ht="15.75" customHeight="1" x14ac:dyDescent="0.3">
      <c r="B58" s="50"/>
      <c r="C58" s="423"/>
      <c r="D58" s="287" t="s">
        <v>344</v>
      </c>
      <c r="E58" s="424"/>
      <c r="F58" s="404"/>
      <c r="G58" s="405"/>
      <c r="H58" s="412"/>
      <c r="I58" s="410"/>
      <c r="J58" s="407"/>
      <c r="K58" s="51"/>
      <c r="O58" s="177">
        <f>H70</f>
        <v>0</v>
      </c>
      <c r="P58" s="177">
        <f>I70</f>
        <v>7100</v>
      </c>
      <c r="Q58" s="178">
        <v>1</v>
      </c>
    </row>
    <row r="59" spans="2:17" ht="15.75" customHeight="1" x14ac:dyDescent="0.3">
      <c r="B59" s="50"/>
      <c r="C59" s="423"/>
      <c r="D59" s="287" t="s">
        <v>345</v>
      </c>
      <c r="E59" s="424"/>
      <c r="F59" s="404"/>
      <c r="G59" s="405"/>
      <c r="H59" s="412"/>
      <c r="I59" s="410"/>
      <c r="J59" s="407"/>
      <c r="K59" s="51"/>
      <c r="O59" s="177">
        <f>H66</f>
        <v>7100.0473149873997</v>
      </c>
      <c r="P59" s="177">
        <f>I66</f>
        <v>71850</v>
      </c>
      <c r="Q59" s="178">
        <v>2</v>
      </c>
    </row>
    <row r="60" spans="2:17" ht="15.75" customHeight="1" x14ac:dyDescent="0.3">
      <c r="B60" s="50"/>
      <c r="C60" s="414" t="s">
        <v>346</v>
      </c>
      <c r="D60" s="288" t="s">
        <v>649</v>
      </c>
      <c r="E60" s="416">
        <v>3</v>
      </c>
      <c r="F60" s="406">
        <f>G66+0.000001%</f>
        <v>1.5185473200609454E-2</v>
      </c>
      <c r="G60" s="406">
        <f>L48</f>
        <v>2.0247284267479272E-2</v>
      </c>
      <c r="H60" s="411">
        <f>$H$49*F60-0.01</f>
        <v>71850.037314987407</v>
      </c>
      <c r="I60" s="411">
        <f>$H$49*G60-0.01</f>
        <v>95799.99</v>
      </c>
      <c r="J60" s="408">
        <v>3</v>
      </c>
      <c r="K60" s="51"/>
      <c r="O60" s="177">
        <f>H60</f>
        <v>71850.037314987407</v>
      </c>
      <c r="P60" s="177">
        <f>I60</f>
        <v>95799.99</v>
      </c>
      <c r="Q60" s="178">
        <v>3</v>
      </c>
    </row>
    <row r="61" spans="2:17" ht="15.75" customHeight="1" x14ac:dyDescent="0.3">
      <c r="B61" s="50"/>
      <c r="C61" s="425"/>
      <c r="D61" s="285" t="s">
        <v>347</v>
      </c>
      <c r="E61" s="416"/>
      <c r="F61" s="406"/>
      <c r="G61" s="406"/>
      <c r="H61" s="411"/>
      <c r="I61" s="411"/>
      <c r="J61" s="408"/>
      <c r="K61" s="51"/>
      <c r="O61" s="179">
        <f>H54</f>
        <v>95800.004731498746</v>
      </c>
      <c r="P61" s="177">
        <f>I54</f>
        <v>141950</v>
      </c>
      <c r="Q61" s="178">
        <v>4</v>
      </c>
    </row>
    <row r="62" spans="2:17" ht="15.75" customHeight="1" x14ac:dyDescent="0.3">
      <c r="B62" s="50"/>
      <c r="C62" s="425"/>
      <c r="D62" s="285" t="s">
        <v>348</v>
      </c>
      <c r="E62" s="416"/>
      <c r="F62" s="406"/>
      <c r="G62" s="406"/>
      <c r="H62" s="411"/>
      <c r="I62" s="411"/>
      <c r="J62" s="408"/>
      <c r="K62" s="51"/>
      <c r="O62" s="177">
        <f>H50</f>
        <v>141950.00473149875</v>
      </c>
      <c r="P62" s="177">
        <f>I50</f>
        <v>10000000</v>
      </c>
      <c r="Q62" s="178">
        <v>5</v>
      </c>
    </row>
    <row r="63" spans="2:17" ht="15.75" customHeight="1" x14ac:dyDescent="0.3">
      <c r="B63" s="50"/>
      <c r="C63" s="425"/>
      <c r="D63" s="285" t="s">
        <v>349</v>
      </c>
      <c r="E63" s="416"/>
      <c r="F63" s="406"/>
      <c r="G63" s="406"/>
      <c r="H63" s="411"/>
      <c r="I63" s="411"/>
      <c r="J63" s="408"/>
      <c r="K63" s="51"/>
      <c r="O63" s="177">
        <f>H49</f>
        <v>4731498.74</v>
      </c>
      <c r="P63" s="178"/>
      <c r="Q63" s="178"/>
    </row>
    <row r="64" spans="2:17" ht="15.75" customHeight="1" x14ac:dyDescent="0.3">
      <c r="B64" s="50"/>
      <c r="C64" s="425"/>
      <c r="D64" s="285" t="s">
        <v>350</v>
      </c>
      <c r="E64" s="416"/>
      <c r="F64" s="406"/>
      <c r="G64" s="406"/>
      <c r="H64" s="411"/>
      <c r="I64" s="411"/>
      <c r="J64" s="408"/>
      <c r="K64" s="51"/>
    </row>
    <row r="65" spans="1:15" ht="15.75" customHeight="1" x14ac:dyDescent="0.3">
      <c r="B65" s="50"/>
      <c r="C65" s="425"/>
      <c r="D65" s="285" t="s">
        <v>351</v>
      </c>
      <c r="E65" s="416"/>
      <c r="F65" s="406"/>
      <c r="G65" s="406"/>
      <c r="H65" s="411"/>
      <c r="I65" s="411"/>
      <c r="J65" s="408"/>
      <c r="K65" s="51"/>
    </row>
    <row r="66" spans="1:15" ht="15.75" customHeight="1" x14ac:dyDescent="0.3">
      <c r="B66" s="50"/>
      <c r="C66" s="422" t="s">
        <v>352</v>
      </c>
      <c r="D66" s="286" t="s">
        <v>648</v>
      </c>
      <c r="E66" s="424">
        <v>2</v>
      </c>
      <c r="F66" s="404">
        <f>L49+0.000001%</f>
        <v>1.5005916106378165E-3</v>
      </c>
      <c r="G66" s="404">
        <f>L48*75%</f>
        <v>1.5185463200609454E-2</v>
      </c>
      <c r="H66" s="410">
        <f>$H$49*F66</f>
        <v>7100.0473149873997</v>
      </c>
      <c r="I66" s="410">
        <f>$H$49*G66</f>
        <v>71850</v>
      </c>
      <c r="J66" s="409">
        <v>2</v>
      </c>
      <c r="K66" s="403"/>
    </row>
    <row r="67" spans="1:15" ht="15.75" customHeight="1" x14ac:dyDescent="0.3">
      <c r="B67" s="128"/>
      <c r="C67" s="422"/>
      <c r="D67" s="287" t="s">
        <v>353</v>
      </c>
      <c r="E67" s="424"/>
      <c r="F67" s="404"/>
      <c r="G67" s="404"/>
      <c r="H67" s="410"/>
      <c r="I67" s="410"/>
      <c r="J67" s="409"/>
      <c r="K67" s="403"/>
    </row>
    <row r="68" spans="1:15" ht="15.75" customHeight="1" x14ac:dyDescent="0.3">
      <c r="B68" s="50"/>
      <c r="C68" s="423"/>
      <c r="D68" s="287" t="s">
        <v>354</v>
      </c>
      <c r="E68" s="424"/>
      <c r="F68" s="404"/>
      <c r="G68" s="404"/>
      <c r="H68" s="410"/>
      <c r="I68" s="410"/>
      <c r="J68" s="409"/>
      <c r="K68" s="403"/>
    </row>
    <row r="69" spans="1:15" ht="15.75" customHeight="1" x14ac:dyDescent="0.3">
      <c r="B69" s="50"/>
      <c r="C69" s="423"/>
      <c r="D69" s="287" t="s">
        <v>355</v>
      </c>
      <c r="E69" s="424"/>
      <c r="F69" s="404"/>
      <c r="G69" s="404"/>
      <c r="H69" s="410"/>
      <c r="I69" s="410"/>
      <c r="J69" s="409"/>
      <c r="K69" s="403"/>
    </row>
    <row r="70" spans="1:15" ht="15.75" customHeight="1" x14ac:dyDescent="0.3">
      <c r="B70" s="50"/>
      <c r="C70" s="414" t="s">
        <v>356</v>
      </c>
      <c r="D70" s="288" t="s">
        <v>647</v>
      </c>
      <c r="E70" s="416">
        <v>1</v>
      </c>
      <c r="F70" s="406">
        <v>0</v>
      </c>
      <c r="G70" s="406">
        <f>L49</f>
        <v>1.5005816106378165E-3</v>
      </c>
      <c r="H70" s="411">
        <f>$H$49*F70</f>
        <v>0</v>
      </c>
      <c r="I70" s="411">
        <f>$H$49*G70</f>
        <v>7100</v>
      </c>
      <c r="J70" s="408">
        <v>1</v>
      </c>
      <c r="K70" s="51"/>
    </row>
    <row r="71" spans="1:15" ht="47.4" thickBot="1" x14ac:dyDescent="0.35">
      <c r="B71" s="50"/>
      <c r="C71" s="415"/>
      <c r="D71" s="289" t="s">
        <v>357</v>
      </c>
      <c r="E71" s="417"/>
      <c r="F71" s="419"/>
      <c r="G71" s="419"/>
      <c r="H71" s="432"/>
      <c r="I71" s="432"/>
      <c r="J71" s="431"/>
      <c r="K71" s="51"/>
    </row>
    <row r="72" spans="1:15" ht="15.75" customHeight="1" x14ac:dyDescent="0.3">
      <c r="B72" s="50"/>
      <c r="K72" s="51"/>
    </row>
    <row r="73" spans="1:15" ht="15.75" customHeight="1" x14ac:dyDescent="0.3">
      <c r="B73" s="128"/>
      <c r="K73" s="51"/>
    </row>
    <row r="74" spans="1:15" ht="15.75" customHeight="1" x14ac:dyDescent="0.3">
      <c r="B74" s="50"/>
      <c r="J74" s="9"/>
      <c r="K74" s="51"/>
    </row>
    <row r="75" spans="1:15" ht="15.75" customHeight="1" x14ac:dyDescent="0.3">
      <c r="B75" s="50"/>
      <c r="C75" s="69" t="s">
        <v>358</v>
      </c>
      <c r="K75" s="51"/>
      <c r="M75" s="70" t="s">
        <v>359</v>
      </c>
    </row>
    <row r="76" spans="1:15" ht="17.399999999999999" x14ac:dyDescent="0.3">
      <c r="B76" s="50"/>
      <c r="C76" s="71" t="s">
        <v>360</v>
      </c>
      <c r="D76" s="261" t="s">
        <v>361</v>
      </c>
      <c r="E76" s="261" t="s">
        <v>361</v>
      </c>
      <c r="F76" s="261" t="s">
        <v>361</v>
      </c>
      <c r="G76" s="298" t="s">
        <v>362</v>
      </c>
      <c r="H76" s="297" t="s">
        <v>362</v>
      </c>
      <c r="I76" s="261" t="s">
        <v>361</v>
      </c>
      <c r="J76" s="261" t="s">
        <v>361</v>
      </c>
      <c r="K76" s="261" t="s">
        <v>361</v>
      </c>
      <c r="L76" s="126"/>
      <c r="M76" s="297" t="s">
        <v>363</v>
      </c>
    </row>
    <row r="77" spans="1:15" ht="47.4" thickBot="1" x14ac:dyDescent="0.35">
      <c r="A77" s="186" t="s">
        <v>364</v>
      </c>
      <c r="B77" s="128"/>
      <c r="C77" s="180" t="s">
        <v>365</v>
      </c>
      <c r="D77" s="181" t="s">
        <v>295</v>
      </c>
      <c r="E77" s="181" t="s">
        <v>46</v>
      </c>
      <c r="F77" s="181" t="s">
        <v>46</v>
      </c>
      <c r="G77" s="182" t="s">
        <v>298</v>
      </c>
      <c r="H77" s="183" t="s">
        <v>366</v>
      </c>
      <c r="I77" s="181" t="s">
        <v>301</v>
      </c>
      <c r="J77" s="181" t="s">
        <v>303</v>
      </c>
      <c r="K77" s="181" t="s">
        <v>367</v>
      </c>
      <c r="M77" s="72" t="s">
        <v>368</v>
      </c>
    </row>
    <row r="78" spans="1:15" ht="23.55" customHeight="1" x14ac:dyDescent="0.3">
      <c r="A78" s="187" t="s">
        <v>131</v>
      </c>
      <c r="B78" s="184"/>
      <c r="C78" s="262" t="str">
        <f>'RESUMO DE PONTOS'!C9</f>
        <v>[P1]</v>
      </c>
      <c r="D78" s="263" t="str">
        <f>IFERROR(VLOOKUP(C78,'RESUMO DE PONTOS'!$C$9:$D$38,2,),"")</f>
        <v>Pagamento sem nota fiscal</v>
      </c>
      <c r="E78" s="264" t="str">
        <f>IFERROR(VLOOKUP($C78,'RESUMO DE PONTOS'!$C$9:$L$38,7,),"")</f>
        <v>Legal</v>
      </c>
      <c r="F78" s="264">
        <f t="shared" ref="F78:F84" si="2">VLOOKUP(E78,$C$30:$E$35,3,)</f>
        <v>3</v>
      </c>
      <c r="G78" s="369">
        <f>_xlfn.XLOOKUP(D78,'FREQ. X PONTOS'!C:C,'FREQ. X PONTOS'!J:J)</f>
        <v>5</v>
      </c>
      <c r="H78" s="265">
        <v>2</v>
      </c>
      <c r="I78" s="264">
        <f>F78*G78*H78</f>
        <v>30</v>
      </c>
      <c r="J78" s="264" t="str">
        <f>IFERROR(VLOOKUP(C78,'RESUMO DE PONTOS'!$C$9:$J$38,8,),"")</f>
        <v>Voucher Documental</v>
      </c>
      <c r="K78" s="361" t="str">
        <f>IF(I78&gt;=75,"ALTO IMPACTO",IF(I78&lt;=50,"BAIXO IMPACTO","MÉDIO IMPACTO"))</f>
        <v>BAIXO IMPACTO</v>
      </c>
      <c r="L78" s="359"/>
      <c r="M78" s="266" t="str">
        <f>_xlfn.XLOOKUP(C78,'RESUMO DE PONTOS'!C:C,'RESUMO DE PONTOS'!L:L)</f>
        <v>Alto Impacto</v>
      </c>
      <c r="N78" s="267" t="str">
        <f>C78</f>
        <v>[P1]</v>
      </c>
      <c r="O78" s="268">
        <f t="shared" ref="O78:O81" si="3">I78</f>
        <v>30</v>
      </c>
    </row>
    <row r="79" spans="1:15" ht="27.6" x14ac:dyDescent="0.3">
      <c r="A79" s="188" t="s">
        <v>369</v>
      </c>
      <c r="B79" s="184"/>
      <c r="C79" s="269" t="str">
        <f>'RESUMO DE PONTOS'!C10</f>
        <v>[P2]</v>
      </c>
      <c r="D79" s="270" t="str">
        <f>IFERROR(VLOOKUP(C79,'RESUMO DE PONTOS'!$C$9:$D$38,2,),"")</f>
        <v>Pagamentos realizados sem os respectivos comprovantes de pagamento anexados</v>
      </c>
      <c r="E79" s="271" t="str">
        <f>IFERROR(VLOOKUP($C79,'RESUMO DE PONTOS'!$C$9:$L$38,7,),"")</f>
        <v>Financeiro</v>
      </c>
      <c r="F79" s="271">
        <f t="shared" si="2"/>
        <v>5</v>
      </c>
      <c r="G79" s="370">
        <v>3</v>
      </c>
      <c r="H79" s="273">
        <v>2</v>
      </c>
      <c r="I79" s="272">
        <f t="shared" ref="I79:I81" si="4">F79*G79*H79</f>
        <v>30</v>
      </c>
      <c r="J79" s="271" t="str">
        <f>IFERROR(VLOOKUP(C79,'RESUMO DE PONTOS'!$C$9:$J$38,8,),"")</f>
        <v>Voucher Documental</v>
      </c>
      <c r="K79" s="362" t="str">
        <f t="shared" ref="K79:K81" si="5">IF(I79&gt;=75,"ALTO IMPACTO",IF(I79&lt;=50,"BAIXO IMPACTO","MÉDIO IMPACTO"))</f>
        <v>BAIXO IMPACTO</v>
      </c>
      <c r="L79" s="360"/>
      <c r="M79" s="274" t="str">
        <f>_xlfn.XLOOKUP(C79,'RESUMO DE PONTOS'!C:C,'RESUMO DE PONTOS'!L:L)</f>
        <v>Alto Impacto</v>
      </c>
      <c r="N79" s="275" t="str">
        <f t="shared" ref="N79:N81" si="6">C79</f>
        <v>[P2]</v>
      </c>
      <c r="O79" s="276">
        <f t="shared" si="3"/>
        <v>30</v>
      </c>
    </row>
    <row r="80" spans="1:15" ht="27.6" x14ac:dyDescent="0.3">
      <c r="A80" s="189" t="s">
        <v>370</v>
      </c>
      <c r="B80" s="184"/>
      <c r="C80" s="269" t="str">
        <f>'RESUMO DE PONTOS'!C11</f>
        <v>[P3]</v>
      </c>
      <c r="D80" s="270" t="str">
        <f>IFERROR(VLOOKUP(C80,'RESUMO DE PONTOS'!$C$9:$D$38,2,),"")</f>
        <v>Negligência na gestão dos Documentos que compõe os Demonstrativos</v>
      </c>
      <c r="E80" s="271" t="str">
        <f>IFERROR(VLOOKUP($C80,'RESUMO DE PONTOS'!$C$9:$L$38,7,),"")</f>
        <v>Operacional</v>
      </c>
      <c r="F80" s="271">
        <f t="shared" si="2"/>
        <v>4</v>
      </c>
      <c r="G80" s="370">
        <v>2</v>
      </c>
      <c r="H80" s="273">
        <v>1</v>
      </c>
      <c r="I80" s="271">
        <f t="shared" si="4"/>
        <v>8</v>
      </c>
      <c r="J80" s="271" t="str">
        <f>IFERROR(VLOOKUP(C80,'RESUMO DE PONTOS'!$C$9:$J$38,8,),"")</f>
        <v>Voucher Documental</v>
      </c>
      <c r="K80" s="362" t="str">
        <f t="shared" si="5"/>
        <v>BAIXO IMPACTO</v>
      </c>
      <c r="L80" s="360"/>
      <c r="M80" s="274" t="str">
        <f>_xlfn.XLOOKUP(C80,'RESUMO DE PONTOS'!C:C,'RESUMO DE PONTOS'!L:L)</f>
        <v>Baixo Impacto</v>
      </c>
      <c r="N80" s="275" t="str">
        <f t="shared" si="6"/>
        <v>[P3]</v>
      </c>
      <c r="O80" s="276">
        <f t="shared" si="3"/>
        <v>8</v>
      </c>
    </row>
    <row r="81" spans="1:21" ht="27.6" x14ac:dyDescent="0.3">
      <c r="A81" s="188" t="s">
        <v>371</v>
      </c>
      <c r="B81" s="184"/>
      <c r="C81" s="269" t="str">
        <f>'RESUMO DE PONTOS'!C12</f>
        <v>[P4]</v>
      </c>
      <c r="D81" s="270" t="str">
        <f>IFERROR(VLOOKUP(C81,'RESUMO DE PONTOS'!$C$9:$D$38,2,),"")</f>
        <v>Pagamento de tarifa bancária.</v>
      </c>
      <c r="E81" s="271" t="str">
        <f>IFERROR(VLOOKUP($C81,'RESUMO DE PONTOS'!$C$9:$L$38,7,),"")</f>
        <v>Financeiro</v>
      </c>
      <c r="F81" s="271">
        <f t="shared" si="2"/>
        <v>5</v>
      </c>
      <c r="G81" s="370">
        <v>3</v>
      </c>
      <c r="H81" s="273">
        <v>1</v>
      </c>
      <c r="I81" s="271">
        <f t="shared" si="4"/>
        <v>15</v>
      </c>
      <c r="J81" s="271" t="str">
        <f>IFERROR(VLOOKUP(C81,'RESUMO DE PONTOS'!$C$9:$J$38,8,),"")</f>
        <v>Voucher Documental</v>
      </c>
      <c r="K81" s="362" t="str">
        <f t="shared" si="5"/>
        <v>BAIXO IMPACTO</v>
      </c>
      <c r="L81" s="360"/>
      <c r="M81" s="274" t="str">
        <f>_xlfn.XLOOKUP(C81,'RESUMO DE PONTOS'!C:C,'RESUMO DE PONTOS'!L:L)</f>
        <v>Baixo Impacto</v>
      </c>
      <c r="N81" s="275" t="str">
        <f t="shared" si="6"/>
        <v>[P4]</v>
      </c>
      <c r="O81" s="276">
        <f t="shared" si="3"/>
        <v>15</v>
      </c>
    </row>
    <row r="82" spans="1:21" ht="34.5" customHeight="1" x14ac:dyDescent="0.3">
      <c r="A82" s="188"/>
      <c r="B82" s="184"/>
      <c r="C82" s="269" t="str">
        <f>'RESUMO DE PONTOS'!C13</f>
        <v>[P5]</v>
      </c>
      <c r="D82" s="270" t="str">
        <f>IFERROR(VLOOKUP(C82,'RESUMO DE PONTOS'!$C$9:$D$38,2,),"")</f>
        <v>Diferenças entre: Valor do comprovante de pagamento X Valor da documentação suporte.</v>
      </c>
      <c r="E82" s="271" t="str">
        <f>IFERROR(VLOOKUP($C82,'RESUMO DE PONTOS'!$C$9:$L$38,7,),"")</f>
        <v>Financeiro</v>
      </c>
      <c r="F82" s="271">
        <f t="shared" si="2"/>
        <v>5</v>
      </c>
      <c r="G82" s="370">
        <v>1</v>
      </c>
      <c r="H82" s="273">
        <v>1</v>
      </c>
      <c r="I82" s="271">
        <f t="shared" ref="I82:I83" si="7">F82*G82*H82</f>
        <v>5</v>
      </c>
      <c r="J82" s="271" t="str">
        <f>IFERROR(VLOOKUP(C82,'RESUMO DE PONTOS'!$C$9:$J$38,8,),"")</f>
        <v>Voucher Documental</v>
      </c>
      <c r="K82" s="362" t="str">
        <f t="shared" ref="K82:K83" si="8">IF(I82&gt;=75,"ALTO IMPACTO",IF(I82&lt;=50,"BAIXO IMPACTO","MÉDIO IMPACTO"))</f>
        <v>BAIXO IMPACTO</v>
      </c>
      <c r="L82" s="360"/>
      <c r="M82" s="274" t="str">
        <f>_xlfn.XLOOKUP(C82,'RESUMO DE PONTOS'!C:C,'RESUMO DE PONTOS'!L:L)</f>
        <v>Baixo Impacto</v>
      </c>
      <c r="N82" s="275" t="str">
        <f t="shared" ref="N82:N83" si="9">C82</f>
        <v>[P5]</v>
      </c>
      <c r="O82" s="276">
        <f t="shared" ref="O82:O83" si="10">I82</f>
        <v>5</v>
      </c>
    </row>
    <row r="83" spans="1:21" ht="27.6" x14ac:dyDescent="0.3">
      <c r="A83" s="188"/>
      <c r="B83" s="184"/>
      <c r="C83" s="269" t="str">
        <f>'RESUMO DE PONTOS'!C14</f>
        <v>[P6]</v>
      </c>
      <c r="D83" s="270" t="str">
        <f>IFERROR(VLOOKUP(C83,'RESUMO DE PONTOS'!$C$9:$D$38,2,),"")</f>
        <v>Acesso a Convenção do Condomínio</v>
      </c>
      <c r="E83" s="271" t="str">
        <f>IFERROR(VLOOKUP($C83,'RESUMO DE PONTOS'!$C$9:$L$38,7,),"")</f>
        <v>Operacional</v>
      </c>
      <c r="F83" s="271">
        <f t="shared" si="2"/>
        <v>4</v>
      </c>
      <c r="G83" s="370">
        <v>1</v>
      </c>
      <c r="H83" s="273">
        <v>1</v>
      </c>
      <c r="I83" s="271">
        <f t="shared" si="7"/>
        <v>4</v>
      </c>
      <c r="J83" s="271" t="str">
        <f>IFERROR(VLOOKUP(C83,'RESUMO DE PONTOS'!$C$9:$J$38,8,),"")</f>
        <v>Resumo da Convenção</v>
      </c>
      <c r="K83" s="362" t="str">
        <f t="shared" si="8"/>
        <v>BAIXO IMPACTO</v>
      </c>
      <c r="L83" s="360"/>
      <c r="M83" s="274" t="str">
        <f>_xlfn.XLOOKUP(C83,'RESUMO DE PONTOS'!C:C,'RESUMO DE PONTOS'!L:L)</f>
        <v>Baixo Impacto</v>
      </c>
      <c r="N83" s="275" t="str">
        <f t="shared" si="9"/>
        <v>[P6]</v>
      </c>
      <c r="O83" s="276">
        <f t="shared" si="10"/>
        <v>4</v>
      </c>
    </row>
    <row r="84" spans="1:21" ht="28.5" customHeight="1" x14ac:dyDescent="0.3">
      <c r="A84" s="188"/>
      <c r="B84" s="184"/>
      <c r="C84" s="269" t="str">
        <f>'RESUMO DE PONTOS'!C15</f>
        <v>[P7]</v>
      </c>
      <c r="D84" s="270" t="str">
        <f>IFERROR(VLOOKUP(C84,'RESUMO DE PONTOS'!$C$9:$D$38,2,),"")</f>
        <v>Os balancetes sem aprovação dos conselheiros fiscais no termo de aprovação.</v>
      </c>
      <c r="E84" s="271" t="str">
        <f>IFERROR(VLOOKUP($C84,'RESUMO DE PONTOS'!$C$9:$L$38,7,),"")</f>
        <v>Operacional</v>
      </c>
      <c r="F84" s="271">
        <f t="shared" si="2"/>
        <v>4</v>
      </c>
      <c r="G84" s="370">
        <v>5</v>
      </c>
      <c r="H84" s="273">
        <v>3</v>
      </c>
      <c r="I84" s="271">
        <f t="shared" ref="I84" si="11">F84*G84*H84</f>
        <v>60</v>
      </c>
      <c r="J84" s="271" t="str">
        <f>IFERROR(VLOOKUP(C84,'RESUMO DE PONTOS'!$C$9:$J$38,8,),"")</f>
        <v>Resumo da Convenção</v>
      </c>
      <c r="K84" s="362" t="str">
        <f t="shared" ref="K84" si="12">IF(I84&gt;=75,"ALTO IMPACTO",IF(I84&lt;=50,"BAIXO IMPACTO","MÉDIO IMPACTO"))</f>
        <v>MÉDIO IMPACTO</v>
      </c>
      <c r="L84" s="360"/>
      <c r="M84" s="274" t="str">
        <f>_xlfn.XLOOKUP(C84,'RESUMO DE PONTOS'!C:C,'RESUMO DE PONTOS'!L:L)</f>
        <v>Baixo Impacto</v>
      </c>
      <c r="N84" s="275" t="str">
        <f t="shared" ref="N84" si="13">C84</f>
        <v>[P7]</v>
      </c>
      <c r="O84" s="276">
        <f t="shared" ref="O84" si="14">I84</f>
        <v>60</v>
      </c>
    </row>
    <row r="85" spans="1:21" ht="27.6" x14ac:dyDescent="0.3">
      <c r="A85" s="188"/>
      <c r="B85" s="184"/>
      <c r="C85" s="269" t="str">
        <f>'RESUMO DE PONTOS'!C16</f>
        <v>[P8]</v>
      </c>
      <c r="D85" s="270" t="str">
        <f>IFERROR(VLOOKUP(C85,'RESUMO DE PONTOS'!$C$9:$D$38,2,),"")</f>
        <v>Impacto com os inadimplentes</v>
      </c>
      <c r="E85" s="271" t="str">
        <f>IFERROR(VLOOKUP($C85,'RESUMO DE PONTOS'!$C$9:$L$38,7,),"")</f>
        <v>Financeiro</v>
      </c>
      <c r="F85" s="271">
        <f t="shared" ref="F85:F91" si="15">VLOOKUP(E85,$C$30:$E$35,3,)</f>
        <v>5</v>
      </c>
      <c r="G85" s="370">
        <v>4</v>
      </c>
      <c r="H85" s="273">
        <v>2</v>
      </c>
      <c r="I85" s="271">
        <f t="shared" ref="I85:I91" si="16">F85*G85*H85</f>
        <v>40</v>
      </c>
      <c r="J85" s="271" t="str">
        <f>IFERROR(VLOOKUP(C85,'RESUMO DE PONTOS'!$C$9:$J$38,8,),"")</f>
        <v>Inadimplentes</v>
      </c>
      <c r="K85" s="362" t="str">
        <f t="shared" ref="K85:K91" si="17">IF(I85&gt;=75,"ALTO IMPACTO",IF(I85&lt;=50,"BAIXO IMPACTO","MÉDIO IMPACTO"))</f>
        <v>BAIXO IMPACTO</v>
      </c>
      <c r="L85" s="360"/>
      <c r="M85" s="274" t="str">
        <f>_xlfn.XLOOKUP(C85,'RESUMO DE PONTOS'!C:C,'RESUMO DE PONTOS'!L:L)</f>
        <v>Médio Impacto</v>
      </c>
      <c r="N85" s="275" t="str">
        <f t="shared" ref="N85:N91" si="18">C85</f>
        <v>[P8]</v>
      </c>
      <c r="O85" s="276">
        <f t="shared" ref="O85:O91" si="19">I85</f>
        <v>40</v>
      </c>
    </row>
    <row r="86" spans="1:21" ht="26.4" x14ac:dyDescent="0.3">
      <c r="A86" s="190"/>
      <c r="B86" s="184"/>
      <c r="C86" s="269" t="str">
        <f>'RESUMO DE PONTOS'!C17</f>
        <v>[P9]</v>
      </c>
      <c r="D86" s="270" t="str">
        <f>IFERROR(VLOOKUP(C86,'RESUMO DE PONTOS'!$C$9:$D$38,2,),"")</f>
        <v>Ausência de Inventário dos ativos imobilizados</v>
      </c>
      <c r="E86" s="271" t="str">
        <f>IFERROR(VLOOKUP($C86,'RESUMO DE PONTOS'!$C$9:$L$38,7,),"")</f>
        <v>Financeiro</v>
      </c>
      <c r="F86" s="271">
        <f t="shared" si="15"/>
        <v>5</v>
      </c>
      <c r="G86" s="370">
        <v>4</v>
      </c>
      <c r="H86" s="273">
        <v>4</v>
      </c>
      <c r="I86" s="271">
        <f t="shared" si="16"/>
        <v>80</v>
      </c>
      <c r="J86" s="271" t="str">
        <f>IFERROR(VLOOKUP(C86,'RESUMO DE PONTOS'!$C$9:$J$38,8,),"")</f>
        <v>Ativo imobilizado</v>
      </c>
      <c r="K86" s="362" t="str">
        <f t="shared" si="17"/>
        <v>ALTO IMPACTO</v>
      </c>
      <c r="L86" s="360"/>
      <c r="M86" s="274" t="str">
        <f>_xlfn.XLOOKUP(C86,'RESUMO DE PONTOS'!C:C,'RESUMO DE PONTOS'!L:L)</f>
        <v>Alto Impacto</v>
      </c>
      <c r="N86" s="275" t="str">
        <f t="shared" si="18"/>
        <v>[P9]</v>
      </c>
      <c r="O86" s="276">
        <f t="shared" si="19"/>
        <v>80</v>
      </c>
    </row>
    <row r="87" spans="1:21" ht="39.6" x14ac:dyDescent="0.3">
      <c r="A87" s="190"/>
      <c r="B87" s="184"/>
      <c r="C87" s="269" t="str">
        <f>'RESUMO DE PONTOS'!C18</f>
        <v>[P10]</v>
      </c>
      <c r="D87" s="270" t="str">
        <f>IFERROR(VLOOKUP(C87,'RESUMO DE PONTOS'!$C$9:$D$38,2,),"")</f>
        <v>Inexistência de informações para emissão da certidão de FGTS na Caixa econômica Federal.</v>
      </c>
      <c r="E87" s="271" t="str">
        <f>IFERROR(VLOOKUP($C87,'RESUMO DE PONTOS'!$C$9:$L$38,7,),"")</f>
        <v>Legal</v>
      </c>
      <c r="F87" s="271">
        <f t="shared" si="15"/>
        <v>3</v>
      </c>
      <c r="G87" s="370">
        <v>4</v>
      </c>
      <c r="H87" s="273">
        <v>4</v>
      </c>
      <c r="I87" s="271">
        <f t="shared" si="16"/>
        <v>48</v>
      </c>
      <c r="J87" s="271" t="str">
        <f>IFERROR(VLOOKUP(C87,'RESUMO DE PONTOS'!$C$9:$J$38,8,),"")</f>
        <v>Certidão</v>
      </c>
      <c r="K87" s="362" t="str">
        <f t="shared" si="17"/>
        <v>BAIXO IMPACTO</v>
      </c>
      <c r="L87" s="360"/>
      <c r="M87" s="274" t="str">
        <f>_xlfn.XLOOKUP(C87,'RESUMO DE PONTOS'!C:C,'RESUMO DE PONTOS'!L:L)</f>
        <v>Alto Impacto</v>
      </c>
      <c r="N87" s="275" t="str">
        <f t="shared" si="18"/>
        <v>[P10]</v>
      </c>
      <c r="O87" s="276">
        <f t="shared" si="19"/>
        <v>48</v>
      </c>
    </row>
    <row r="88" spans="1:21" ht="26.4" x14ac:dyDescent="0.3">
      <c r="A88" s="190"/>
      <c r="B88" s="184"/>
      <c r="C88" s="269" t="str">
        <f>'RESUMO DE PONTOS'!C19</f>
        <v>[P11]</v>
      </c>
      <c r="D88" s="270" t="str">
        <f>IFERROR(VLOOKUP(C88,'RESUMO DE PONTOS'!$C$9:$D$38,2,),"")</f>
        <v>Capacidade de arrecadação inferior aos gastos.</v>
      </c>
      <c r="E88" s="271" t="str">
        <f>IFERROR(VLOOKUP($C88,'RESUMO DE PONTOS'!$C$9:$L$38,7,),"")</f>
        <v>Estratégico</v>
      </c>
      <c r="F88" s="271">
        <f t="shared" si="15"/>
        <v>4</v>
      </c>
      <c r="G88" s="370">
        <v>5</v>
      </c>
      <c r="H88" s="273">
        <v>5</v>
      </c>
      <c r="I88" s="271">
        <f t="shared" si="16"/>
        <v>100</v>
      </c>
      <c r="J88" s="271" t="str">
        <f>IFERROR(VLOOKUP(C88,'RESUMO DE PONTOS'!$C$9:$J$38,8,),"")</f>
        <v>Demonstrativo de Receita e Despesas</v>
      </c>
      <c r="K88" s="362" t="str">
        <f t="shared" si="17"/>
        <v>ALTO IMPACTO</v>
      </c>
      <c r="L88" s="360"/>
      <c r="M88" s="274" t="str">
        <f>_xlfn.XLOOKUP(C88,'RESUMO DE PONTOS'!C:C,'RESUMO DE PONTOS'!L:L)</f>
        <v>Alto Impacto</v>
      </c>
      <c r="N88" s="275" t="str">
        <f t="shared" si="18"/>
        <v>[P11]</v>
      </c>
      <c r="O88" s="276">
        <f t="shared" si="19"/>
        <v>100</v>
      </c>
    </row>
    <row r="89" spans="1:21" ht="24.6" customHeight="1" x14ac:dyDescent="0.3">
      <c r="A89" s="190"/>
      <c r="B89" s="128"/>
      <c r="C89" s="269" t="str">
        <f>'RESUMO DE PONTOS'!C20</f>
        <v>[P12]</v>
      </c>
      <c r="D89" s="270" t="str">
        <f>IFERROR(VLOOKUP(C89,'RESUMO DE PONTOS'!$C$9:$D$38,2,),"")</f>
        <v>Envio de Boleto Fraudado</v>
      </c>
      <c r="E89" s="271" t="str">
        <f>IFERROR(VLOOKUP($C89,'RESUMO DE PONTOS'!$C$9:$L$38,7,),"")</f>
        <v>Operacional</v>
      </c>
      <c r="F89" s="271">
        <f t="shared" si="15"/>
        <v>4</v>
      </c>
      <c r="G89" s="370">
        <v>1</v>
      </c>
      <c r="H89" s="273">
        <v>1</v>
      </c>
      <c r="I89" s="271">
        <f t="shared" si="16"/>
        <v>4</v>
      </c>
      <c r="J89" s="271" t="str">
        <f>IFERROR(VLOOKUP(C89,'RESUMO DE PONTOS'!$C$9:$J$38,8,),"")</f>
        <v>Demonstrativo de Receita e Despesas</v>
      </c>
      <c r="K89" s="362" t="str">
        <f t="shared" si="17"/>
        <v>BAIXO IMPACTO</v>
      </c>
      <c r="L89" s="360"/>
      <c r="M89" s="274" t="str">
        <f>_xlfn.XLOOKUP(C89,'RESUMO DE PONTOS'!C:C,'RESUMO DE PONTOS'!L:L)</f>
        <v>Baixo Impacto</v>
      </c>
      <c r="N89" s="275" t="str">
        <f t="shared" si="18"/>
        <v>[P12]</v>
      </c>
      <c r="O89" s="276">
        <f t="shared" si="19"/>
        <v>4</v>
      </c>
    </row>
    <row r="90" spans="1:21" ht="27.6" x14ac:dyDescent="0.3">
      <c r="A90" s="190"/>
      <c r="B90" s="128"/>
      <c r="C90" s="269" t="str">
        <f>'RESUMO DE PONTOS'!C21</f>
        <v>[P13]</v>
      </c>
      <c r="D90" s="270" t="str">
        <f>IFERROR(VLOOKUP(C90,'RESUMO DE PONTOS'!$C$9:$D$38,2,),"")</f>
        <v>Débito automático referente ao bloqueio judicial</v>
      </c>
      <c r="E90" s="271" t="str">
        <f>IFERROR(VLOOKUP($C90,'RESUMO DE PONTOS'!$C$9:$L$38,7,),"")</f>
        <v>Legal</v>
      </c>
      <c r="F90" s="271">
        <f t="shared" si="15"/>
        <v>3</v>
      </c>
      <c r="G90" s="370">
        <v>3</v>
      </c>
      <c r="H90" s="273">
        <v>1</v>
      </c>
      <c r="I90" s="271">
        <f t="shared" si="16"/>
        <v>9</v>
      </c>
      <c r="J90" s="271" t="str">
        <f>IFERROR(VLOOKUP(C90,'RESUMO DE PONTOS'!$C$9:$J$38,8,),"")</f>
        <v>Extratos</v>
      </c>
      <c r="K90" s="362" t="str">
        <f t="shared" si="17"/>
        <v>BAIXO IMPACTO</v>
      </c>
      <c r="L90" s="360"/>
      <c r="M90" s="274" t="str">
        <f>_xlfn.XLOOKUP(C90,'RESUMO DE PONTOS'!C:C,'RESUMO DE PONTOS'!L:L)</f>
        <v>Médio Impacto</v>
      </c>
      <c r="N90" s="275" t="str">
        <f t="shared" si="18"/>
        <v>[P13]</v>
      </c>
      <c r="O90" s="276">
        <f t="shared" si="19"/>
        <v>9</v>
      </c>
    </row>
    <row r="91" spans="1:21" ht="27.6" x14ac:dyDescent="0.3">
      <c r="A91" s="190"/>
      <c r="B91" s="128"/>
      <c r="C91" s="269" t="str">
        <f>'RESUMO DE PONTOS'!C22</f>
        <v>[P14]</v>
      </c>
      <c r="D91" s="270" t="str">
        <f>IFERROR(VLOOKUP(C91,'RESUMO DE PONTOS'!$C$9:$D$38,2,),"")</f>
        <v>Saldo bloqueado Custódia de Caução.</v>
      </c>
      <c r="E91" s="271" t="str">
        <f>IFERROR(VLOOKUP($C91,'RESUMO DE PONTOS'!$C$9:$L$38,7,),"")</f>
        <v>Financeiro</v>
      </c>
      <c r="F91" s="271">
        <f t="shared" si="15"/>
        <v>5</v>
      </c>
      <c r="G91" s="370">
        <v>5</v>
      </c>
      <c r="H91" s="273">
        <v>1</v>
      </c>
      <c r="I91" s="271">
        <f t="shared" si="16"/>
        <v>25</v>
      </c>
      <c r="J91" s="271" t="str">
        <f>IFERROR(VLOOKUP(C91,'RESUMO DE PONTOS'!$C$9:$J$38,8,),"")</f>
        <v>Demonstrativo de Receita e Despesas</v>
      </c>
      <c r="K91" s="362" t="str">
        <f t="shared" si="17"/>
        <v>BAIXO IMPACTO</v>
      </c>
      <c r="L91" s="360"/>
      <c r="M91" s="274" t="str">
        <f>_xlfn.XLOOKUP(C91,'RESUMO DE PONTOS'!C:C,'RESUMO DE PONTOS'!L:L)</f>
        <v>Baixo Impacto</v>
      </c>
      <c r="N91" s="275" t="str">
        <f t="shared" si="18"/>
        <v>[P14]</v>
      </c>
      <c r="O91" s="276">
        <f t="shared" si="19"/>
        <v>25</v>
      </c>
    </row>
    <row r="92" spans="1:21" ht="39.6" x14ac:dyDescent="0.3">
      <c r="A92" s="190"/>
      <c r="B92" s="128"/>
      <c r="C92" s="269" t="str">
        <f>'RESUMO DE PONTOS'!C23</f>
        <v>[P15]</v>
      </c>
      <c r="D92" s="270" t="str">
        <f>IFERROR(VLOOKUP(C92,'RESUMO DE PONTOS'!$C$9:$D$38,2,),"")</f>
        <v>Não há classificação de expectativa de ganho para algumas causas ativas e de perda para as passivas.</v>
      </c>
      <c r="E92" s="271" t="str">
        <f>IFERROR(VLOOKUP($C92,'RESUMO DE PONTOS'!$C$9:$L$38,7,),"")</f>
        <v>Legal</v>
      </c>
      <c r="F92" s="271">
        <f t="shared" ref="F92:F93" si="20">VLOOKUP(E92,$C$30:$E$35,3,)</f>
        <v>3</v>
      </c>
      <c r="G92" s="370">
        <v>3</v>
      </c>
      <c r="H92" s="273">
        <v>2</v>
      </c>
      <c r="I92" s="271">
        <f t="shared" ref="I92:I93" si="21">F92*G92*H92</f>
        <v>18</v>
      </c>
      <c r="J92" s="271" t="str">
        <f>IFERROR(VLOOKUP(C92,'RESUMO DE PONTOS'!$C$9:$J$38,8,),"")</f>
        <v>Contigência</v>
      </c>
      <c r="K92" s="362" t="str">
        <f t="shared" ref="K92:K93" si="22">IF(I92&gt;=75,"ALTO IMPACTO",IF(I92&lt;=50,"BAIXO IMPACTO","MÉDIO IMPACTO"))</f>
        <v>BAIXO IMPACTO</v>
      </c>
      <c r="L92" s="360"/>
      <c r="M92" s="274" t="str">
        <f>_xlfn.XLOOKUP(C92,'RESUMO DE PONTOS'!C:C,'RESUMO DE PONTOS'!L:L)</f>
        <v>Alto Impacto</v>
      </c>
      <c r="N92" s="275" t="str">
        <f t="shared" ref="N92:N93" si="23">C92</f>
        <v>[P15]</v>
      </c>
      <c r="O92" s="276">
        <f t="shared" ref="O92:O93" si="24">I92</f>
        <v>18</v>
      </c>
      <c r="U92" s="386"/>
    </row>
    <row r="93" spans="1:21" ht="27.6" x14ac:dyDescent="0.3">
      <c r="A93" s="190"/>
      <c r="B93" s="128"/>
      <c r="C93" s="269" t="str">
        <f>'RESUMO DE PONTOS'!C24</f>
        <v>[P16]</v>
      </c>
      <c r="D93" s="270" t="str">
        <f>IFERROR(VLOOKUP(C93,'RESUMO DE PONTOS'!$C$9:$D$38,2,),"")</f>
        <v>Perda de Causa Judicial</v>
      </c>
      <c r="E93" s="271" t="str">
        <f>IFERROR(VLOOKUP($C93,'RESUMO DE PONTOS'!$C$9:$L$38,7,),"")</f>
        <v>Legal</v>
      </c>
      <c r="F93" s="271">
        <f t="shared" si="20"/>
        <v>3</v>
      </c>
      <c r="G93" s="370">
        <v>4</v>
      </c>
      <c r="H93" s="273">
        <v>2</v>
      </c>
      <c r="I93" s="271">
        <f t="shared" si="21"/>
        <v>24</v>
      </c>
      <c r="J93" s="271" t="str">
        <f>IFERROR(VLOOKUP(C93,'RESUMO DE PONTOS'!$C$9:$J$38,8,),"")</f>
        <v>Contigência</v>
      </c>
      <c r="K93" s="362" t="str">
        <f t="shared" si="22"/>
        <v>BAIXO IMPACTO</v>
      </c>
      <c r="L93" s="360"/>
      <c r="M93" s="274" t="str">
        <f>_xlfn.XLOOKUP(C93,'RESUMO DE PONTOS'!C:C,'RESUMO DE PONTOS'!L:L)</f>
        <v>Alto Impacto</v>
      </c>
      <c r="N93" s="275" t="str">
        <f t="shared" si="23"/>
        <v>[P16]</v>
      </c>
      <c r="O93" s="276">
        <f t="shared" si="24"/>
        <v>24</v>
      </c>
    </row>
    <row r="94" spans="1:21" ht="15.6" x14ac:dyDescent="0.3">
      <c r="A94" s="190"/>
      <c r="B94" s="128"/>
      <c r="C94" s="269"/>
      <c r="D94" s="270"/>
      <c r="E94" s="271"/>
      <c r="F94" s="271"/>
      <c r="G94" s="370"/>
      <c r="H94" s="273"/>
      <c r="I94" s="271"/>
      <c r="J94" s="271"/>
      <c r="K94" s="362"/>
      <c r="L94" s="360"/>
      <c r="M94" s="274"/>
      <c r="N94" s="275"/>
      <c r="O94" s="276"/>
    </row>
    <row r="95" spans="1:21" ht="15.6" x14ac:dyDescent="0.3">
      <c r="A95" s="190"/>
      <c r="B95" s="128"/>
      <c r="C95" s="269"/>
      <c r="D95" s="270"/>
      <c r="E95" s="271"/>
      <c r="F95" s="271"/>
      <c r="G95" s="389"/>
      <c r="H95" s="273"/>
      <c r="I95" s="271"/>
      <c r="J95" s="271"/>
      <c r="K95" s="362"/>
      <c r="L95" s="360"/>
      <c r="M95" s="274"/>
      <c r="N95" s="275"/>
      <c r="O95" s="276"/>
    </row>
    <row r="96" spans="1:21" ht="15.6" x14ac:dyDescent="0.3">
      <c r="A96" s="191"/>
      <c r="B96" s="128"/>
      <c r="C96" s="269"/>
      <c r="D96" s="270"/>
      <c r="E96" s="271"/>
      <c r="F96" s="271"/>
      <c r="G96" s="389"/>
      <c r="H96" s="273"/>
      <c r="I96" s="271"/>
      <c r="J96" s="271"/>
      <c r="K96" s="362"/>
      <c r="L96" s="360"/>
      <c r="M96" s="274"/>
      <c r="N96" s="275"/>
      <c r="O96" s="276"/>
    </row>
    <row r="97" spans="1:15" ht="15.6" x14ac:dyDescent="0.3">
      <c r="A97" s="190"/>
      <c r="B97" s="128"/>
      <c r="C97" s="269"/>
      <c r="D97" s="270"/>
      <c r="E97" s="271"/>
      <c r="F97" s="271"/>
      <c r="G97" s="370"/>
      <c r="H97" s="273"/>
      <c r="I97" s="271"/>
      <c r="J97" s="271"/>
      <c r="K97" s="362"/>
      <c r="L97" s="360"/>
      <c r="M97" s="274"/>
      <c r="N97" s="275"/>
      <c r="O97" s="276"/>
    </row>
    <row r="98" spans="1:15" ht="15.6" x14ac:dyDescent="0.3">
      <c r="A98" s="190"/>
      <c r="B98" s="128"/>
      <c r="C98" s="269"/>
      <c r="D98" s="270"/>
      <c r="E98" s="271"/>
      <c r="F98" s="271"/>
      <c r="G98" s="370"/>
      <c r="H98" s="273"/>
      <c r="I98" s="271"/>
      <c r="J98" s="271"/>
      <c r="K98" s="362"/>
      <c r="L98" s="360"/>
      <c r="M98" s="274"/>
      <c r="N98" s="275"/>
      <c r="O98" s="276"/>
    </row>
    <row r="99" spans="1:15" ht="15.6" x14ac:dyDescent="0.3">
      <c r="A99" s="190"/>
      <c r="B99" s="128"/>
      <c r="C99" s="269"/>
      <c r="D99" s="270"/>
      <c r="E99" s="271"/>
      <c r="F99" s="271"/>
      <c r="G99" s="370"/>
      <c r="H99" s="273"/>
      <c r="I99" s="271"/>
      <c r="J99" s="271"/>
      <c r="K99" s="362"/>
      <c r="L99" s="360"/>
      <c r="M99" s="274"/>
      <c r="N99" s="275"/>
      <c r="O99" s="276"/>
    </row>
    <row r="100" spans="1:15" ht="15.6" x14ac:dyDescent="0.3">
      <c r="A100" s="190"/>
      <c r="B100" s="128"/>
      <c r="C100" s="269"/>
      <c r="D100" s="270"/>
      <c r="E100" s="271"/>
      <c r="F100" s="271"/>
      <c r="G100" s="370"/>
      <c r="H100" s="273"/>
      <c r="I100" s="271"/>
      <c r="J100" s="271"/>
      <c r="K100" s="362"/>
      <c r="L100" s="360"/>
      <c r="M100" s="274"/>
      <c r="N100" s="275"/>
      <c r="O100" s="276"/>
    </row>
    <row r="101" spans="1:15" ht="15.6" x14ac:dyDescent="0.3">
      <c r="A101" s="190"/>
      <c r="B101" s="128"/>
      <c r="C101" s="269"/>
      <c r="D101" s="270"/>
      <c r="E101" s="271"/>
      <c r="F101" s="271"/>
      <c r="G101" s="370"/>
      <c r="H101" s="273"/>
      <c r="I101" s="271"/>
      <c r="J101" s="271"/>
      <c r="K101" s="362"/>
      <c r="L101" s="360"/>
      <c r="M101" s="274"/>
      <c r="N101" s="275"/>
      <c r="O101" s="276"/>
    </row>
    <row r="102" spans="1:15" ht="15.6" x14ac:dyDescent="0.3">
      <c r="A102" s="190"/>
      <c r="B102" s="128"/>
      <c r="C102" s="269"/>
      <c r="D102" s="270"/>
      <c r="E102" s="271"/>
      <c r="F102" s="271"/>
      <c r="G102" s="370"/>
      <c r="H102" s="273"/>
      <c r="I102" s="271"/>
      <c r="J102" s="271"/>
      <c r="K102" s="362"/>
      <c r="L102" s="360"/>
      <c r="M102" s="274"/>
      <c r="N102" s="275"/>
      <c r="O102" s="276"/>
    </row>
    <row r="103" spans="1:15" ht="15.6" x14ac:dyDescent="0.3">
      <c r="A103" s="190"/>
      <c r="B103" s="128"/>
      <c r="C103" s="269"/>
      <c r="D103" s="270"/>
      <c r="E103" s="271"/>
      <c r="F103" s="271"/>
      <c r="G103" s="370"/>
      <c r="H103" s="273"/>
      <c r="I103" s="271"/>
      <c r="J103" s="271"/>
      <c r="K103" s="362"/>
      <c r="L103" s="360"/>
      <c r="M103" s="274"/>
      <c r="N103" s="275"/>
      <c r="O103" s="276"/>
    </row>
    <row r="104" spans="1:15" ht="15.6" x14ac:dyDescent="0.3">
      <c r="A104" s="190"/>
      <c r="B104" s="128"/>
      <c r="C104" s="269"/>
      <c r="D104" s="270"/>
      <c r="E104" s="271"/>
      <c r="F104" s="271"/>
      <c r="G104" s="370"/>
      <c r="H104" s="273"/>
      <c r="I104" s="271"/>
      <c r="J104" s="271"/>
      <c r="K104" s="362"/>
      <c r="L104" s="360"/>
      <c r="M104" s="274"/>
      <c r="N104" s="275"/>
      <c r="O104" s="276"/>
    </row>
    <row r="105" spans="1:15" ht="15.6" x14ac:dyDescent="0.3">
      <c r="A105" s="190"/>
      <c r="B105" s="128"/>
      <c r="C105" s="269"/>
      <c r="D105" s="270"/>
      <c r="E105" s="271"/>
      <c r="F105" s="271"/>
      <c r="G105" s="370"/>
      <c r="H105" s="273"/>
      <c r="I105" s="271"/>
      <c r="J105" s="271"/>
      <c r="K105" s="362"/>
      <c r="L105" s="360"/>
      <c r="M105" s="274"/>
      <c r="N105" s="275"/>
      <c r="O105" s="276"/>
    </row>
    <row r="106" spans="1:15" ht="15.6" x14ac:dyDescent="0.3">
      <c r="A106" s="190"/>
      <c r="B106" s="128"/>
      <c r="C106" s="269"/>
      <c r="D106" s="270"/>
      <c r="E106" s="271"/>
      <c r="F106" s="271"/>
      <c r="G106" s="370"/>
      <c r="H106" s="273"/>
      <c r="I106" s="271"/>
      <c r="J106" s="271"/>
      <c r="K106" s="362"/>
      <c r="L106" s="360"/>
      <c r="M106" s="274"/>
      <c r="N106" s="275"/>
      <c r="O106" s="276"/>
    </row>
    <row r="107" spans="1:15" ht="15.6" x14ac:dyDescent="0.3">
      <c r="A107" s="190"/>
      <c r="B107" s="128"/>
      <c r="C107" s="269"/>
      <c r="D107" s="270"/>
      <c r="E107" s="271"/>
      <c r="F107" s="271"/>
      <c r="G107" s="370"/>
      <c r="H107" s="273"/>
      <c r="I107" s="271"/>
      <c r="J107" s="271"/>
      <c r="K107" s="362"/>
      <c r="L107" s="360"/>
      <c r="M107" s="274"/>
      <c r="N107" s="275"/>
      <c r="O107" s="276"/>
    </row>
    <row r="108" spans="1:15" ht="31.5" customHeight="1" x14ac:dyDescent="0.3">
      <c r="A108" s="376"/>
      <c r="B108" s="128"/>
      <c r="C108" s="269"/>
      <c r="D108" s="270"/>
      <c r="E108" s="271"/>
      <c r="F108" s="271"/>
      <c r="G108" s="370"/>
      <c r="H108" s="273"/>
      <c r="I108" s="271"/>
      <c r="J108" s="271"/>
      <c r="K108" s="362"/>
      <c r="L108" s="377"/>
      <c r="M108" s="274"/>
      <c r="N108" s="275"/>
      <c r="O108" s="276"/>
    </row>
    <row r="109" spans="1:15" ht="6.45" customHeight="1" thickBot="1" x14ac:dyDescent="0.35">
      <c r="B109" s="128"/>
      <c r="C109" s="354"/>
      <c r="D109" s="355"/>
      <c r="E109" s="356"/>
      <c r="F109" s="356"/>
      <c r="G109" s="356"/>
      <c r="H109" s="357"/>
      <c r="I109" s="356"/>
      <c r="J109" s="356"/>
      <c r="K109" s="358"/>
      <c r="L109" s="278"/>
      <c r="M109" s="277"/>
      <c r="N109" s="279"/>
      <c r="O109" s="280"/>
    </row>
    <row r="110" spans="1:15" ht="15.6" x14ac:dyDescent="0.3">
      <c r="B110" s="128"/>
      <c r="C110" s="129"/>
      <c r="D110" s="166"/>
      <c r="E110" s="166"/>
      <c r="F110" s="166"/>
      <c r="G110" s="174"/>
      <c r="H110" s="166"/>
      <c r="I110" s="166"/>
      <c r="J110" s="185" t="str">
        <f>IFERROR(VLOOKUP(C110,'RESUMO DE PONTOS'!$C$9:$J$38,8,),"")</f>
        <v/>
      </c>
      <c r="K110" s="173"/>
    </row>
    <row r="111" spans="1:15" ht="15.75" customHeight="1" x14ac:dyDescent="0.3">
      <c r="B111" s="128"/>
      <c r="C111" s="129"/>
      <c r="K111" s="51"/>
    </row>
    <row r="112" spans="1:15" ht="15.75" customHeight="1" x14ac:dyDescent="0.3">
      <c r="B112" s="128"/>
      <c r="C112" s="129"/>
      <c r="K112" s="51"/>
    </row>
    <row r="113" spans="2:11" ht="15.75" customHeight="1" x14ac:dyDescent="0.3">
      <c r="B113" s="128"/>
      <c r="C113" s="129"/>
      <c r="K113" s="51"/>
    </row>
    <row r="114" spans="2:11" ht="15.75" customHeight="1" x14ac:dyDescent="0.3">
      <c r="B114" s="128"/>
      <c r="C114" s="129"/>
      <c r="K114" s="51"/>
    </row>
    <row r="115" spans="2:11" ht="15.75" customHeight="1" x14ac:dyDescent="0.3">
      <c r="B115" s="128"/>
      <c r="C115" s="129"/>
      <c r="K115" s="51"/>
    </row>
    <row r="116" spans="2:11" ht="15.75" customHeight="1" x14ac:dyDescent="0.3">
      <c r="B116" s="128"/>
      <c r="C116" s="129"/>
      <c r="K116" s="51"/>
    </row>
    <row r="117" spans="2:11" ht="15.75" customHeight="1" x14ac:dyDescent="0.3">
      <c r="B117" s="128"/>
      <c r="C117" s="129"/>
      <c r="K117" s="51"/>
    </row>
    <row r="118" spans="2:11" ht="15.75" customHeight="1" x14ac:dyDescent="0.3">
      <c r="B118" s="50"/>
      <c r="K118" s="51"/>
    </row>
    <row r="119" spans="2:11" ht="15.75" customHeight="1" x14ac:dyDescent="0.3">
      <c r="B119" s="50"/>
      <c r="K119" s="51"/>
    </row>
    <row r="120" spans="2:11" ht="15.75" customHeight="1" x14ac:dyDescent="0.3">
      <c r="B120" s="50"/>
      <c r="K120" s="51"/>
    </row>
    <row r="121" spans="2:11" ht="15.75" customHeight="1" x14ac:dyDescent="0.3">
      <c r="B121" s="50"/>
      <c r="K121" s="51"/>
    </row>
    <row r="122" spans="2:11" ht="15.75" customHeight="1" x14ac:dyDescent="0.3">
      <c r="B122" s="50"/>
      <c r="K122" s="51"/>
    </row>
    <row r="123" spans="2:11" ht="15.75" customHeight="1" x14ac:dyDescent="0.3">
      <c r="B123" s="50"/>
      <c r="K123" s="51"/>
    </row>
    <row r="124" spans="2:11" ht="15.75" customHeight="1" x14ac:dyDescent="0.3">
      <c r="B124" s="50"/>
      <c r="K124" s="51"/>
    </row>
    <row r="125" spans="2:11" ht="15.75" customHeight="1" x14ac:dyDescent="0.3">
      <c r="B125" s="50"/>
      <c r="K125" s="51"/>
    </row>
    <row r="126" spans="2:11" ht="15.75" customHeight="1" x14ac:dyDescent="0.3">
      <c r="B126" s="50"/>
      <c r="K126" s="51"/>
    </row>
    <row r="127" spans="2:11" ht="15.75" customHeight="1" x14ac:dyDescent="0.3">
      <c r="B127" s="50"/>
      <c r="K127" s="51"/>
    </row>
    <row r="128" spans="2:11" ht="15.75" customHeight="1" x14ac:dyDescent="0.3">
      <c r="B128" s="50"/>
      <c r="K128" s="51"/>
    </row>
    <row r="129" spans="2:11" ht="15.75" customHeight="1" x14ac:dyDescent="0.3">
      <c r="B129" s="50"/>
      <c r="K129" s="51"/>
    </row>
    <row r="130" spans="2:11" ht="15.75" customHeight="1" x14ac:dyDescent="0.3">
      <c r="B130" s="50"/>
      <c r="K130" s="51"/>
    </row>
    <row r="131" spans="2:11" ht="15.75" customHeight="1" x14ac:dyDescent="0.3">
      <c r="B131" s="50"/>
      <c r="K131" s="51"/>
    </row>
    <row r="132" spans="2:11" ht="15.75" customHeight="1" x14ac:dyDescent="0.3">
      <c r="B132" s="50"/>
      <c r="K132" s="51"/>
    </row>
    <row r="133" spans="2:11" ht="15.75" customHeight="1" x14ac:dyDescent="0.3">
      <c r="B133" s="50"/>
      <c r="K133" s="51"/>
    </row>
    <row r="134" spans="2:11" ht="15.75" customHeight="1" x14ac:dyDescent="0.3">
      <c r="B134" s="50"/>
      <c r="K134" s="51"/>
    </row>
    <row r="135" spans="2:11" ht="15.75" customHeight="1" x14ac:dyDescent="0.3">
      <c r="B135" s="50"/>
      <c r="K135" s="51"/>
    </row>
    <row r="136" spans="2:11" ht="15.75" customHeight="1" x14ac:dyDescent="0.3">
      <c r="B136" s="50"/>
      <c r="K136" s="51"/>
    </row>
    <row r="137" spans="2:11" ht="15.75" customHeight="1" x14ac:dyDescent="0.3">
      <c r="B137" s="50"/>
      <c r="K137" s="51"/>
    </row>
    <row r="138" spans="2:11" ht="15.75" customHeight="1" x14ac:dyDescent="0.3">
      <c r="B138" s="50"/>
      <c r="K138" s="51"/>
    </row>
    <row r="139" spans="2:11" ht="15.75" customHeight="1" x14ac:dyDescent="0.3">
      <c r="B139" s="50"/>
      <c r="K139" s="51"/>
    </row>
    <row r="140" spans="2:11" ht="48.75" customHeight="1" x14ac:dyDescent="0.3">
      <c r="B140" s="50"/>
      <c r="K140" s="51"/>
    </row>
    <row r="141" spans="2:11" ht="28.5" customHeight="1" x14ac:dyDescent="0.3">
      <c r="B141" s="50"/>
      <c r="K141" s="51"/>
    </row>
    <row r="142" spans="2:11" ht="15.75" customHeight="1" x14ac:dyDescent="0.3">
      <c r="B142" s="50"/>
      <c r="K142" s="51"/>
    </row>
    <row r="143" spans="2:11" ht="15.75" customHeight="1" x14ac:dyDescent="0.3">
      <c r="B143" s="50"/>
      <c r="K143" s="51"/>
    </row>
    <row r="144" spans="2:11" ht="15.75" customHeight="1" x14ac:dyDescent="0.3">
      <c r="B144" s="50"/>
      <c r="K144" s="51"/>
    </row>
    <row r="145" spans="2:11" ht="15.75" customHeight="1" x14ac:dyDescent="0.3">
      <c r="B145" s="50"/>
      <c r="K145" s="51"/>
    </row>
    <row r="146" spans="2:11" ht="15.75" customHeight="1" x14ac:dyDescent="0.3">
      <c r="B146" s="50"/>
      <c r="K146" s="51"/>
    </row>
    <row r="147" spans="2:11" ht="15.75" customHeight="1" x14ac:dyDescent="0.3">
      <c r="B147" s="50"/>
      <c r="K147" s="51"/>
    </row>
    <row r="148" spans="2:11" ht="15.75" customHeight="1" x14ac:dyDescent="0.3">
      <c r="B148" s="50"/>
      <c r="K148" s="51"/>
    </row>
    <row r="149" spans="2:11" ht="15.75" customHeight="1" x14ac:dyDescent="0.3">
      <c r="B149" s="50"/>
      <c r="K149" s="51"/>
    </row>
    <row r="150" spans="2:11" ht="15.75" customHeight="1" x14ac:dyDescent="0.3">
      <c r="B150" s="50"/>
      <c r="K150" s="51"/>
    </row>
    <row r="151" spans="2:11" ht="15.75" customHeight="1" x14ac:dyDescent="0.3">
      <c r="B151" s="50"/>
      <c r="K151" s="51"/>
    </row>
    <row r="152" spans="2:11" ht="15.75" customHeight="1" x14ac:dyDescent="0.3">
      <c r="B152" s="50"/>
      <c r="K152" s="51"/>
    </row>
    <row r="153" spans="2:11" ht="15.75" customHeight="1" x14ac:dyDescent="0.3">
      <c r="B153" s="50"/>
      <c r="K153" s="51"/>
    </row>
    <row r="154" spans="2:11" ht="15.75" customHeight="1" x14ac:dyDescent="0.3">
      <c r="B154" s="50"/>
      <c r="K154" s="51"/>
    </row>
    <row r="155" spans="2:11" ht="15.75" customHeight="1" x14ac:dyDescent="0.3">
      <c r="B155" s="50"/>
      <c r="K155" s="51"/>
    </row>
    <row r="156" spans="2:11" ht="15.75" customHeight="1" x14ac:dyDescent="0.3">
      <c r="B156" s="50"/>
      <c r="K156" s="51"/>
    </row>
    <row r="157" spans="2:11" ht="15.75" customHeight="1" x14ac:dyDescent="0.3">
      <c r="B157" s="50"/>
      <c r="K157" s="51"/>
    </row>
    <row r="158" spans="2:11" ht="15.75" customHeight="1" x14ac:dyDescent="0.3">
      <c r="B158" s="50"/>
      <c r="K158" s="51"/>
    </row>
    <row r="159" spans="2:11" ht="15.75" customHeight="1" x14ac:dyDescent="0.3">
      <c r="B159" s="50"/>
      <c r="K159" s="51"/>
    </row>
    <row r="160" spans="2:11" ht="15.75" customHeight="1" x14ac:dyDescent="0.3">
      <c r="B160" s="50"/>
      <c r="K160" s="51"/>
    </row>
    <row r="161" spans="2:11" ht="15.75" customHeight="1" x14ac:dyDescent="0.3">
      <c r="B161" s="50"/>
      <c r="K161" s="51"/>
    </row>
    <row r="162" spans="2:11" ht="15.75" customHeight="1" x14ac:dyDescent="0.3">
      <c r="B162" s="50"/>
      <c r="K162" s="51"/>
    </row>
    <row r="163" spans="2:11" ht="15.75" customHeight="1" x14ac:dyDescent="0.3">
      <c r="B163" s="50"/>
      <c r="K163" s="51"/>
    </row>
    <row r="164" spans="2:11" ht="15.75" customHeight="1" x14ac:dyDescent="0.3">
      <c r="B164" s="50"/>
      <c r="K164" s="51"/>
    </row>
    <row r="165" spans="2:11" ht="15.75" customHeight="1" x14ac:dyDescent="0.3">
      <c r="B165" s="50"/>
      <c r="K165" s="51"/>
    </row>
    <row r="166" spans="2:11" ht="15.75" customHeight="1" x14ac:dyDescent="0.3">
      <c r="B166" s="50"/>
      <c r="K166" s="51"/>
    </row>
    <row r="167" spans="2:11" ht="15.75" customHeight="1" x14ac:dyDescent="0.3">
      <c r="B167" s="50"/>
      <c r="K167" s="51"/>
    </row>
    <row r="168" spans="2:11" ht="15.75" customHeight="1" x14ac:dyDescent="0.3">
      <c r="B168" s="50"/>
      <c r="K168" s="51"/>
    </row>
    <row r="169" spans="2:11" ht="15.75" customHeight="1" x14ac:dyDescent="0.3">
      <c r="B169" s="50"/>
      <c r="K169" s="51"/>
    </row>
    <row r="170" spans="2:11" ht="15.75" customHeight="1" x14ac:dyDescent="0.3">
      <c r="B170" s="50"/>
      <c r="K170" s="51"/>
    </row>
    <row r="171" spans="2:11" ht="15.75" customHeight="1" x14ac:dyDescent="0.3">
      <c r="B171" s="50"/>
      <c r="K171" s="51"/>
    </row>
    <row r="172" spans="2:11" ht="15.75" customHeight="1" x14ac:dyDescent="0.3">
      <c r="B172" s="50"/>
      <c r="K172" s="51"/>
    </row>
    <row r="173" spans="2:11" ht="15.75" customHeight="1" x14ac:dyDescent="0.3">
      <c r="B173" s="50"/>
      <c r="K173" s="51"/>
    </row>
    <row r="174" spans="2:11" ht="15.75" customHeight="1" x14ac:dyDescent="0.3">
      <c r="B174" s="50"/>
      <c r="K174" s="51"/>
    </row>
    <row r="175" spans="2:11" ht="15.75" customHeight="1" x14ac:dyDescent="0.3">
      <c r="B175" s="50"/>
      <c r="K175" s="51"/>
    </row>
    <row r="176" spans="2:11" ht="15.75" customHeight="1" x14ac:dyDescent="0.3">
      <c r="B176" s="50"/>
      <c r="K176" s="51"/>
    </row>
    <row r="177" spans="2:11" ht="15.75" customHeight="1" x14ac:dyDescent="0.3">
      <c r="B177" s="50"/>
      <c r="K177" s="51"/>
    </row>
    <row r="178" spans="2:11" ht="15.75" customHeight="1" x14ac:dyDescent="0.3">
      <c r="B178" s="50"/>
      <c r="K178" s="51"/>
    </row>
    <row r="179" spans="2:11" ht="15.75" customHeight="1" x14ac:dyDescent="0.3">
      <c r="B179" s="50"/>
      <c r="K179" s="51"/>
    </row>
    <row r="180" spans="2:11" ht="15.75" customHeight="1" x14ac:dyDescent="0.3">
      <c r="B180" s="50"/>
      <c r="K180" s="51"/>
    </row>
    <row r="181" spans="2:11" ht="15.75" customHeight="1" x14ac:dyDescent="0.3">
      <c r="B181" s="50"/>
      <c r="K181" s="51"/>
    </row>
    <row r="182" spans="2:11" ht="15.75" customHeight="1" x14ac:dyDescent="0.3">
      <c r="B182" s="50"/>
      <c r="K182" s="51"/>
    </row>
    <row r="183" spans="2:11" ht="15.75" customHeight="1" x14ac:dyDescent="0.3">
      <c r="B183" s="50"/>
      <c r="K183" s="51"/>
    </row>
    <row r="184" spans="2:11" ht="15.75" customHeight="1" x14ac:dyDescent="0.3">
      <c r="B184" s="50"/>
      <c r="K184" s="51"/>
    </row>
    <row r="185" spans="2:11" ht="15.75" customHeight="1" x14ac:dyDescent="0.3">
      <c r="B185" s="50"/>
      <c r="K185" s="51"/>
    </row>
    <row r="186" spans="2:11" ht="15.75" customHeight="1" x14ac:dyDescent="0.3">
      <c r="B186" s="50"/>
      <c r="K186" s="51"/>
    </row>
    <row r="187" spans="2:11" ht="15.75" customHeight="1" x14ac:dyDescent="0.3">
      <c r="B187" s="50"/>
      <c r="K187" s="51"/>
    </row>
    <row r="188" spans="2:11" ht="15.75" customHeight="1" x14ac:dyDescent="0.3">
      <c r="B188" s="50"/>
      <c r="K188" s="51"/>
    </row>
    <row r="189" spans="2:11" ht="15.75" customHeight="1" x14ac:dyDescent="0.3">
      <c r="B189" s="50"/>
      <c r="K189" s="51"/>
    </row>
    <row r="190" spans="2:11" ht="15.75" customHeight="1" x14ac:dyDescent="0.3">
      <c r="B190" s="50"/>
      <c r="K190" s="51"/>
    </row>
    <row r="191" spans="2:11" ht="15.75" customHeight="1" x14ac:dyDescent="0.3">
      <c r="B191" s="50"/>
      <c r="K191" s="51"/>
    </row>
    <row r="192" spans="2:11" ht="15.75" customHeight="1" x14ac:dyDescent="0.3">
      <c r="B192" s="50"/>
      <c r="K192" s="51"/>
    </row>
    <row r="193" spans="2:11" ht="15.75" customHeight="1" x14ac:dyDescent="0.3">
      <c r="B193" s="50"/>
      <c r="K193" s="51"/>
    </row>
    <row r="194" spans="2:11" ht="15.75" customHeight="1" x14ac:dyDescent="0.3">
      <c r="B194" s="50"/>
      <c r="K194" s="51"/>
    </row>
    <row r="195" spans="2:11" ht="15.75" customHeight="1" x14ac:dyDescent="0.3">
      <c r="B195" s="50"/>
      <c r="K195" s="51"/>
    </row>
    <row r="196" spans="2:11" ht="15.75" customHeight="1" x14ac:dyDescent="0.3">
      <c r="B196" s="50"/>
      <c r="K196" s="51"/>
    </row>
    <row r="197" spans="2:11" ht="15.75" customHeight="1" x14ac:dyDescent="0.3">
      <c r="B197" s="50"/>
      <c r="K197" s="51"/>
    </row>
    <row r="198" spans="2:11" ht="15.75" customHeight="1" x14ac:dyDescent="0.3">
      <c r="B198" s="50"/>
      <c r="K198" s="51"/>
    </row>
    <row r="199" spans="2:11" ht="15.75" customHeight="1" x14ac:dyDescent="0.3">
      <c r="B199" s="50"/>
      <c r="K199" s="51"/>
    </row>
    <row r="200" spans="2:11" ht="15.75" customHeight="1" x14ac:dyDescent="0.3">
      <c r="B200" s="50"/>
      <c r="K200" s="51"/>
    </row>
    <row r="201" spans="2:11" ht="15.75" customHeight="1" x14ac:dyDescent="0.3">
      <c r="B201" s="50"/>
      <c r="K201" s="51"/>
    </row>
    <row r="202" spans="2:11" ht="15.75" customHeight="1" x14ac:dyDescent="0.3">
      <c r="B202" s="50"/>
      <c r="K202" s="51"/>
    </row>
    <row r="203" spans="2:11" ht="15.75" customHeight="1" x14ac:dyDescent="0.3">
      <c r="B203" s="50"/>
      <c r="K203" s="51"/>
    </row>
    <row r="204" spans="2:11" ht="15.75" customHeight="1" x14ac:dyDescent="0.3">
      <c r="B204" s="50"/>
      <c r="K204" s="51"/>
    </row>
    <row r="205" spans="2:11" ht="15.75" customHeight="1" x14ac:dyDescent="0.3">
      <c r="B205" s="50"/>
      <c r="K205" s="51"/>
    </row>
    <row r="206" spans="2:11" ht="15.75" customHeight="1" x14ac:dyDescent="0.3">
      <c r="B206" s="50"/>
      <c r="K206" s="51"/>
    </row>
    <row r="207" spans="2:11" ht="15.75" customHeight="1" x14ac:dyDescent="0.3">
      <c r="B207" s="50"/>
      <c r="K207" s="51"/>
    </row>
    <row r="208" spans="2:11" ht="15.75" customHeight="1" x14ac:dyDescent="0.3">
      <c r="B208" s="50"/>
      <c r="K208" s="51"/>
    </row>
    <row r="209" spans="2:11" ht="15.75" customHeight="1" x14ac:dyDescent="0.3">
      <c r="B209" s="50"/>
      <c r="K209" s="51"/>
    </row>
    <row r="210" spans="2:11" ht="15.75" customHeight="1" x14ac:dyDescent="0.3">
      <c r="B210" s="50"/>
      <c r="K210" s="51"/>
    </row>
    <row r="211" spans="2:11" ht="15.75" customHeight="1" x14ac:dyDescent="0.3">
      <c r="B211" s="50"/>
      <c r="K211" s="51"/>
    </row>
    <row r="212" spans="2:11" ht="15.75" customHeight="1" x14ac:dyDescent="0.3">
      <c r="B212" s="50"/>
      <c r="K212" s="51"/>
    </row>
    <row r="213" spans="2:11" ht="15.75" customHeight="1" x14ac:dyDescent="0.3">
      <c r="B213" s="50"/>
      <c r="K213" s="51"/>
    </row>
    <row r="214" spans="2:11" ht="15.75" customHeight="1" x14ac:dyDescent="0.3">
      <c r="B214" s="50"/>
      <c r="K214" s="51"/>
    </row>
    <row r="215" spans="2:11" ht="15.75" customHeight="1" x14ac:dyDescent="0.3">
      <c r="B215" s="50"/>
      <c r="K215" s="51"/>
    </row>
    <row r="216" spans="2:11" ht="15.75" customHeight="1" x14ac:dyDescent="0.3">
      <c r="B216" s="50"/>
      <c r="K216" s="51"/>
    </row>
    <row r="217" spans="2:11" ht="15.75" customHeight="1" x14ac:dyDescent="0.3">
      <c r="B217" s="50"/>
      <c r="K217" s="51"/>
    </row>
    <row r="218" spans="2:11" ht="15.75" customHeight="1" x14ac:dyDescent="0.3">
      <c r="B218" s="50"/>
      <c r="K218" s="51"/>
    </row>
    <row r="219" spans="2:11" ht="15.75" customHeight="1" x14ac:dyDescent="0.3">
      <c r="B219" s="50"/>
      <c r="K219" s="51"/>
    </row>
    <row r="220" spans="2:11" ht="15.75" customHeight="1" x14ac:dyDescent="0.3">
      <c r="B220" s="50"/>
      <c r="K220" s="51"/>
    </row>
    <row r="221" spans="2:11" ht="15.75" customHeight="1" x14ac:dyDescent="0.3">
      <c r="B221" s="50"/>
      <c r="K221" s="51"/>
    </row>
    <row r="222" spans="2:11" ht="15.75" customHeight="1" x14ac:dyDescent="0.3">
      <c r="B222" s="50"/>
      <c r="K222" s="51"/>
    </row>
    <row r="223" spans="2:11" ht="15.75" customHeight="1" x14ac:dyDescent="0.3">
      <c r="B223" s="50"/>
      <c r="K223" s="51"/>
    </row>
    <row r="224" spans="2:11" ht="15.75" customHeight="1" x14ac:dyDescent="0.3">
      <c r="B224" s="50"/>
      <c r="K224" s="51"/>
    </row>
    <row r="225" spans="2:11" ht="15.75" customHeight="1" x14ac:dyDescent="0.3">
      <c r="B225" s="50"/>
      <c r="K225" s="51"/>
    </row>
    <row r="226" spans="2:11" ht="15.75" customHeight="1" x14ac:dyDescent="0.3">
      <c r="B226" s="50"/>
      <c r="K226" s="51"/>
    </row>
    <row r="227" spans="2:11" ht="15.75" customHeight="1" x14ac:dyDescent="0.3">
      <c r="B227" s="50"/>
      <c r="K227" s="51"/>
    </row>
    <row r="228" spans="2:11" ht="15.75" customHeight="1" x14ac:dyDescent="0.3">
      <c r="B228" s="50"/>
      <c r="K228" s="51"/>
    </row>
    <row r="229" spans="2:11" ht="15.75" customHeight="1" x14ac:dyDescent="0.3">
      <c r="B229" s="50"/>
      <c r="K229" s="51"/>
    </row>
    <row r="230" spans="2:11" ht="15.75" customHeight="1" x14ac:dyDescent="0.3">
      <c r="B230" s="50"/>
      <c r="K230" s="51"/>
    </row>
    <row r="231" spans="2:11" ht="15.75" customHeight="1" x14ac:dyDescent="0.3">
      <c r="B231" s="50"/>
      <c r="K231" s="51"/>
    </row>
    <row r="232" spans="2:11" ht="15.75" customHeight="1" x14ac:dyDescent="0.3">
      <c r="B232" s="50"/>
      <c r="K232" s="51"/>
    </row>
    <row r="233" spans="2:11" ht="15.75" customHeight="1" x14ac:dyDescent="0.3">
      <c r="B233" s="50"/>
      <c r="K233" s="51"/>
    </row>
    <row r="234" spans="2:11" ht="15.75" customHeight="1" x14ac:dyDescent="0.3">
      <c r="B234" s="50"/>
      <c r="K234" s="51"/>
    </row>
    <row r="235" spans="2:11" ht="15.75" customHeight="1" x14ac:dyDescent="0.3">
      <c r="B235" s="50"/>
      <c r="K235" s="51"/>
    </row>
    <row r="236" spans="2:11" ht="15.75" customHeight="1" x14ac:dyDescent="0.3">
      <c r="B236" s="50"/>
      <c r="K236" s="51"/>
    </row>
    <row r="237" spans="2:11" ht="15.75" customHeight="1" x14ac:dyDescent="0.3">
      <c r="B237" s="50"/>
      <c r="K237" s="51"/>
    </row>
    <row r="238" spans="2:11" ht="15.75" customHeight="1" x14ac:dyDescent="0.3">
      <c r="B238" s="50"/>
      <c r="K238" s="51"/>
    </row>
    <row r="239" spans="2:11" ht="15.75" customHeight="1" x14ac:dyDescent="0.3">
      <c r="B239" s="50"/>
      <c r="K239" s="51"/>
    </row>
    <row r="240" spans="2:11" ht="15.75" customHeight="1" x14ac:dyDescent="0.3">
      <c r="B240" s="50"/>
      <c r="K240" s="51"/>
    </row>
    <row r="241" spans="2:11" ht="15.75" customHeight="1" x14ac:dyDescent="0.3">
      <c r="B241" s="50"/>
      <c r="K241" s="51"/>
    </row>
    <row r="242" spans="2:11" ht="15.75" customHeight="1" x14ac:dyDescent="0.3">
      <c r="B242" s="50"/>
      <c r="K242" s="51"/>
    </row>
    <row r="243" spans="2:11" ht="15.75" customHeight="1" x14ac:dyDescent="0.3">
      <c r="B243" s="50"/>
      <c r="K243" s="51"/>
    </row>
    <row r="244" spans="2:11" ht="15.75" customHeight="1" x14ac:dyDescent="0.3">
      <c r="B244" s="50"/>
      <c r="K244" s="51"/>
    </row>
    <row r="245" spans="2:11" ht="15.75" customHeight="1" x14ac:dyDescent="0.3">
      <c r="B245" s="50"/>
      <c r="K245" s="51"/>
    </row>
    <row r="246" spans="2:11" ht="15.75" customHeight="1" x14ac:dyDescent="0.3">
      <c r="B246" s="50"/>
      <c r="K246" s="51"/>
    </row>
    <row r="247" spans="2:11" ht="15.75" customHeight="1" x14ac:dyDescent="0.3">
      <c r="B247" s="50"/>
      <c r="K247" s="51"/>
    </row>
    <row r="248" spans="2:11" ht="15.75" customHeight="1" x14ac:dyDescent="0.3">
      <c r="B248" s="50"/>
      <c r="K248" s="51"/>
    </row>
    <row r="249" spans="2:11" ht="15.75" customHeight="1" x14ac:dyDescent="0.3">
      <c r="B249" s="50"/>
      <c r="K249" s="51"/>
    </row>
    <row r="250" spans="2:11" ht="15.75" customHeight="1" x14ac:dyDescent="0.3">
      <c r="B250" s="50"/>
      <c r="K250" s="51"/>
    </row>
    <row r="251" spans="2:11" ht="15.75" customHeight="1" x14ac:dyDescent="0.3">
      <c r="B251" s="50"/>
      <c r="K251" s="51"/>
    </row>
    <row r="252" spans="2:11" ht="15.75" customHeight="1" x14ac:dyDescent="0.3">
      <c r="B252" s="50"/>
      <c r="K252" s="51"/>
    </row>
    <row r="253" spans="2:11" ht="15.75" customHeight="1" x14ac:dyDescent="0.3">
      <c r="B253" s="50"/>
      <c r="K253" s="51"/>
    </row>
    <row r="254" spans="2:11" ht="15.75" customHeight="1" x14ac:dyDescent="0.3">
      <c r="B254" s="50"/>
      <c r="K254" s="51"/>
    </row>
    <row r="255" spans="2:11" ht="15.75" customHeight="1" x14ac:dyDescent="0.3">
      <c r="B255" s="50"/>
      <c r="K255" s="51"/>
    </row>
    <row r="256" spans="2:11" ht="15.75" customHeight="1" x14ac:dyDescent="0.3">
      <c r="B256" s="50"/>
      <c r="K256" s="51"/>
    </row>
    <row r="257" spans="2:11" ht="15.75" customHeight="1" x14ac:dyDescent="0.3">
      <c r="B257" s="50"/>
      <c r="K257" s="51"/>
    </row>
    <row r="258" spans="2:11" ht="15.75" customHeight="1" x14ac:dyDescent="0.3">
      <c r="B258" s="50"/>
      <c r="K258" s="51"/>
    </row>
    <row r="259" spans="2:11" ht="15.75" customHeight="1" x14ac:dyDescent="0.3">
      <c r="B259" s="50"/>
      <c r="K259" s="51"/>
    </row>
    <row r="260" spans="2:11" ht="15.75" customHeight="1" x14ac:dyDescent="0.3">
      <c r="B260" s="50"/>
      <c r="K260" s="51"/>
    </row>
    <row r="261" spans="2:11" ht="15.75" customHeight="1" x14ac:dyDescent="0.3">
      <c r="B261" s="50"/>
      <c r="K261" s="51"/>
    </row>
    <row r="262" spans="2:11" ht="15.75" customHeight="1" x14ac:dyDescent="0.3">
      <c r="B262" s="50"/>
      <c r="K262" s="51"/>
    </row>
    <row r="263" spans="2:11" ht="15.75" customHeight="1" x14ac:dyDescent="0.3">
      <c r="B263" s="50"/>
      <c r="K263" s="51"/>
    </row>
    <row r="264" spans="2:11" ht="15.75" customHeight="1" x14ac:dyDescent="0.3">
      <c r="B264" s="50"/>
      <c r="K264" s="51"/>
    </row>
    <row r="265" spans="2:11" ht="15.75" customHeight="1" x14ac:dyDescent="0.3">
      <c r="B265" s="50"/>
      <c r="K265" s="51"/>
    </row>
    <row r="266" spans="2:11" ht="15.75" customHeight="1" x14ac:dyDescent="0.3">
      <c r="B266" s="50"/>
      <c r="K266" s="51"/>
    </row>
    <row r="267" spans="2:11" ht="15.75" customHeight="1" x14ac:dyDescent="0.3">
      <c r="B267" s="50"/>
      <c r="K267" s="51"/>
    </row>
    <row r="268" spans="2:11" ht="15.75" customHeight="1" x14ac:dyDescent="0.3">
      <c r="B268" s="50"/>
      <c r="K268" s="51"/>
    </row>
    <row r="269" spans="2:11" ht="15.75" customHeight="1" x14ac:dyDescent="0.3">
      <c r="B269" s="50"/>
      <c r="K269" s="51"/>
    </row>
    <row r="270" spans="2:11" ht="15.75" customHeight="1" x14ac:dyDescent="0.3">
      <c r="B270" s="50"/>
      <c r="K270" s="51"/>
    </row>
    <row r="271" spans="2:11" ht="15.75" customHeight="1" x14ac:dyDescent="0.3">
      <c r="B271" s="50"/>
      <c r="K271" s="51"/>
    </row>
    <row r="272" spans="2:11" ht="15.75" customHeight="1" x14ac:dyDescent="0.3">
      <c r="B272" s="50"/>
      <c r="K272" s="51"/>
    </row>
    <row r="273" spans="2:11" ht="15.75" customHeight="1" x14ac:dyDescent="0.3">
      <c r="B273" s="50"/>
      <c r="K273" s="51"/>
    </row>
    <row r="274" spans="2:11" ht="15.75" customHeight="1" x14ac:dyDescent="0.3">
      <c r="B274" s="50"/>
      <c r="K274" s="51"/>
    </row>
    <row r="275" spans="2:11" ht="15.75" customHeight="1" x14ac:dyDescent="0.3">
      <c r="B275" s="50"/>
      <c r="K275" s="51"/>
    </row>
    <row r="276" spans="2:11" ht="15.75" customHeight="1" x14ac:dyDescent="0.3">
      <c r="B276" s="50"/>
      <c r="K276" s="51"/>
    </row>
    <row r="277" spans="2:11" ht="15.75" customHeight="1" x14ac:dyDescent="0.3">
      <c r="B277" s="50"/>
      <c r="K277" s="51"/>
    </row>
    <row r="278" spans="2:11" ht="15.75" customHeight="1" x14ac:dyDescent="0.3">
      <c r="B278" s="50"/>
      <c r="K278" s="51"/>
    </row>
    <row r="279" spans="2:11" ht="15.75" customHeight="1" x14ac:dyDescent="0.3">
      <c r="B279" s="50"/>
      <c r="K279" s="51"/>
    </row>
    <row r="280" spans="2:11" ht="15.75" customHeight="1" x14ac:dyDescent="0.3">
      <c r="B280" s="50"/>
      <c r="K280" s="51"/>
    </row>
    <row r="281" spans="2:11" ht="15.75" customHeight="1" x14ac:dyDescent="0.3">
      <c r="B281" s="50"/>
      <c r="K281" s="51"/>
    </row>
    <row r="282" spans="2:11" ht="15.75" customHeight="1" x14ac:dyDescent="0.3">
      <c r="B282" s="50"/>
      <c r="K282" s="51"/>
    </row>
    <row r="283" spans="2:11" ht="15.75" customHeight="1" x14ac:dyDescent="0.3">
      <c r="B283" s="50"/>
      <c r="K283" s="51"/>
    </row>
    <row r="284" spans="2:11" ht="15.75" customHeight="1" x14ac:dyDescent="0.3">
      <c r="B284" s="50"/>
      <c r="K284" s="51"/>
    </row>
    <row r="285" spans="2:11" ht="15.75" customHeight="1" x14ac:dyDescent="0.3">
      <c r="B285" s="50"/>
      <c r="K285" s="51"/>
    </row>
    <row r="286" spans="2:11" ht="15.75" customHeight="1" x14ac:dyDescent="0.3">
      <c r="B286" s="50"/>
      <c r="K286" s="51"/>
    </row>
    <row r="287" spans="2:11" ht="15.75" customHeight="1" x14ac:dyDescent="0.3">
      <c r="B287" s="50"/>
      <c r="K287" s="51"/>
    </row>
    <row r="288" spans="2:11" ht="15.75" customHeight="1" x14ac:dyDescent="0.3">
      <c r="B288" s="50"/>
      <c r="K288" s="51"/>
    </row>
    <row r="289" spans="2:11" ht="15.75" customHeight="1" x14ac:dyDescent="0.3">
      <c r="B289" s="50"/>
      <c r="K289" s="51"/>
    </row>
    <row r="290" spans="2:11" ht="15.75" customHeight="1" x14ac:dyDescent="0.3">
      <c r="B290" s="50"/>
      <c r="K290" s="51"/>
    </row>
    <row r="291" spans="2:11" ht="15.75" customHeight="1" x14ac:dyDescent="0.3">
      <c r="B291" s="50"/>
      <c r="K291" s="51"/>
    </row>
    <row r="292" spans="2:11" ht="15.75" customHeight="1" x14ac:dyDescent="0.3">
      <c r="B292" s="50"/>
      <c r="K292" s="51"/>
    </row>
    <row r="293" spans="2:11" ht="15.75" customHeight="1" x14ac:dyDescent="0.3">
      <c r="B293" s="50"/>
      <c r="K293" s="51"/>
    </row>
    <row r="294" spans="2:11" ht="15.75" customHeight="1" x14ac:dyDescent="0.3">
      <c r="B294" s="50"/>
      <c r="K294" s="51"/>
    </row>
    <row r="295" spans="2:11" ht="15.75" customHeight="1" x14ac:dyDescent="0.3">
      <c r="B295" s="50"/>
      <c r="K295" s="51"/>
    </row>
    <row r="296" spans="2:11" ht="15.75" customHeight="1" x14ac:dyDescent="0.3">
      <c r="B296" s="50"/>
      <c r="K296" s="51"/>
    </row>
    <row r="297" spans="2:11" ht="15.75" customHeight="1" x14ac:dyDescent="0.3">
      <c r="B297" s="50"/>
      <c r="K297" s="51"/>
    </row>
    <row r="298" spans="2:11" ht="15.75" customHeight="1" x14ac:dyDescent="0.3">
      <c r="B298" s="50"/>
      <c r="K298" s="51"/>
    </row>
    <row r="299" spans="2:11" ht="15.75" customHeight="1" x14ac:dyDescent="0.3">
      <c r="B299" s="50"/>
      <c r="K299" s="51"/>
    </row>
    <row r="300" spans="2:11" ht="15.75" customHeight="1" x14ac:dyDescent="0.3">
      <c r="B300" s="50"/>
      <c r="K300" s="51"/>
    </row>
    <row r="301" spans="2:11" ht="15.75" customHeight="1" x14ac:dyDescent="0.3">
      <c r="B301" s="50"/>
      <c r="K301" s="51"/>
    </row>
    <row r="302" spans="2:11" ht="15.75" customHeight="1" x14ac:dyDescent="0.3">
      <c r="B302" s="50"/>
      <c r="K302" s="51"/>
    </row>
    <row r="303" spans="2:11" ht="15.75" customHeight="1" x14ac:dyDescent="0.3">
      <c r="B303" s="50"/>
      <c r="K303" s="51"/>
    </row>
    <row r="304" spans="2:11" ht="15.75" customHeight="1" x14ac:dyDescent="0.3">
      <c r="B304" s="50"/>
      <c r="K304" s="51"/>
    </row>
    <row r="305" spans="2:11" ht="15.75" customHeight="1" x14ac:dyDescent="0.3">
      <c r="B305" s="50"/>
      <c r="K305" s="51"/>
    </row>
    <row r="306" spans="2:11" ht="15.75" customHeight="1" x14ac:dyDescent="0.3">
      <c r="B306" s="50"/>
      <c r="K306" s="51"/>
    </row>
    <row r="307" spans="2:11" ht="15.75" customHeight="1" x14ac:dyDescent="0.3">
      <c r="B307" s="50"/>
      <c r="K307" s="51"/>
    </row>
    <row r="308" spans="2:11" ht="15.75" customHeight="1" x14ac:dyDescent="0.3">
      <c r="B308" s="50"/>
      <c r="K308" s="51"/>
    </row>
    <row r="309" spans="2:11" ht="15.75" customHeight="1" x14ac:dyDescent="0.3">
      <c r="B309" s="50"/>
      <c r="K309" s="51"/>
    </row>
    <row r="310" spans="2:11" ht="15.75" customHeight="1" x14ac:dyDescent="0.3">
      <c r="B310" s="50"/>
      <c r="K310" s="51"/>
    </row>
    <row r="311" spans="2:11" ht="15.75" customHeight="1" x14ac:dyDescent="0.3">
      <c r="B311" s="50"/>
      <c r="K311" s="51"/>
    </row>
    <row r="312" spans="2:11" ht="15.75" customHeight="1" x14ac:dyDescent="0.3">
      <c r="B312" s="50"/>
      <c r="K312" s="51"/>
    </row>
    <row r="313" spans="2:11" ht="15.75" customHeight="1" x14ac:dyDescent="0.3">
      <c r="B313" s="50"/>
      <c r="K313" s="51"/>
    </row>
    <row r="314" spans="2:11" ht="15.75" customHeight="1" x14ac:dyDescent="0.3">
      <c r="B314" s="50"/>
      <c r="K314" s="51"/>
    </row>
    <row r="315" spans="2:11" ht="15.75" customHeight="1" x14ac:dyDescent="0.3">
      <c r="B315" s="50"/>
      <c r="K315" s="51"/>
    </row>
    <row r="316" spans="2:11" ht="15.75" customHeight="1" x14ac:dyDescent="0.3">
      <c r="B316" s="50"/>
      <c r="K316" s="51"/>
    </row>
    <row r="317" spans="2:11" ht="15.75" customHeight="1" x14ac:dyDescent="0.3">
      <c r="B317" s="50"/>
      <c r="K317" s="51"/>
    </row>
    <row r="318" spans="2:11" ht="15.75" customHeight="1" x14ac:dyDescent="0.3">
      <c r="B318" s="50"/>
      <c r="K318" s="51"/>
    </row>
    <row r="319" spans="2:11" ht="15.75" customHeight="1" x14ac:dyDescent="0.3">
      <c r="B319" s="50"/>
      <c r="K319" s="51"/>
    </row>
    <row r="320" spans="2:11" ht="15.75" customHeight="1" x14ac:dyDescent="0.3">
      <c r="B320" s="50"/>
      <c r="K320" s="51"/>
    </row>
    <row r="321" spans="2:11" ht="15.75" customHeight="1" x14ac:dyDescent="0.3">
      <c r="B321" s="50"/>
      <c r="K321" s="51"/>
    </row>
    <row r="322" spans="2:11" ht="15.75" customHeight="1" x14ac:dyDescent="0.3">
      <c r="B322" s="50"/>
      <c r="K322" s="51"/>
    </row>
    <row r="323" spans="2:11" ht="15.75" customHeight="1" x14ac:dyDescent="0.3">
      <c r="B323" s="50"/>
      <c r="K323" s="51"/>
    </row>
    <row r="324" spans="2:11" ht="15.75" customHeight="1" x14ac:dyDescent="0.3">
      <c r="B324" s="50"/>
      <c r="K324" s="51"/>
    </row>
    <row r="325" spans="2:11" ht="15.75" customHeight="1" x14ac:dyDescent="0.3">
      <c r="B325" s="50"/>
      <c r="K325" s="51"/>
    </row>
    <row r="326" spans="2:11" ht="15.75" customHeight="1" x14ac:dyDescent="0.3">
      <c r="B326" s="50"/>
      <c r="K326" s="51"/>
    </row>
    <row r="327" spans="2:11" ht="15.75" customHeight="1" x14ac:dyDescent="0.3">
      <c r="B327" s="50"/>
      <c r="K327" s="51"/>
    </row>
    <row r="328" spans="2:11" ht="15.75" customHeight="1" x14ac:dyDescent="0.3">
      <c r="B328" s="50"/>
      <c r="K328" s="51"/>
    </row>
    <row r="329" spans="2:11" ht="15.75" customHeight="1" x14ac:dyDescent="0.3">
      <c r="B329" s="50"/>
      <c r="K329" s="51"/>
    </row>
    <row r="330" spans="2:11" ht="15.75" customHeight="1" x14ac:dyDescent="0.3">
      <c r="B330" s="50"/>
      <c r="K330" s="51"/>
    </row>
    <row r="331" spans="2:11" ht="15.75" customHeight="1" x14ac:dyDescent="0.3">
      <c r="B331" s="50"/>
      <c r="K331" s="51"/>
    </row>
    <row r="332" spans="2:11" ht="15.75" customHeight="1" x14ac:dyDescent="0.3">
      <c r="B332" s="50"/>
      <c r="K332" s="51"/>
    </row>
    <row r="333" spans="2:11" ht="15.75" customHeight="1" x14ac:dyDescent="0.3">
      <c r="B333" s="50"/>
      <c r="K333" s="51"/>
    </row>
    <row r="334" spans="2:11" ht="15.75" customHeight="1" x14ac:dyDescent="0.3">
      <c r="B334" s="50"/>
      <c r="K334" s="51"/>
    </row>
    <row r="335" spans="2:11" ht="15.75" customHeight="1" x14ac:dyDescent="0.3">
      <c r="B335" s="50"/>
      <c r="K335" s="51"/>
    </row>
    <row r="336" spans="2:11" ht="15.75" customHeight="1" x14ac:dyDescent="0.3">
      <c r="B336" s="50"/>
      <c r="K336" s="51"/>
    </row>
    <row r="337" spans="2:11" ht="15.75" customHeight="1" x14ac:dyDescent="0.3">
      <c r="B337" s="50"/>
      <c r="K337" s="51"/>
    </row>
    <row r="338" spans="2:11" ht="15.75" customHeight="1" x14ac:dyDescent="0.3">
      <c r="B338" s="50"/>
      <c r="K338" s="51"/>
    </row>
    <row r="339" spans="2:11" ht="15.75" customHeight="1" x14ac:dyDescent="0.3">
      <c r="B339" s="50"/>
      <c r="K339" s="51"/>
    </row>
    <row r="340" spans="2:11" ht="15.75" customHeight="1" x14ac:dyDescent="0.3">
      <c r="B340" s="50"/>
      <c r="K340" s="51"/>
    </row>
    <row r="341" spans="2:11" ht="15.75" customHeight="1" x14ac:dyDescent="0.3">
      <c r="B341" s="50"/>
      <c r="K341" s="51"/>
    </row>
    <row r="342" spans="2:11" ht="15.75" customHeight="1" x14ac:dyDescent="0.3">
      <c r="B342" s="50"/>
      <c r="K342" s="51"/>
    </row>
    <row r="343" spans="2:11" ht="15.75" customHeight="1" x14ac:dyDescent="0.3">
      <c r="B343" s="50"/>
      <c r="K343" s="51"/>
    </row>
    <row r="344" spans="2:11" ht="15.75" customHeight="1" x14ac:dyDescent="0.3">
      <c r="B344" s="50"/>
      <c r="K344" s="51"/>
    </row>
    <row r="345" spans="2:11" ht="15.75" customHeight="1" x14ac:dyDescent="0.3">
      <c r="B345" s="50"/>
      <c r="K345" s="51"/>
    </row>
    <row r="346" spans="2:11" ht="15.75" customHeight="1" x14ac:dyDescent="0.3">
      <c r="B346" s="50"/>
      <c r="K346" s="51"/>
    </row>
    <row r="347" spans="2:11" ht="15.75" customHeight="1" x14ac:dyDescent="0.3">
      <c r="B347" s="50"/>
      <c r="K347" s="51"/>
    </row>
    <row r="348" spans="2:11" ht="15.75" customHeight="1" x14ac:dyDescent="0.3">
      <c r="B348" s="50"/>
      <c r="K348" s="51"/>
    </row>
    <row r="349" spans="2:11" ht="15.75" customHeight="1" x14ac:dyDescent="0.3">
      <c r="B349" s="50"/>
      <c r="K349" s="51"/>
    </row>
    <row r="350" spans="2:11" ht="15.75" customHeight="1" x14ac:dyDescent="0.3">
      <c r="B350" s="50"/>
      <c r="K350" s="51"/>
    </row>
    <row r="351" spans="2:11" ht="15.75" customHeight="1" x14ac:dyDescent="0.3">
      <c r="B351" s="50"/>
      <c r="K351" s="51"/>
    </row>
    <row r="352" spans="2:11" ht="15.75" customHeight="1" x14ac:dyDescent="0.3">
      <c r="B352" s="50"/>
      <c r="K352" s="51"/>
    </row>
    <row r="353" spans="2:11" ht="15.75" customHeight="1" x14ac:dyDescent="0.3">
      <c r="B353" s="50"/>
      <c r="K353" s="51"/>
    </row>
    <row r="354" spans="2:11" ht="15.75" customHeight="1" x14ac:dyDescent="0.3">
      <c r="B354" s="50"/>
      <c r="K354" s="51"/>
    </row>
    <row r="355" spans="2:11" ht="15.75" customHeight="1" x14ac:dyDescent="0.3">
      <c r="B355" s="50"/>
      <c r="K355" s="51"/>
    </row>
    <row r="356" spans="2:11" ht="15.75" customHeight="1" x14ac:dyDescent="0.3">
      <c r="B356" s="50"/>
      <c r="K356" s="51"/>
    </row>
    <row r="357" spans="2:11" ht="15.75" customHeight="1" x14ac:dyDescent="0.3">
      <c r="B357" s="50"/>
      <c r="K357" s="51"/>
    </row>
    <row r="358" spans="2:11" ht="15.75" customHeight="1" x14ac:dyDescent="0.3">
      <c r="B358" s="50"/>
      <c r="K358" s="51"/>
    </row>
    <row r="359" spans="2:11" ht="15.75" customHeight="1" x14ac:dyDescent="0.3">
      <c r="B359" s="50"/>
      <c r="K359" s="51"/>
    </row>
    <row r="360" spans="2:11" ht="15.75" customHeight="1" x14ac:dyDescent="0.3">
      <c r="B360" s="50"/>
      <c r="K360" s="51"/>
    </row>
    <row r="361" spans="2:11" ht="15.75" customHeight="1" x14ac:dyDescent="0.3">
      <c r="B361" s="50"/>
      <c r="K361" s="51"/>
    </row>
    <row r="362" spans="2:11" ht="15.75" customHeight="1" x14ac:dyDescent="0.3">
      <c r="B362" s="50"/>
      <c r="K362" s="51"/>
    </row>
    <row r="363" spans="2:11" ht="15.75" customHeight="1" x14ac:dyDescent="0.3">
      <c r="B363" s="50"/>
      <c r="K363" s="51"/>
    </row>
    <row r="364" spans="2:11" ht="15.75" customHeight="1" x14ac:dyDescent="0.3">
      <c r="B364" s="50"/>
      <c r="K364" s="51"/>
    </row>
    <row r="365" spans="2:11" ht="15.75" customHeight="1" x14ac:dyDescent="0.3">
      <c r="B365" s="50"/>
      <c r="K365" s="51"/>
    </row>
    <row r="366" spans="2:11" ht="15.75" customHeight="1" x14ac:dyDescent="0.3">
      <c r="B366" s="50"/>
      <c r="K366" s="51"/>
    </row>
    <row r="367" spans="2:11" ht="15.75" customHeight="1" x14ac:dyDescent="0.3">
      <c r="B367" s="50"/>
      <c r="K367" s="51"/>
    </row>
    <row r="368" spans="2:11" ht="15.75" customHeight="1" x14ac:dyDescent="0.3">
      <c r="B368" s="50"/>
      <c r="K368" s="51"/>
    </row>
    <row r="369" spans="2:11" ht="15.75" customHeight="1" x14ac:dyDescent="0.3">
      <c r="B369" s="50"/>
      <c r="K369" s="51"/>
    </row>
    <row r="370" spans="2:11" ht="15.75" customHeight="1" x14ac:dyDescent="0.3">
      <c r="B370" s="50"/>
      <c r="K370" s="51"/>
    </row>
    <row r="371" spans="2:11" ht="15.75" customHeight="1" x14ac:dyDescent="0.3">
      <c r="B371" s="50"/>
      <c r="K371" s="51"/>
    </row>
    <row r="372" spans="2:11" ht="15.75" customHeight="1" x14ac:dyDescent="0.3">
      <c r="B372" s="50"/>
      <c r="K372" s="51"/>
    </row>
    <row r="373" spans="2:11" ht="15.75" customHeight="1" x14ac:dyDescent="0.3">
      <c r="B373" s="50"/>
      <c r="K373" s="51"/>
    </row>
    <row r="374" spans="2:11" ht="15.75" customHeight="1" x14ac:dyDescent="0.3">
      <c r="B374" s="50"/>
      <c r="K374" s="51"/>
    </row>
    <row r="375" spans="2:11" ht="15.75" customHeight="1" x14ac:dyDescent="0.3">
      <c r="B375" s="50"/>
      <c r="K375" s="51"/>
    </row>
    <row r="376" spans="2:11" ht="15.75" customHeight="1" x14ac:dyDescent="0.3">
      <c r="B376" s="50"/>
      <c r="K376" s="51"/>
    </row>
    <row r="377" spans="2:11" ht="15.75" customHeight="1" x14ac:dyDescent="0.3">
      <c r="B377" s="50"/>
      <c r="K377" s="51"/>
    </row>
    <row r="378" spans="2:11" ht="15.75" customHeight="1" x14ac:dyDescent="0.3">
      <c r="B378" s="50"/>
      <c r="K378" s="51"/>
    </row>
    <row r="379" spans="2:11" ht="15.75" customHeight="1" x14ac:dyDescent="0.3">
      <c r="B379" s="50"/>
      <c r="K379" s="51"/>
    </row>
    <row r="380" spans="2:11" ht="15.75" customHeight="1" x14ac:dyDescent="0.3">
      <c r="B380" s="50"/>
      <c r="K380" s="51"/>
    </row>
    <row r="381" spans="2:11" ht="15.75" customHeight="1" x14ac:dyDescent="0.3">
      <c r="B381" s="50"/>
      <c r="K381" s="51"/>
    </row>
    <row r="382" spans="2:11" ht="15.75" customHeight="1" x14ac:dyDescent="0.3">
      <c r="B382" s="50"/>
      <c r="K382" s="51"/>
    </row>
    <row r="383" spans="2:11" ht="15.75" customHeight="1" x14ac:dyDescent="0.3">
      <c r="B383" s="50"/>
      <c r="K383" s="51"/>
    </row>
    <row r="384" spans="2:11" ht="15.75" customHeight="1" x14ac:dyDescent="0.3">
      <c r="B384" s="50"/>
      <c r="K384" s="51"/>
    </row>
    <row r="385" spans="2:11" ht="15.75" customHeight="1" x14ac:dyDescent="0.3">
      <c r="B385" s="50"/>
      <c r="K385" s="51"/>
    </row>
    <row r="386" spans="2:11" ht="15.75" customHeight="1" x14ac:dyDescent="0.3">
      <c r="B386" s="50"/>
      <c r="K386" s="51"/>
    </row>
    <row r="387" spans="2:11" ht="15.75" customHeight="1" x14ac:dyDescent="0.3">
      <c r="B387" s="50"/>
      <c r="K387" s="51"/>
    </row>
    <row r="388" spans="2:11" ht="15.75" customHeight="1" x14ac:dyDescent="0.3">
      <c r="B388" s="50"/>
      <c r="K388" s="51"/>
    </row>
    <row r="389" spans="2:11" ht="15.75" customHeight="1" x14ac:dyDescent="0.3">
      <c r="B389" s="50"/>
      <c r="K389" s="51"/>
    </row>
    <row r="390" spans="2:11" ht="15.75" customHeight="1" x14ac:dyDescent="0.3">
      <c r="B390" s="50"/>
      <c r="K390" s="51"/>
    </row>
    <row r="391" spans="2:11" ht="15.75" customHeight="1" x14ac:dyDescent="0.3">
      <c r="B391" s="50"/>
      <c r="K391" s="51"/>
    </row>
    <row r="392" spans="2:11" ht="15.75" customHeight="1" x14ac:dyDescent="0.3">
      <c r="B392" s="50"/>
      <c r="K392" s="51"/>
    </row>
    <row r="393" spans="2:11" ht="15.75" customHeight="1" x14ac:dyDescent="0.3">
      <c r="B393" s="50"/>
      <c r="K393" s="51"/>
    </row>
    <row r="394" spans="2:11" ht="15.75" customHeight="1" x14ac:dyDescent="0.3">
      <c r="B394" s="50"/>
      <c r="K394" s="51"/>
    </row>
    <row r="395" spans="2:11" ht="15.75" customHeight="1" x14ac:dyDescent="0.3">
      <c r="B395" s="50"/>
      <c r="K395" s="51"/>
    </row>
    <row r="396" spans="2:11" ht="15.75" customHeight="1" x14ac:dyDescent="0.3">
      <c r="B396" s="50"/>
      <c r="K396" s="51"/>
    </row>
    <row r="397" spans="2:11" ht="15.75" customHeight="1" x14ac:dyDescent="0.3">
      <c r="B397" s="50"/>
      <c r="K397" s="51"/>
    </row>
    <row r="398" spans="2:11" ht="15.75" customHeight="1" x14ac:dyDescent="0.3">
      <c r="B398" s="50"/>
      <c r="K398" s="51"/>
    </row>
    <row r="399" spans="2:11" ht="15.75" customHeight="1" x14ac:dyDescent="0.3">
      <c r="B399" s="50"/>
      <c r="K399" s="51"/>
    </row>
    <row r="400" spans="2:11" ht="15.75" customHeight="1" x14ac:dyDescent="0.3">
      <c r="B400" s="50"/>
      <c r="K400" s="51"/>
    </row>
    <row r="401" spans="2:11" ht="15.75" customHeight="1" x14ac:dyDescent="0.3">
      <c r="B401" s="50"/>
      <c r="K401" s="51"/>
    </row>
    <row r="402" spans="2:11" ht="15.75" customHeight="1" x14ac:dyDescent="0.3">
      <c r="B402" s="50"/>
      <c r="K402" s="51"/>
    </row>
    <row r="403" spans="2:11" ht="15.75" customHeight="1" x14ac:dyDescent="0.3">
      <c r="B403" s="50"/>
      <c r="K403" s="51"/>
    </row>
    <row r="404" spans="2:11" ht="15.75" customHeight="1" x14ac:dyDescent="0.3">
      <c r="B404" s="50"/>
      <c r="K404" s="51"/>
    </row>
    <row r="405" spans="2:11" ht="15.75" customHeight="1" x14ac:dyDescent="0.3">
      <c r="B405" s="50"/>
      <c r="K405" s="51"/>
    </row>
    <row r="406" spans="2:11" ht="15.75" customHeight="1" x14ac:dyDescent="0.3">
      <c r="B406" s="50"/>
      <c r="K406" s="51"/>
    </row>
    <row r="407" spans="2:11" ht="15.75" customHeight="1" x14ac:dyDescent="0.3">
      <c r="B407" s="50"/>
      <c r="K407" s="51"/>
    </row>
    <row r="408" spans="2:11" ht="15.75" customHeight="1" x14ac:dyDescent="0.3">
      <c r="B408" s="50"/>
      <c r="K408" s="51"/>
    </row>
    <row r="409" spans="2:11" ht="15.75" customHeight="1" x14ac:dyDescent="0.3">
      <c r="B409" s="50"/>
      <c r="K409" s="51"/>
    </row>
    <row r="410" spans="2:11" ht="15.75" customHeight="1" x14ac:dyDescent="0.3">
      <c r="B410" s="50"/>
      <c r="K410" s="51"/>
    </row>
    <row r="411" spans="2:11" ht="15.75" customHeight="1" x14ac:dyDescent="0.3">
      <c r="B411" s="50"/>
      <c r="K411" s="51"/>
    </row>
    <row r="412" spans="2:11" ht="15.75" customHeight="1" x14ac:dyDescent="0.3">
      <c r="B412" s="50"/>
      <c r="K412" s="51"/>
    </row>
    <row r="413" spans="2:11" ht="15.75" customHeight="1" x14ac:dyDescent="0.3">
      <c r="B413" s="50"/>
      <c r="K413" s="51"/>
    </row>
    <row r="414" spans="2:11" ht="15.75" customHeight="1" x14ac:dyDescent="0.3">
      <c r="B414" s="50"/>
      <c r="K414" s="51"/>
    </row>
    <row r="415" spans="2:11" ht="15.75" customHeight="1" x14ac:dyDescent="0.3">
      <c r="B415" s="50"/>
      <c r="K415" s="51"/>
    </row>
    <row r="416" spans="2:11" ht="15.75" customHeight="1" x14ac:dyDescent="0.3">
      <c r="B416" s="50"/>
      <c r="K416" s="51"/>
    </row>
    <row r="417" spans="2:11" ht="15.75" customHeight="1" x14ac:dyDescent="0.3">
      <c r="B417" s="50"/>
      <c r="K417" s="51"/>
    </row>
    <row r="418" spans="2:11" ht="15.75" customHeight="1" x14ac:dyDescent="0.3">
      <c r="B418" s="50"/>
      <c r="K418" s="51"/>
    </row>
    <row r="419" spans="2:11" ht="15.75" customHeight="1" x14ac:dyDescent="0.3">
      <c r="B419" s="50"/>
      <c r="K419" s="51"/>
    </row>
    <row r="420" spans="2:11" ht="15.75" customHeight="1" x14ac:dyDescent="0.3">
      <c r="B420" s="50"/>
      <c r="K420" s="51"/>
    </row>
    <row r="421" spans="2:11" ht="15.75" customHeight="1" x14ac:dyDescent="0.3">
      <c r="B421" s="50"/>
      <c r="K421" s="51"/>
    </row>
    <row r="422" spans="2:11" ht="15.75" customHeight="1" x14ac:dyDescent="0.3">
      <c r="B422" s="50"/>
      <c r="K422" s="51"/>
    </row>
    <row r="423" spans="2:11" ht="15.75" customHeight="1" x14ac:dyDescent="0.3">
      <c r="B423" s="50"/>
      <c r="K423" s="51"/>
    </row>
    <row r="424" spans="2:11" ht="15.75" customHeight="1" x14ac:dyDescent="0.3">
      <c r="B424" s="50"/>
      <c r="K424" s="51"/>
    </row>
    <row r="425" spans="2:11" ht="15.75" customHeight="1" x14ac:dyDescent="0.3">
      <c r="B425" s="50"/>
      <c r="K425" s="51"/>
    </row>
    <row r="426" spans="2:11" ht="15.75" customHeight="1" x14ac:dyDescent="0.3">
      <c r="B426" s="50"/>
      <c r="K426" s="51"/>
    </row>
    <row r="427" spans="2:11" ht="15.75" customHeight="1" x14ac:dyDescent="0.3">
      <c r="B427" s="50"/>
      <c r="K427" s="51"/>
    </row>
    <row r="428" spans="2:11" ht="15.75" customHeight="1" x14ac:dyDescent="0.3">
      <c r="B428" s="50"/>
      <c r="K428" s="51"/>
    </row>
    <row r="429" spans="2:11" ht="15.75" customHeight="1" x14ac:dyDescent="0.3">
      <c r="B429" s="50"/>
      <c r="K429" s="51"/>
    </row>
    <row r="430" spans="2:11" ht="15.75" customHeight="1" x14ac:dyDescent="0.3">
      <c r="B430" s="50"/>
      <c r="K430" s="51"/>
    </row>
    <row r="431" spans="2:11" ht="15.75" customHeight="1" x14ac:dyDescent="0.3">
      <c r="B431" s="50"/>
      <c r="K431" s="51"/>
    </row>
    <row r="432" spans="2:11" ht="15.75" customHeight="1" x14ac:dyDescent="0.3">
      <c r="B432" s="50"/>
      <c r="K432" s="51"/>
    </row>
    <row r="433" spans="2:11" ht="15.75" customHeight="1" x14ac:dyDescent="0.3">
      <c r="B433" s="50"/>
      <c r="K433" s="51"/>
    </row>
    <row r="434" spans="2:11" ht="15.75" customHeight="1" x14ac:dyDescent="0.3">
      <c r="B434" s="50"/>
      <c r="K434" s="51"/>
    </row>
    <row r="435" spans="2:11" ht="15.75" customHeight="1" x14ac:dyDescent="0.3">
      <c r="B435" s="50"/>
      <c r="K435" s="51"/>
    </row>
    <row r="436" spans="2:11" ht="15.75" customHeight="1" x14ac:dyDescent="0.3">
      <c r="B436" s="50"/>
      <c r="K436" s="51"/>
    </row>
    <row r="437" spans="2:11" ht="15.75" customHeight="1" x14ac:dyDescent="0.3">
      <c r="B437" s="50"/>
      <c r="K437" s="51"/>
    </row>
    <row r="438" spans="2:11" ht="15.75" customHeight="1" x14ac:dyDescent="0.3">
      <c r="B438" s="50"/>
      <c r="K438" s="51"/>
    </row>
    <row r="439" spans="2:11" ht="15.75" customHeight="1" x14ac:dyDescent="0.3">
      <c r="B439" s="50"/>
      <c r="K439" s="51"/>
    </row>
    <row r="440" spans="2:11" ht="15.75" customHeight="1" x14ac:dyDescent="0.3">
      <c r="B440" s="50"/>
      <c r="K440" s="51"/>
    </row>
    <row r="441" spans="2:11" ht="15.75" customHeight="1" x14ac:dyDescent="0.3">
      <c r="B441" s="50"/>
      <c r="K441" s="51"/>
    </row>
    <row r="442" spans="2:11" ht="15.75" customHeight="1" x14ac:dyDescent="0.3">
      <c r="B442" s="50"/>
      <c r="K442" s="51"/>
    </row>
    <row r="443" spans="2:11" ht="15.75" customHeight="1" x14ac:dyDescent="0.3">
      <c r="B443" s="50"/>
      <c r="K443" s="51"/>
    </row>
    <row r="444" spans="2:11" ht="15.75" customHeight="1" x14ac:dyDescent="0.3">
      <c r="B444" s="50"/>
      <c r="K444" s="51"/>
    </row>
    <row r="445" spans="2:11" ht="15.75" customHeight="1" x14ac:dyDescent="0.3">
      <c r="B445" s="50"/>
      <c r="K445" s="51"/>
    </row>
    <row r="446" spans="2:11" ht="15.75" customHeight="1" x14ac:dyDescent="0.3">
      <c r="B446" s="50"/>
      <c r="K446" s="51"/>
    </row>
    <row r="447" spans="2:11" ht="15.75" customHeight="1" x14ac:dyDescent="0.3">
      <c r="B447" s="50"/>
      <c r="K447" s="51"/>
    </row>
    <row r="448" spans="2:11" ht="15.75" customHeight="1" x14ac:dyDescent="0.3">
      <c r="B448" s="50"/>
      <c r="K448" s="51"/>
    </row>
    <row r="449" spans="2:11" ht="15.75" customHeight="1" x14ac:dyDescent="0.3">
      <c r="B449" s="50"/>
      <c r="K449" s="51"/>
    </row>
    <row r="450" spans="2:11" ht="15.75" customHeight="1" x14ac:dyDescent="0.3">
      <c r="B450" s="50"/>
      <c r="K450" s="51"/>
    </row>
    <row r="451" spans="2:11" ht="15.75" customHeight="1" x14ac:dyDescent="0.3">
      <c r="B451" s="50"/>
      <c r="K451" s="51"/>
    </row>
    <row r="452" spans="2:11" ht="15.75" customHeight="1" x14ac:dyDescent="0.3">
      <c r="B452" s="50"/>
      <c r="K452" s="51"/>
    </row>
    <row r="453" spans="2:11" ht="15.75" customHeight="1" x14ac:dyDescent="0.3">
      <c r="B453" s="50"/>
      <c r="K453" s="51"/>
    </row>
    <row r="454" spans="2:11" ht="15.75" customHeight="1" x14ac:dyDescent="0.3">
      <c r="B454" s="50"/>
      <c r="K454" s="51"/>
    </row>
    <row r="455" spans="2:11" ht="15.75" customHeight="1" x14ac:dyDescent="0.3">
      <c r="B455" s="50"/>
      <c r="K455" s="51"/>
    </row>
    <row r="456" spans="2:11" ht="15.75" customHeight="1" x14ac:dyDescent="0.3">
      <c r="B456" s="50"/>
      <c r="K456" s="51"/>
    </row>
    <row r="457" spans="2:11" ht="15.75" customHeight="1" x14ac:dyDescent="0.3">
      <c r="B457" s="50"/>
      <c r="K457" s="51"/>
    </row>
    <row r="458" spans="2:11" ht="15.75" customHeight="1" x14ac:dyDescent="0.3">
      <c r="B458" s="50"/>
      <c r="K458" s="51"/>
    </row>
    <row r="459" spans="2:11" ht="15.75" customHeight="1" x14ac:dyDescent="0.3">
      <c r="B459" s="50"/>
      <c r="K459" s="51"/>
    </row>
    <row r="460" spans="2:11" ht="15.75" customHeight="1" x14ac:dyDescent="0.3">
      <c r="B460" s="50"/>
      <c r="K460" s="51"/>
    </row>
    <row r="461" spans="2:11" ht="15.75" customHeight="1" x14ac:dyDescent="0.3">
      <c r="B461" s="50"/>
      <c r="K461" s="51"/>
    </row>
    <row r="462" spans="2:11" ht="15.75" customHeight="1" x14ac:dyDescent="0.3">
      <c r="B462" s="50"/>
      <c r="K462" s="51"/>
    </row>
    <row r="463" spans="2:11" ht="15.75" customHeight="1" x14ac:dyDescent="0.3">
      <c r="B463" s="50"/>
      <c r="K463" s="51"/>
    </row>
    <row r="464" spans="2:11" ht="15.75" customHeight="1" x14ac:dyDescent="0.3">
      <c r="B464" s="50"/>
      <c r="K464" s="51"/>
    </row>
    <row r="465" spans="2:11" ht="15.75" customHeight="1" x14ac:dyDescent="0.3">
      <c r="B465" s="50"/>
      <c r="K465" s="51"/>
    </row>
    <row r="466" spans="2:11" ht="15.75" customHeight="1" x14ac:dyDescent="0.3">
      <c r="B466" s="50"/>
      <c r="K466" s="51"/>
    </row>
    <row r="467" spans="2:11" ht="15.75" customHeight="1" x14ac:dyDescent="0.3">
      <c r="B467" s="50"/>
      <c r="K467" s="51"/>
    </row>
    <row r="468" spans="2:11" ht="15.75" customHeight="1" x14ac:dyDescent="0.3">
      <c r="B468" s="50"/>
      <c r="K468" s="51"/>
    </row>
    <row r="469" spans="2:11" ht="15.75" customHeight="1" x14ac:dyDescent="0.3">
      <c r="B469" s="50"/>
      <c r="K469" s="51"/>
    </row>
    <row r="470" spans="2:11" ht="15.75" customHeight="1" x14ac:dyDescent="0.3">
      <c r="B470" s="50"/>
      <c r="K470" s="51"/>
    </row>
    <row r="471" spans="2:11" ht="15.75" customHeight="1" x14ac:dyDescent="0.3">
      <c r="B471" s="50"/>
      <c r="K471" s="51"/>
    </row>
    <row r="472" spans="2:11" ht="15.75" customHeight="1" x14ac:dyDescent="0.3">
      <c r="B472" s="50"/>
      <c r="K472" s="51"/>
    </row>
    <row r="473" spans="2:11" ht="15.75" customHeight="1" x14ac:dyDescent="0.3">
      <c r="B473" s="50"/>
      <c r="K473" s="51"/>
    </row>
    <row r="474" spans="2:11" ht="15.75" customHeight="1" x14ac:dyDescent="0.3">
      <c r="B474" s="50"/>
      <c r="K474" s="51"/>
    </row>
    <row r="475" spans="2:11" ht="15.75" customHeight="1" x14ac:dyDescent="0.3">
      <c r="B475" s="50"/>
      <c r="K475" s="51"/>
    </row>
    <row r="476" spans="2:11" ht="15.75" customHeight="1" x14ac:dyDescent="0.3">
      <c r="B476" s="50"/>
      <c r="K476" s="51"/>
    </row>
    <row r="477" spans="2:11" ht="15.75" customHeight="1" x14ac:dyDescent="0.3">
      <c r="B477" s="50"/>
      <c r="K477" s="51"/>
    </row>
    <row r="478" spans="2:11" ht="15.75" customHeight="1" x14ac:dyDescent="0.3">
      <c r="B478" s="50"/>
      <c r="K478" s="51"/>
    </row>
    <row r="479" spans="2:11" ht="15.75" customHeight="1" x14ac:dyDescent="0.3">
      <c r="B479" s="50"/>
      <c r="K479" s="51"/>
    </row>
    <row r="480" spans="2:11" ht="15.75" customHeight="1" x14ac:dyDescent="0.3">
      <c r="B480" s="50"/>
      <c r="K480" s="51"/>
    </row>
    <row r="481" spans="2:11" ht="15.75" customHeight="1" x14ac:dyDescent="0.3">
      <c r="B481" s="50"/>
      <c r="K481" s="51"/>
    </row>
    <row r="482" spans="2:11" ht="15.75" customHeight="1" x14ac:dyDescent="0.3">
      <c r="B482" s="50"/>
      <c r="K482" s="51"/>
    </row>
    <row r="483" spans="2:11" ht="15.75" customHeight="1" x14ac:dyDescent="0.3">
      <c r="B483" s="50"/>
      <c r="K483" s="51"/>
    </row>
    <row r="484" spans="2:11" ht="15.75" customHeight="1" x14ac:dyDescent="0.3">
      <c r="B484" s="50"/>
      <c r="K484" s="51"/>
    </row>
    <row r="485" spans="2:11" ht="15.75" customHeight="1" x14ac:dyDescent="0.3">
      <c r="B485" s="50"/>
      <c r="K485" s="51"/>
    </row>
    <row r="486" spans="2:11" ht="15.75" customHeight="1" x14ac:dyDescent="0.3">
      <c r="B486" s="50"/>
      <c r="K486" s="51"/>
    </row>
    <row r="487" spans="2:11" ht="15.75" customHeight="1" x14ac:dyDescent="0.3">
      <c r="B487" s="50"/>
      <c r="K487" s="51"/>
    </row>
    <row r="488" spans="2:11" ht="15.75" customHeight="1" x14ac:dyDescent="0.3">
      <c r="B488" s="50"/>
      <c r="K488" s="51"/>
    </row>
    <row r="489" spans="2:11" ht="15.75" customHeight="1" x14ac:dyDescent="0.3">
      <c r="B489" s="50"/>
      <c r="K489" s="51"/>
    </row>
    <row r="490" spans="2:11" ht="15.75" customHeight="1" x14ac:dyDescent="0.3">
      <c r="B490" s="50"/>
      <c r="K490" s="51"/>
    </row>
    <row r="491" spans="2:11" ht="15.75" customHeight="1" x14ac:dyDescent="0.3">
      <c r="B491" s="50"/>
      <c r="K491" s="51"/>
    </row>
    <row r="492" spans="2:11" ht="15.75" customHeight="1" x14ac:dyDescent="0.3">
      <c r="B492" s="50"/>
      <c r="K492" s="51"/>
    </row>
    <row r="493" spans="2:11" ht="15.75" customHeight="1" x14ac:dyDescent="0.3">
      <c r="B493" s="50"/>
      <c r="K493" s="51"/>
    </row>
    <row r="494" spans="2:11" ht="15.75" customHeight="1" x14ac:dyDescent="0.3">
      <c r="B494" s="50"/>
      <c r="K494" s="51"/>
    </row>
    <row r="495" spans="2:11" ht="15.75" customHeight="1" x14ac:dyDescent="0.3">
      <c r="B495" s="50"/>
      <c r="K495" s="51"/>
    </row>
    <row r="496" spans="2:11" ht="15.75" customHeight="1" x14ac:dyDescent="0.3">
      <c r="B496" s="50"/>
      <c r="K496" s="51"/>
    </row>
    <row r="497" spans="2:11" ht="15.75" customHeight="1" x14ac:dyDescent="0.3">
      <c r="B497" s="50"/>
      <c r="K497" s="51"/>
    </row>
    <row r="498" spans="2:11" ht="15.75" customHeight="1" x14ac:dyDescent="0.3">
      <c r="B498" s="50"/>
      <c r="K498" s="51"/>
    </row>
    <row r="499" spans="2:11" ht="15.75" customHeight="1" x14ac:dyDescent="0.3">
      <c r="B499" s="50"/>
      <c r="K499" s="51"/>
    </row>
    <row r="500" spans="2:11" ht="15.75" customHeight="1" x14ac:dyDescent="0.3">
      <c r="B500" s="50"/>
      <c r="K500" s="51"/>
    </row>
    <row r="501" spans="2:11" ht="15.75" customHeight="1" x14ac:dyDescent="0.3">
      <c r="B501" s="50"/>
      <c r="K501" s="51"/>
    </row>
    <row r="502" spans="2:11" ht="15.75" customHeight="1" x14ac:dyDescent="0.3">
      <c r="B502" s="50"/>
      <c r="K502" s="51"/>
    </row>
    <row r="503" spans="2:11" ht="15.75" customHeight="1" x14ac:dyDescent="0.3">
      <c r="B503" s="50"/>
      <c r="K503" s="51"/>
    </row>
    <row r="504" spans="2:11" ht="15.75" customHeight="1" x14ac:dyDescent="0.3">
      <c r="B504" s="50"/>
      <c r="K504" s="51"/>
    </row>
    <row r="505" spans="2:11" ht="15.75" customHeight="1" x14ac:dyDescent="0.3">
      <c r="B505" s="50"/>
      <c r="K505" s="51"/>
    </row>
    <row r="506" spans="2:11" ht="15.75" customHeight="1" x14ac:dyDescent="0.3">
      <c r="B506" s="50"/>
      <c r="K506" s="51"/>
    </row>
    <row r="507" spans="2:11" ht="15.75" customHeight="1" x14ac:dyDescent="0.3">
      <c r="B507" s="50"/>
      <c r="K507" s="51"/>
    </row>
    <row r="508" spans="2:11" ht="15.75" customHeight="1" x14ac:dyDescent="0.3">
      <c r="B508" s="50"/>
      <c r="K508" s="51"/>
    </row>
    <row r="509" spans="2:11" ht="15.75" customHeight="1" x14ac:dyDescent="0.3">
      <c r="B509" s="50"/>
      <c r="K509" s="51"/>
    </row>
    <row r="510" spans="2:11" ht="15.75" customHeight="1" x14ac:dyDescent="0.3">
      <c r="B510" s="50"/>
      <c r="K510" s="51"/>
    </row>
    <row r="511" spans="2:11" ht="15.75" customHeight="1" x14ac:dyDescent="0.3">
      <c r="B511" s="50"/>
      <c r="K511" s="51"/>
    </row>
    <row r="512" spans="2:11" ht="15.75" customHeight="1" x14ac:dyDescent="0.3">
      <c r="B512" s="50"/>
      <c r="K512" s="51"/>
    </row>
    <row r="513" spans="2:11" ht="15.75" customHeight="1" x14ac:dyDescent="0.3">
      <c r="B513" s="50"/>
      <c r="K513" s="51"/>
    </row>
    <row r="514" spans="2:11" ht="15.75" customHeight="1" x14ac:dyDescent="0.3">
      <c r="B514" s="50"/>
      <c r="K514" s="51"/>
    </row>
    <row r="515" spans="2:11" ht="15.75" customHeight="1" x14ac:dyDescent="0.3">
      <c r="B515" s="50"/>
      <c r="K515" s="51"/>
    </row>
    <row r="516" spans="2:11" ht="15.75" customHeight="1" x14ac:dyDescent="0.3">
      <c r="B516" s="50"/>
      <c r="K516" s="51"/>
    </row>
    <row r="517" spans="2:11" ht="15.75" customHeight="1" x14ac:dyDescent="0.3">
      <c r="B517" s="50"/>
      <c r="K517" s="51"/>
    </row>
    <row r="518" spans="2:11" ht="15.75" customHeight="1" x14ac:dyDescent="0.3">
      <c r="B518" s="50"/>
      <c r="K518" s="51"/>
    </row>
    <row r="519" spans="2:11" ht="15.75" customHeight="1" x14ac:dyDescent="0.3">
      <c r="B519" s="50"/>
      <c r="K519" s="51"/>
    </row>
    <row r="520" spans="2:11" ht="15.75" customHeight="1" x14ac:dyDescent="0.3">
      <c r="B520" s="50"/>
      <c r="K520" s="51"/>
    </row>
    <row r="521" spans="2:11" ht="15.75" customHeight="1" x14ac:dyDescent="0.3">
      <c r="B521" s="50"/>
      <c r="K521" s="51"/>
    </row>
    <row r="522" spans="2:11" ht="15.75" customHeight="1" x14ac:dyDescent="0.3">
      <c r="B522" s="50"/>
      <c r="K522" s="51"/>
    </row>
    <row r="523" spans="2:11" ht="15.75" customHeight="1" x14ac:dyDescent="0.3">
      <c r="B523" s="50"/>
      <c r="K523" s="51"/>
    </row>
    <row r="524" spans="2:11" ht="15.75" customHeight="1" x14ac:dyDescent="0.3">
      <c r="B524" s="50"/>
      <c r="K524" s="51"/>
    </row>
    <row r="525" spans="2:11" ht="15.75" customHeight="1" x14ac:dyDescent="0.3">
      <c r="B525" s="50"/>
      <c r="K525" s="51"/>
    </row>
    <row r="526" spans="2:11" ht="15.75" customHeight="1" x14ac:dyDescent="0.3">
      <c r="B526" s="50"/>
      <c r="K526" s="51"/>
    </row>
    <row r="527" spans="2:11" ht="15.75" customHeight="1" x14ac:dyDescent="0.3">
      <c r="B527" s="50"/>
      <c r="K527" s="51"/>
    </row>
    <row r="528" spans="2:11" ht="15.75" customHeight="1" x14ac:dyDescent="0.3">
      <c r="B528" s="50"/>
      <c r="K528" s="51"/>
    </row>
    <row r="529" spans="2:11" ht="15.75" customHeight="1" x14ac:dyDescent="0.3">
      <c r="B529" s="50"/>
      <c r="K529" s="51"/>
    </row>
    <row r="530" spans="2:11" ht="15.75" customHeight="1" x14ac:dyDescent="0.3">
      <c r="B530" s="50"/>
      <c r="K530" s="51"/>
    </row>
    <row r="531" spans="2:11" ht="15.75" customHeight="1" x14ac:dyDescent="0.3">
      <c r="B531" s="50"/>
      <c r="K531" s="51"/>
    </row>
    <row r="532" spans="2:11" ht="15.75" customHeight="1" x14ac:dyDescent="0.3">
      <c r="B532" s="50"/>
      <c r="K532" s="51"/>
    </row>
    <row r="533" spans="2:11" ht="15.75" customHeight="1" x14ac:dyDescent="0.3">
      <c r="B533" s="50"/>
      <c r="K533" s="51"/>
    </row>
    <row r="534" spans="2:11" ht="15.75" customHeight="1" x14ac:dyDescent="0.3">
      <c r="B534" s="50"/>
      <c r="K534" s="51"/>
    </row>
    <row r="535" spans="2:11" ht="15.75" customHeight="1" x14ac:dyDescent="0.3">
      <c r="B535" s="50"/>
      <c r="K535" s="51"/>
    </row>
    <row r="536" spans="2:11" ht="15.75" customHeight="1" x14ac:dyDescent="0.3">
      <c r="B536" s="50"/>
      <c r="K536" s="51"/>
    </row>
    <row r="537" spans="2:11" ht="15.75" customHeight="1" x14ac:dyDescent="0.3">
      <c r="B537" s="50"/>
      <c r="K537" s="51"/>
    </row>
    <row r="538" spans="2:11" ht="15.75" customHeight="1" x14ac:dyDescent="0.3">
      <c r="B538" s="50"/>
      <c r="K538" s="51"/>
    </row>
    <row r="539" spans="2:11" ht="15.75" customHeight="1" x14ac:dyDescent="0.3">
      <c r="B539" s="50"/>
      <c r="K539" s="51"/>
    </row>
    <row r="540" spans="2:11" ht="15.75" customHeight="1" x14ac:dyDescent="0.3">
      <c r="B540" s="50"/>
      <c r="K540" s="51"/>
    </row>
    <row r="541" spans="2:11" ht="15.75" customHeight="1" x14ac:dyDescent="0.3">
      <c r="B541" s="50"/>
      <c r="K541" s="51"/>
    </row>
    <row r="542" spans="2:11" ht="15.75" customHeight="1" x14ac:dyDescent="0.3">
      <c r="B542" s="50"/>
      <c r="K542" s="51"/>
    </row>
    <row r="543" spans="2:11" ht="15.75" customHeight="1" x14ac:dyDescent="0.3">
      <c r="B543" s="50"/>
      <c r="K543" s="51"/>
    </row>
    <row r="544" spans="2:11" ht="15.75" customHeight="1" x14ac:dyDescent="0.3">
      <c r="B544" s="50"/>
      <c r="K544" s="51"/>
    </row>
    <row r="545" spans="2:11" ht="15.75" customHeight="1" x14ac:dyDescent="0.3">
      <c r="B545" s="50"/>
      <c r="K545" s="51"/>
    </row>
    <row r="546" spans="2:11" ht="15.75" customHeight="1" x14ac:dyDescent="0.3">
      <c r="B546" s="50"/>
      <c r="K546" s="51"/>
    </row>
    <row r="547" spans="2:11" ht="15.75" customHeight="1" x14ac:dyDescent="0.3">
      <c r="B547" s="50"/>
      <c r="K547" s="51"/>
    </row>
    <row r="548" spans="2:11" ht="15.75" customHeight="1" x14ac:dyDescent="0.3">
      <c r="B548" s="50"/>
      <c r="K548" s="51"/>
    </row>
    <row r="549" spans="2:11" ht="15.75" customHeight="1" x14ac:dyDescent="0.3">
      <c r="B549" s="50"/>
      <c r="K549" s="51"/>
    </row>
    <row r="550" spans="2:11" ht="15.75" customHeight="1" x14ac:dyDescent="0.3">
      <c r="B550" s="50"/>
      <c r="K550" s="51"/>
    </row>
    <row r="551" spans="2:11" ht="15.75" customHeight="1" x14ac:dyDescent="0.3">
      <c r="B551" s="50"/>
      <c r="K551" s="51"/>
    </row>
    <row r="552" spans="2:11" ht="15.75" customHeight="1" x14ac:dyDescent="0.3">
      <c r="B552" s="50"/>
      <c r="K552" s="51"/>
    </row>
    <row r="553" spans="2:11" ht="15.75" customHeight="1" x14ac:dyDescent="0.3">
      <c r="B553" s="50"/>
      <c r="K553" s="51"/>
    </row>
    <row r="554" spans="2:11" ht="15.75" customHeight="1" x14ac:dyDescent="0.3">
      <c r="B554" s="50"/>
      <c r="K554" s="51"/>
    </row>
    <row r="555" spans="2:11" ht="15.75" customHeight="1" x14ac:dyDescent="0.3">
      <c r="B555" s="50"/>
      <c r="K555" s="51"/>
    </row>
    <row r="556" spans="2:11" ht="15.75" customHeight="1" x14ac:dyDescent="0.3">
      <c r="B556" s="50"/>
      <c r="K556" s="51"/>
    </row>
    <row r="557" spans="2:11" ht="15.75" customHeight="1" x14ac:dyDescent="0.3">
      <c r="B557" s="50"/>
      <c r="K557" s="51"/>
    </row>
    <row r="558" spans="2:11" ht="15.75" customHeight="1" x14ac:dyDescent="0.3">
      <c r="B558" s="50"/>
      <c r="K558" s="51"/>
    </row>
    <row r="559" spans="2:11" ht="15.75" customHeight="1" x14ac:dyDescent="0.3">
      <c r="B559" s="50"/>
      <c r="K559" s="51"/>
    </row>
    <row r="560" spans="2:11" ht="15.75" customHeight="1" x14ac:dyDescent="0.3">
      <c r="B560" s="50"/>
      <c r="K560" s="51"/>
    </row>
    <row r="561" spans="2:11" ht="15.75" customHeight="1" x14ac:dyDescent="0.3">
      <c r="B561" s="50"/>
      <c r="K561" s="51"/>
    </row>
    <row r="562" spans="2:11" ht="15.75" customHeight="1" x14ac:dyDescent="0.3">
      <c r="B562" s="50"/>
      <c r="K562" s="51"/>
    </row>
    <row r="563" spans="2:11" ht="15.75" customHeight="1" x14ac:dyDescent="0.3">
      <c r="B563" s="50"/>
      <c r="K563" s="51"/>
    </row>
    <row r="564" spans="2:11" ht="15.75" customHeight="1" x14ac:dyDescent="0.3">
      <c r="B564" s="50"/>
      <c r="K564" s="51"/>
    </row>
    <row r="565" spans="2:11" ht="15.75" customHeight="1" x14ac:dyDescent="0.3">
      <c r="B565" s="50"/>
      <c r="K565" s="51"/>
    </row>
    <row r="566" spans="2:11" ht="15.75" customHeight="1" x14ac:dyDescent="0.3">
      <c r="B566" s="50"/>
      <c r="K566" s="51"/>
    </row>
    <row r="567" spans="2:11" ht="15.75" customHeight="1" x14ac:dyDescent="0.3">
      <c r="B567" s="50"/>
      <c r="K567" s="51"/>
    </row>
    <row r="568" spans="2:11" ht="15.75" customHeight="1" x14ac:dyDescent="0.3">
      <c r="B568" s="50"/>
      <c r="K568" s="51"/>
    </row>
    <row r="569" spans="2:11" ht="15.75" customHeight="1" x14ac:dyDescent="0.3">
      <c r="B569" s="50"/>
      <c r="K569" s="51"/>
    </row>
    <row r="570" spans="2:11" ht="15.75" customHeight="1" x14ac:dyDescent="0.3">
      <c r="B570" s="50"/>
      <c r="K570" s="51"/>
    </row>
    <row r="571" spans="2:11" ht="15.75" customHeight="1" x14ac:dyDescent="0.3">
      <c r="B571" s="50"/>
      <c r="K571" s="51"/>
    </row>
    <row r="572" spans="2:11" ht="15.75" customHeight="1" x14ac:dyDescent="0.3">
      <c r="B572" s="50"/>
      <c r="K572" s="51"/>
    </row>
    <row r="573" spans="2:11" ht="15.75" customHeight="1" x14ac:dyDescent="0.3">
      <c r="B573" s="50"/>
      <c r="K573" s="51"/>
    </row>
    <row r="574" spans="2:11" ht="15.75" customHeight="1" x14ac:dyDescent="0.3">
      <c r="B574" s="50"/>
      <c r="K574" s="51"/>
    </row>
    <row r="575" spans="2:11" ht="15.75" customHeight="1" x14ac:dyDescent="0.3">
      <c r="B575" s="50"/>
      <c r="K575" s="51"/>
    </row>
    <row r="576" spans="2:11" ht="15.75" customHeight="1" x14ac:dyDescent="0.3">
      <c r="B576" s="50"/>
      <c r="K576" s="51"/>
    </row>
    <row r="577" spans="2:11" ht="15.75" customHeight="1" x14ac:dyDescent="0.3">
      <c r="B577" s="50"/>
      <c r="K577" s="51"/>
    </row>
    <row r="578" spans="2:11" ht="15.75" customHeight="1" x14ac:dyDescent="0.3">
      <c r="B578" s="50"/>
      <c r="K578" s="51"/>
    </row>
    <row r="579" spans="2:11" ht="15.75" customHeight="1" x14ac:dyDescent="0.3">
      <c r="B579" s="50"/>
      <c r="K579" s="51"/>
    </row>
    <row r="580" spans="2:11" ht="15.75" customHeight="1" x14ac:dyDescent="0.3">
      <c r="B580" s="50"/>
      <c r="K580" s="51"/>
    </row>
    <row r="581" spans="2:11" ht="15.75" customHeight="1" x14ac:dyDescent="0.3">
      <c r="B581" s="50"/>
      <c r="K581" s="51"/>
    </row>
    <row r="582" spans="2:11" ht="15.75" customHeight="1" x14ac:dyDescent="0.3">
      <c r="B582" s="50"/>
      <c r="K582" s="51"/>
    </row>
    <row r="583" spans="2:11" ht="15.75" customHeight="1" x14ac:dyDescent="0.3">
      <c r="B583" s="50"/>
      <c r="K583" s="51"/>
    </row>
    <row r="584" spans="2:11" ht="15.75" customHeight="1" x14ac:dyDescent="0.3">
      <c r="B584" s="50"/>
      <c r="K584" s="51"/>
    </row>
    <row r="585" spans="2:11" ht="15.75" customHeight="1" x14ac:dyDescent="0.3">
      <c r="B585" s="50"/>
      <c r="K585" s="51"/>
    </row>
    <row r="586" spans="2:11" ht="15.75" customHeight="1" x14ac:dyDescent="0.3">
      <c r="B586" s="50"/>
      <c r="K586" s="51"/>
    </row>
    <row r="587" spans="2:11" ht="15.75" customHeight="1" x14ac:dyDescent="0.3">
      <c r="B587" s="50"/>
      <c r="K587" s="51"/>
    </row>
    <row r="588" spans="2:11" ht="15.75" customHeight="1" x14ac:dyDescent="0.3">
      <c r="B588" s="50"/>
      <c r="K588" s="51"/>
    </row>
    <row r="589" spans="2:11" ht="15.75" customHeight="1" x14ac:dyDescent="0.3">
      <c r="B589" s="50"/>
      <c r="K589" s="51"/>
    </row>
    <row r="590" spans="2:11" ht="15.75" customHeight="1" x14ac:dyDescent="0.3">
      <c r="B590" s="50"/>
      <c r="K590" s="51"/>
    </row>
    <row r="591" spans="2:11" ht="15.75" customHeight="1" x14ac:dyDescent="0.3">
      <c r="B591" s="50"/>
      <c r="K591" s="51"/>
    </row>
    <row r="592" spans="2:11" ht="15.75" customHeight="1" x14ac:dyDescent="0.3">
      <c r="B592" s="50"/>
      <c r="K592" s="51"/>
    </row>
    <row r="593" spans="2:11" ht="15.75" customHeight="1" x14ac:dyDescent="0.3">
      <c r="B593" s="50"/>
      <c r="K593" s="51"/>
    </row>
    <row r="594" spans="2:11" ht="15.75" customHeight="1" x14ac:dyDescent="0.3">
      <c r="B594" s="50"/>
      <c r="K594" s="51"/>
    </row>
    <row r="595" spans="2:11" ht="15.75" customHeight="1" x14ac:dyDescent="0.3">
      <c r="B595" s="50"/>
      <c r="K595" s="51"/>
    </row>
    <row r="596" spans="2:11" ht="15.75" customHeight="1" x14ac:dyDescent="0.3">
      <c r="B596" s="50"/>
      <c r="K596" s="51"/>
    </row>
    <row r="597" spans="2:11" ht="15.75" customHeight="1" x14ac:dyDescent="0.3">
      <c r="B597" s="50"/>
      <c r="K597" s="51"/>
    </row>
    <row r="598" spans="2:11" ht="15.75" customHeight="1" x14ac:dyDescent="0.3">
      <c r="B598" s="50"/>
      <c r="K598" s="51"/>
    </row>
    <row r="599" spans="2:11" ht="15.75" customHeight="1" x14ac:dyDescent="0.3">
      <c r="B599" s="50"/>
      <c r="K599" s="51"/>
    </row>
    <row r="600" spans="2:11" ht="15.75" customHeight="1" x14ac:dyDescent="0.3">
      <c r="B600" s="50"/>
      <c r="K600" s="51"/>
    </row>
    <row r="601" spans="2:11" ht="15.75" customHeight="1" x14ac:dyDescent="0.3">
      <c r="B601" s="50"/>
      <c r="K601" s="51"/>
    </row>
    <row r="602" spans="2:11" ht="15.75" customHeight="1" x14ac:dyDescent="0.3">
      <c r="B602" s="50"/>
      <c r="K602" s="51"/>
    </row>
    <row r="603" spans="2:11" ht="15.75" customHeight="1" x14ac:dyDescent="0.3">
      <c r="B603" s="50"/>
      <c r="K603" s="51"/>
    </row>
    <row r="604" spans="2:11" ht="15.75" customHeight="1" x14ac:dyDescent="0.3">
      <c r="B604" s="50"/>
      <c r="K604" s="51"/>
    </row>
    <row r="605" spans="2:11" ht="15.75" customHeight="1" x14ac:dyDescent="0.3">
      <c r="B605" s="50"/>
      <c r="K605" s="51"/>
    </row>
    <row r="606" spans="2:11" ht="15.75" customHeight="1" x14ac:dyDescent="0.3">
      <c r="B606" s="50"/>
      <c r="K606" s="51"/>
    </row>
    <row r="607" spans="2:11" ht="15.75" customHeight="1" x14ac:dyDescent="0.3">
      <c r="B607" s="50"/>
      <c r="K607" s="51"/>
    </row>
    <row r="608" spans="2:11" ht="15.75" customHeight="1" x14ac:dyDescent="0.3">
      <c r="B608" s="50"/>
      <c r="K608" s="51"/>
    </row>
    <row r="609" spans="2:11" ht="15.75" customHeight="1" x14ac:dyDescent="0.3">
      <c r="B609" s="50"/>
      <c r="K609" s="51"/>
    </row>
    <row r="610" spans="2:11" ht="15.75" customHeight="1" x14ac:dyDescent="0.3">
      <c r="B610" s="50"/>
      <c r="K610" s="51"/>
    </row>
    <row r="611" spans="2:11" ht="15.75" customHeight="1" x14ac:dyDescent="0.3">
      <c r="B611" s="50"/>
      <c r="K611" s="51"/>
    </row>
    <row r="612" spans="2:11" ht="15.75" customHeight="1" x14ac:dyDescent="0.3">
      <c r="B612" s="50"/>
      <c r="K612" s="51"/>
    </row>
    <row r="613" spans="2:11" ht="15.75" customHeight="1" x14ac:dyDescent="0.3">
      <c r="B613" s="50"/>
      <c r="K613" s="51"/>
    </row>
    <row r="614" spans="2:11" ht="15.75" customHeight="1" x14ac:dyDescent="0.3">
      <c r="B614" s="50"/>
      <c r="K614" s="51"/>
    </row>
    <row r="615" spans="2:11" ht="15.75" customHeight="1" x14ac:dyDescent="0.3">
      <c r="B615" s="50"/>
      <c r="K615" s="51"/>
    </row>
    <row r="616" spans="2:11" ht="15.75" customHeight="1" x14ac:dyDescent="0.3">
      <c r="B616" s="50"/>
      <c r="K616" s="51"/>
    </row>
    <row r="617" spans="2:11" ht="15.75" customHeight="1" x14ac:dyDescent="0.3">
      <c r="B617" s="50"/>
      <c r="K617" s="51"/>
    </row>
    <row r="618" spans="2:11" ht="15.75" customHeight="1" x14ac:dyDescent="0.3">
      <c r="B618" s="50"/>
      <c r="K618" s="51"/>
    </row>
    <row r="619" spans="2:11" ht="15.75" customHeight="1" x14ac:dyDescent="0.3">
      <c r="B619" s="50"/>
      <c r="K619" s="51"/>
    </row>
    <row r="620" spans="2:11" ht="15.75" customHeight="1" x14ac:dyDescent="0.3">
      <c r="B620" s="50"/>
      <c r="K620" s="51"/>
    </row>
    <row r="621" spans="2:11" ht="15.75" customHeight="1" x14ac:dyDescent="0.3">
      <c r="B621" s="50"/>
      <c r="K621" s="51"/>
    </row>
    <row r="622" spans="2:11" ht="15.75" customHeight="1" x14ac:dyDescent="0.3">
      <c r="B622" s="50"/>
      <c r="K622" s="51"/>
    </row>
    <row r="623" spans="2:11" ht="15.75" customHeight="1" x14ac:dyDescent="0.3">
      <c r="B623" s="50"/>
      <c r="K623" s="51"/>
    </row>
    <row r="624" spans="2:11" ht="15.75" customHeight="1" x14ac:dyDescent="0.3">
      <c r="B624" s="50"/>
      <c r="K624" s="51"/>
    </row>
    <row r="625" spans="2:11" ht="15.75" customHeight="1" x14ac:dyDescent="0.3">
      <c r="B625" s="50"/>
      <c r="K625" s="51"/>
    </row>
    <row r="626" spans="2:11" ht="15.75" customHeight="1" x14ac:dyDescent="0.3">
      <c r="B626" s="50"/>
      <c r="K626" s="51"/>
    </row>
    <row r="627" spans="2:11" ht="15.75" customHeight="1" x14ac:dyDescent="0.3">
      <c r="B627" s="50"/>
      <c r="K627" s="51"/>
    </row>
    <row r="628" spans="2:11" ht="15.75" customHeight="1" x14ac:dyDescent="0.3">
      <c r="B628" s="50"/>
      <c r="K628" s="51"/>
    </row>
    <row r="629" spans="2:11" ht="15.75" customHeight="1" x14ac:dyDescent="0.3">
      <c r="B629" s="50"/>
      <c r="K629" s="51"/>
    </row>
    <row r="630" spans="2:11" ht="15.75" customHeight="1" x14ac:dyDescent="0.3">
      <c r="B630" s="50"/>
      <c r="K630" s="51"/>
    </row>
    <row r="631" spans="2:11" ht="15.75" customHeight="1" x14ac:dyDescent="0.3">
      <c r="B631" s="50"/>
      <c r="K631" s="51"/>
    </row>
    <row r="632" spans="2:11" ht="15.75" customHeight="1" x14ac:dyDescent="0.3">
      <c r="B632" s="50"/>
      <c r="K632" s="51"/>
    </row>
    <row r="633" spans="2:11" ht="15.75" customHeight="1" x14ac:dyDescent="0.3">
      <c r="B633" s="50"/>
      <c r="K633" s="51"/>
    </row>
    <row r="634" spans="2:11" ht="15.75" customHeight="1" x14ac:dyDescent="0.3">
      <c r="B634" s="50"/>
      <c r="K634" s="51"/>
    </row>
    <row r="635" spans="2:11" ht="15.75" customHeight="1" x14ac:dyDescent="0.3">
      <c r="B635" s="50"/>
      <c r="K635" s="51"/>
    </row>
    <row r="636" spans="2:11" ht="15.75" customHeight="1" x14ac:dyDescent="0.3">
      <c r="B636" s="50"/>
      <c r="K636" s="51"/>
    </row>
    <row r="637" spans="2:11" ht="15.75" customHeight="1" x14ac:dyDescent="0.3">
      <c r="B637" s="50"/>
      <c r="K637" s="51"/>
    </row>
    <row r="638" spans="2:11" ht="15.75" customHeight="1" x14ac:dyDescent="0.3">
      <c r="B638" s="50"/>
      <c r="K638" s="51"/>
    </row>
    <row r="639" spans="2:11" ht="15.75" customHeight="1" x14ac:dyDescent="0.3">
      <c r="B639" s="50"/>
      <c r="K639" s="51"/>
    </row>
    <row r="640" spans="2:11" ht="15.75" customHeight="1" x14ac:dyDescent="0.3">
      <c r="B640" s="50"/>
      <c r="K640" s="51"/>
    </row>
    <row r="641" spans="2:11" ht="15.75" customHeight="1" x14ac:dyDescent="0.3">
      <c r="B641" s="50"/>
      <c r="K641" s="51"/>
    </row>
    <row r="642" spans="2:11" ht="15.75" customHeight="1" x14ac:dyDescent="0.3">
      <c r="B642" s="50"/>
      <c r="K642" s="51"/>
    </row>
    <row r="643" spans="2:11" ht="15.75" customHeight="1" x14ac:dyDescent="0.3">
      <c r="B643" s="50"/>
      <c r="K643" s="51"/>
    </row>
    <row r="644" spans="2:11" ht="15.75" customHeight="1" x14ac:dyDescent="0.3">
      <c r="B644" s="50"/>
      <c r="K644" s="51"/>
    </row>
    <row r="645" spans="2:11" ht="15.75" customHeight="1" x14ac:dyDescent="0.3">
      <c r="B645" s="50"/>
      <c r="K645" s="51"/>
    </row>
    <row r="646" spans="2:11" ht="15.75" customHeight="1" x14ac:dyDescent="0.3">
      <c r="B646" s="50"/>
      <c r="K646" s="51"/>
    </row>
    <row r="647" spans="2:11" ht="15.75" customHeight="1" x14ac:dyDescent="0.3">
      <c r="B647" s="50"/>
      <c r="K647" s="51"/>
    </row>
    <row r="648" spans="2:11" ht="15.75" customHeight="1" x14ac:dyDescent="0.3">
      <c r="B648" s="50"/>
      <c r="K648" s="51"/>
    </row>
    <row r="649" spans="2:11" ht="15.75" customHeight="1" x14ac:dyDescent="0.3">
      <c r="B649" s="50"/>
      <c r="K649" s="51"/>
    </row>
    <row r="650" spans="2:11" ht="15.75" customHeight="1" x14ac:dyDescent="0.3">
      <c r="B650" s="50"/>
      <c r="K650" s="51"/>
    </row>
    <row r="651" spans="2:11" ht="15.75" customHeight="1" x14ac:dyDescent="0.3">
      <c r="B651" s="50"/>
      <c r="K651" s="51"/>
    </row>
    <row r="652" spans="2:11" ht="15.75" customHeight="1" x14ac:dyDescent="0.3">
      <c r="B652" s="50"/>
      <c r="K652" s="51"/>
    </row>
    <row r="653" spans="2:11" ht="15.75" customHeight="1" x14ac:dyDescent="0.3">
      <c r="B653" s="50"/>
      <c r="K653" s="51"/>
    </row>
    <row r="654" spans="2:11" ht="15.75" customHeight="1" x14ac:dyDescent="0.3">
      <c r="B654" s="50"/>
      <c r="K654" s="51"/>
    </row>
    <row r="655" spans="2:11" ht="15.75" customHeight="1" x14ac:dyDescent="0.3">
      <c r="B655" s="50"/>
      <c r="K655" s="51"/>
    </row>
    <row r="656" spans="2:11" ht="15.75" customHeight="1" x14ac:dyDescent="0.3">
      <c r="B656" s="50"/>
      <c r="K656" s="51"/>
    </row>
    <row r="657" spans="2:11" ht="15.75" customHeight="1" x14ac:dyDescent="0.3">
      <c r="B657" s="50"/>
      <c r="K657" s="51"/>
    </row>
    <row r="658" spans="2:11" ht="15.75" customHeight="1" x14ac:dyDescent="0.3">
      <c r="B658" s="50"/>
      <c r="K658" s="51"/>
    </row>
    <row r="659" spans="2:11" ht="15.75" customHeight="1" x14ac:dyDescent="0.3">
      <c r="B659" s="50"/>
      <c r="K659" s="51"/>
    </row>
    <row r="660" spans="2:11" ht="15.75" customHeight="1" x14ac:dyDescent="0.3">
      <c r="B660" s="50"/>
      <c r="K660" s="51"/>
    </row>
    <row r="661" spans="2:11" ht="15.75" customHeight="1" x14ac:dyDescent="0.3">
      <c r="B661" s="50"/>
      <c r="K661" s="51"/>
    </row>
    <row r="662" spans="2:11" ht="15.75" customHeight="1" x14ac:dyDescent="0.3">
      <c r="B662" s="50"/>
      <c r="K662" s="51"/>
    </row>
    <row r="663" spans="2:11" ht="15.75" customHeight="1" x14ac:dyDescent="0.3">
      <c r="B663" s="50"/>
      <c r="K663" s="51"/>
    </row>
    <row r="664" spans="2:11" ht="15.75" customHeight="1" x14ac:dyDescent="0.3">
      <c r="B664" s="50"/>
      <c r="K664" s="51"/>
    </row>
    <row r="665" spans="2:11" ht="15.75" customHeight="1" x14ac:dyDescent="0.3">
      <c r="B665" s="50"/>
      <c r="K665" s="51"/>
    </row>
    <row r="666" spans="2:11" ht="15.75" customHeight="1" x14ac:dyDescent="0.3">
      <c r="B666" s="50"/>
      <c r="K666" s="51"/>
    </row>
    <row r="667" spans="2:11" ht="15.75" customHeight="1" x14ac:dyDescent="0.3">
      <c r="B667" s="50"/>
      <c r="K667" s="51"/>
    </row>
    <row r="668" spans="2:11" ht="15.75" customHeight="1" x14ac:dyDescent="0.3">
      <c r="B668" s="50"/>
      <c r="K668" s="51"/>
    </row>
    <row r="669" spans="2:11" ht="15.75" customHeight="1" x14ac:dyDescent="0.3">
      <c r="B669" s="50"/>
      <c r="K669" s="51"/>
    </row>
    <row r="670" spans="2:11" ht="15.75" customHeight="1" x14ac:dyDescent="0.3">
      <c r="B670" s="50"/>
      <c r="K670" s="51"/>
    </row>
    <row r="671" spans="2:11" ht="15.75" customHeight="1" x14ac:dyDescent="0.3">
      <c r="B671" s="50"/>
      <c r="K671" s="51"/>
    </row>
    <row r="672" spans="2:11" ht="15.75" customHeight="1" x14ac:dyDescent="0.3">
      <c r="B672" s="50"/>
      <c r="K672" s="51"/>
    </row>
    <row r="673" spans="2:11" ht="15.75" customHeight="1" x14ac:dyDescent="0.3">
      <c r="B673" s="50"/>
      <c r="K673" s="51"/>
    </row>
    <row r="674" spans="2:11" ht="15.75" customHeight="1" x14ac:dyDescent="0.3">
      <c r="B674" s="50"/>
      <c r="K674" s="51"/>
    </row>
    <row r="675" spans="2:11" ht="15.75" customHeight="1" x14ac:dyDescent="0.3">
      <c r="B675" s="50"/>
      <c r="K675" s="51"/>
    </row>
    <row r="676" spans="2:11" ht="15.75" customHeight="1" x14ac:dyDescent="0.3">
      <c r="B676" s="50"/>
      <c r="K676" s="51"/>
    </row>
    <row r="677" spans="2:11" ht="15.75" customHeight="1" x14ac:dyDescent="0.3">
      <c r="B677" s="50"/>
      <c r="K677" s="51"/>
    </row>
    <row r="678" spans="2:11" ht="15.75" customHeight="1" x14ac:dyDescent="0.3">
      <c r="B678" s="50"/>
      <c r="K678" s="51"/>
    </row>
    <row r="679" spans="2:11" ht="15.75" customHeight="1" x14ac:dyDescent="0.3">
      <c r="B679" s="50"/>
      <c r="K679" s="51"/>
    </row>
    <row r="680" spans="2:11" ht="15.75" customHeight="1" x14ac:dyDescent="0.3">
      <c r="B680" s="50"/>
      <c r="K680" s="51"/>
    </row>
    <row r="681" spans="2:11" ht="15.75" customHeight="1" x14ac:dyDescent="0.3">
      <c r="B681" s="50"/>
      <c r="K681" s="51"/>
    </row>
    <row r="682" spans="2:11" ht="15.75" customHeight="1" x14ac:dyDescent="0.3">
      <c r="B682" s="50"/>
      <c r="K682" s="51"/>
    </row>
    <row r="683" spans="2:11" ht="15.75" customHeight="1" x14ac:dyDescent="0.3">
      <c r="B683" s="50"/>
      <c r="K683" s="51"/>
    </row>
    <row r="684" spans="2:11" ht="15.75" customHeight="1" x14ac:dyDescent="0.3">
      <c r="B684" s="50"/>
      <c r="K684" s="51"/>
    </row>
    <row r="685" spans="2:11" ht="15.75" customHeight="1" x14ac:dyDescent="0.3">
      <c r="B685" s="50"/>
      <c r="K685" s="51"/>
    </row>
    <row r="686" spans="2:11" ht="15.75" customHeight="1" x14ac:dyDescent="0.3">
      <c r="B686" s="50"/>
      <c r="K686" s="51"/>
    </row>
    <row r="687" spans="2:11" ht="15.75" customHeight="1" x14ac:dyDescent="0.3">
      <c r="B687" s="50"/>
      <c r="K687" s="51"/>
    </row>
    <row r="688" spans="2:11" ht="15.75" customHeight="1" x14ac:dyDescent="0.3">
      <c r="B688" s="50"/>
      <c r="K688" s="51"/>
    </row>
    <row r="689" spans="2:11" ht="15.75" customHeight="1" x14ac:dyDescent="0.3">
      <c r="B689" s="50"/>
      <c r="K689" s="51"/>
    </row>
    <row r="690" spans="2:11" ht="15.75" customHeight="1" x14ac:dyDescent="0.3">
      <c r="B690" s="50"/>
      <c r="K690" s="51"/>
    </row>
    <row r="691" spans="2:11" ht="15.75" customHeight="1" x14ac:dyDescent="0.3">
      <c r="B691" s="50"/>
      <c r="K691" s="51"/>
    </row>
    <row r="692" spans="2:11" ht="15.75" customHeight="1" x14ac:dyDescent="0.3">
      <c r="B692" s="50"/>
      <c r="K692" s="51"/>
    </row>
    <row r="693" spans="2:11" ht="15.75" customHeight="1" x14ac:dyDescent="0.3">
      <c r="B693" s="50"/>
      <c r="K693" s="51"/>
    </row>
    <row r="694" spans="2:11" ht="15.75" customHeight="1" x14ac:dyDescent="0.3">
      <c r="B694" s="50"/>
      <c r="K694" s="51"/>
    </row>
    <row r="695" spans="2:11" ht="15.75" customHeight="1" x14ac:dyDescent="0.3">
      <c r="B695" s="50"/>
      <c r="K695" s="51"/>
    </row>
    <row r="696" spans="2:11" ht="15.75" customHeight="1" x14ac:dyDescent="0.3">
      <c r="B696" s="50"/>
      <c r="K696" s="51"/>
    </row>
    <row r="697" spans="2:11" ht="15.75" customHeight="1" x14ac:dyDescent="0.3">
      <c r="B697" s="50"/>
      <c r="K697" s="51"/>
    </row>
    <row r="698" spans="2:11" ht="15.75" customHeight="1" x14ac:dyDescent="0.3">
      <c r="B698" s="50"/>
      <c r="K698" s="51"/>
    </row>
    <row r="699" spans="2:11" ht="15.75" customHeight="1" x14ac:dyDescent="0.3">
      <c r="B699" s="50"/>
      <c r="K699" s="51"/>
    </row>
    <row r="700" spans="2:11" ht="15.75" customHeight="1" x14ac:dyDescent="0.3">
      <c r="B700" s="50"/>
      <c r="K700" s="51"/>
    </row>
    <row r="701" spans="2:11" ht="15.75" customHeight="1" x14ac:dyDescent="0.3">
      <c r="B701" s="50"/>
      <c r="K701" s="51"/>
    </row>
    <row r="702" spans="2:11" ht="15.75" customHeight="1" x14ac:dyDescent="0.3">
      <c r="B702" s="50"/>
      <c r="K702" s="51"/>
    </row>
    <row r="703" spans="2:11" ht="15.75" customHeight="1" x14ac:dyDescent="0.3">
      <c r="B703" s="50"/>
      <c r="K703" s="51"/>
    </row>
    <row r="704" spans="2:11" ht="15.75" customHeight="1" x14ac:dyDescent="0.3">
      <c r="B704" s="50"/>
      <c r="K704" s="51"/>
    </row>
    <row r="705" spans="2:11" ht="15.75" customHeight="1" x14ac:dyDescent="0.3">
      <c r="B705" s="50"/>
      <c r="K705" s="51"/>
    </row>
    <row r="706" spans="2:11" ht="15.75" customHeight="1" x14ac:dyDescent="0.3">
      <c r="B706" s="50"/>
      <c r="K706" s="51"/>
    </row>
    <row r="707" spans="2:11" ht="15.75" customHeight="1" x14ac:dyDescent="0.3">
      <c r="B707" s="50"/>
      <c r="K707" s="51"/>
    </row>
    <row r="708" spans="2:11" ht="15.75" customHeight="1" x14ac:dyDescent="0.3">
      <c r="B708" s="50"/>
      <c r="K708" s="51"/>
    </row>
    <row r="709" spans="2:11" ht="15.75" customHeight="1" x14ac:dyDescent="0.3">
      <c r="B709" s="50"/>
      <c r="K709" s="51"/>
    </row>
    <row r="710" spans="2:11" ht="15.75" customHeight="1" x14ac:dyDescent="0.3">
      <c r="B710" s="50"/>
      <c r="K710" s="51"/>
    </row>
    <row r="711" spans="2:11" ht="15.75" customHeight="1" x14ac:dyDescent="0.3">
      <c r="B711" s="50"/>
      <c r="K711" s="51"/>
    </row>
    <row r="712" spans="2:11" ht="15.75" customHeight="1" x14ac:dyDescent="0.3">
      <c r="B712" s="50"/>
      <c r="K712" s="51"/>
    </row>
    <row r="713" spans="2:11" ht="15.75" customHeight="1" x14ac:dyDescent="0.3">
      <c r="B713" s="50"/>
      <c r="K713" s="51"/>
    </row>
    <row r="714" spans="2:11" ht="15.75" customHeight="1" x14ac:dyDescent="0.3">
      <c r="B714" s="50"/>
      <c r="K714" s="51"/>
    </row>
    <row r="715" spans="2:11" ht="15.75" customHeight="1" x14ac:dyDescent="0.3">
      <c r="B715" s="50"/>
      <c r="K715" s="51"/>
    </row>
    <row r="716" spans="2:11" ht="15.75" customHeight="1" x14ac:dyDescent="0.3">
      <c r="B716" s="50"/>
      <c r="K716" s="51"/>
    </row>
    <row r="717" spans="2:11" ht="15.75" customHeight="1" x14ac:dyDescent="0.3">
      <c r="B717" s="50"/>
      <c r="K717" s="51"/>
    </row>
    <row r="718" spans="2:11" ht="15.75" customHeight="1" x14ac:dyDescent="0.3">
      <c r="B718" s="50"/>
      <c r="K718" s="51"/>
    </row>
    <row r="719" spans="2:11" ht="15.75" customHeight="1" x14ac:dyDescent="0.3">
      <c r="B719" s="50"/>
      <c r="K719" s="51"/>
    </row>
    <row r="720" spans="2:11" ht="15.75" customHeight="1" x14ac:dyDescent="0.3">
      <c r="B720" s="50"/>
      <c r="K720" s="51"/>
    </row>
    <row r="721" spans="2:11" ht="15.75" customHeight="1" x14ac:dyDescent="0.3">
      <c r="B721" s="50"/>
      <c r="K721" s="51"/>
    </row>
    <row r="722" spans="2:11" ht="15.75" customHeight="1" x14ac:dyDescent="0.3">
      <c r="B722" s="50"/>
      <c r="K722" s="51"/>
    </row>
    <row r="723" spans="2:11" ht="15.75" customHeight="1" x14ac:dyDescent="0.3">
      <c r="B723" s="50"/>
      <c r="K723" s="51"/>
    </row>
    <row r="724" spans="2:11" ht="15.75" customHeight="1" x14ac:dyDescent="0.3">
      <c r="B724" s="50"/>
      <c r="K724" s="51"/>
    </row>
    <row r="725" spans="2:11" ht="15.75" customHeight="1" x14ac:dyDescent="0.3">
      <c r="B725" s="50"/>
      <c r="K725" s="51"/>
    </row>
    <row r="726" spans="2:11" ht="15.75" customHeight="1" x14ac:dyDescent="0.3">
      <c r="B726" s="50"/>
      <c r="K726" s="51"/>
    </row>
    <row r="727" spans="2:11" ht="15.75" customHeight="1" x14ac:dyDescent="0.3">
      <c r="B727" s="50"/>
      <c r="K727" s="51"/>
    </row>
    <row r="728" spans="2:11" ht="15.75" customHeight="1" x14ac:dyDescent="0.3">
      <c r="B728" s="50"/>
      <c r="K728" s="51"/>
    </row>
    <row r="729" spans="2:11" ht="15.75" customHeight="1" x14ac:dyDescent="0.3">
      <c r="B729" s="50"/>
      <c r="K729" s="51"/>
    </row>
    <row r="730" spans="2:11" ht="15.75" customHeight="1" x14ac:dyDescent="0.3">
      <c r="B730" s="50"/>
      <c r="K730" s="51"/>
    </row>
    <row r="731" spans="2:11" ht="15.75" customHeight="1" x14ac:dyDescent="0.3">
      <c r="B731" s="50"/>
      <c r="K731" s="51"/>
    </row>
    <row r="732" spans="2:11" ht="15.75" customHeight="1" x14ac:dyDescent="0.3">
      <c r="B732" s="50"/>
      <c r="K732" s="51"/>
    </row>
    <row r="733" spans="2:11" ht="15.75" customHeight="1" x14ac:dyDescent="0.3">
      <c r="B733" s="50"/>
      <c r="K733" s="51"/>
    </row>
    <row r="734" spans="2:11" ht="15.75" customHeight="1" x14ac:dyDescent="0.3">
      <c r="B734" s="50"/>
      <c r="K734" s="51"/>
    </row>
    <row r="735" spans="2:11" ht="15.75" customHeight="1" x14ac:dyDescent="0.3">
      <c r="B735" s="50"/>
      <c r="K735" s="51"/>
    </row>
    <row r="736" spans="2:11" ht="15.75" customHeight="1" x14ac:dyDescent="0.3">
      <c r="B736" s="50"/>
      <c r="K736" s="51"/>
    </row>
    <row r="737" spans="2:11" ht="15.75" customHeight="1" x14ac:dyDescent="0.3">
      <c r="B737" s="50"/>
      <c r="K737" s="51"/>
    </row>
    <row r="738" spans="2:11" ht="15.75" customHeight="1" x14ac:dyDescent="0.3">
      <c r="B738" s="50"/>
      <c r="K738" s="51"/>
    </row>
    <row r="739" spans="2:11" ht="15.75" customHeight="1" x14ac:dyDescent="0.3">
      <c r="B739" s="50"/>
      <c r="K739" s="51"/>
    </row>
    <row r="740" spans="2:11" ht="15.75" customHeight="1" x14ac:dyDescent="0.3">
      <c r="B740" s="50"/>
      <c r="K740" s="51"/>
    </row>
    <row r="741" spans="2:11" ht="15.75" customHeight="1" x14ac:dyDescent="0.3">
      <c r="B741" s="50"/>
      <c r="K741" s="51"/>
    </row>
    <row r="742" spans="2:11" ht="15.75" customHeight="1" x14ac:dyDescent="0.3">
      <c r="B742" s="50"/>
      <c r="K742" s="51"/>
    </row>
    <row r="743" spans="2:11" ht="15.75" customHeight="1" x14ac:dyDescent="0.3">
      <c r="B743" s="50"/>
      <c r="K743" s="51"/>
    </row>
    <row r="744" spans="2:11" ht="15.75" customHeight="1" x14ac:dyDescent="0.3">
      <c r="B744" s="50"/>
      <c r="K744" s="51"/>
    </row>
    <row r="745" spans="2:11" ht="15.75" customHeight="1" x14ac:dyDescent="0.3">
      <c r="B745" s="50"/>
      <c r="K745" s="51"/>
    </row>
    <row r="746" spans="2:11" ht="15.75" customHeight="1" x14ac:dyDescent="0.3">
      <c r="B746" s="50"/>
      <c r="K746" s="51"/>
    </row>
    <row r="747" spans="2:11" ht="15.75" customHeight="1" x14ac:dyDescent="0.3">
      <c r="B747" s="50"/>
      <c r="K747" s="51"/>
    </row>
    <row r="748" spans="2:11" ht="15.75" customHeight="1" x14ac:dyDescent="0.3">
      <c r="B748" s="50"/>
      <c r="K748" s="51"/>
    </row>
    <row r="749" spans="2:11" ht="15.75" customHeight="1" x14ac:dyDescent="0.3">
      <c r="B749" s="50"/>
      <c r="K749" s="51"/>
    </row>
    <row r="750" spans="2:11" ht="15.75" customHeight="1" x14ac:dyDescent="0.3">
      <c r="B750" s="50"/>
      <c r="K750" s="51"/>
    </row>
    <row r="751" spans="2:11" ht="15.75" customHeight="1" x14ac:dyDescent="0.3">
      <c r="B751" s="50"/>
      <c r="K751" s="51"/>
    </row>
    <row r="752" spans="2:11" ht="15.75" customHeight="1" x14ac:dyDescent="0.3">
      <c r="B752" s="50"/>
      <c r="K752" s="51"/>
    </row>
    <row r="753" spans="2:11" ht="15.75" customHeight="1" x14ac:dyDescent="0.3">
      <c r="B753" s="50"/>
      <c r="K753" s="51"/>
    </row>
    <row r="754" spans="2:11" ht="15.75" customHeight="1" x14ac:dyDescent="0.3">
      <c r="B754" s="50"/>
      <c r="K754" s="51"/>
    </row>
    <row r="755" spans="2:11" ht="15.75" customHeight="1" x14ac:dyDescent="0.3">
      <c r="B755" s="50"/>
      <c r="K755" s="51"/>
    </row>
    <row r="756" spans="2:11" ht="15.75" customHeight="1" x14ac:dyDescent="0.3">
      <c r="B756" s="50"/>
      <c r="K756" s="51"/>
    </row>
    <row r="757" spans="2:11" ht="15.75" customHeight="1" x14ac:dyDescent="0.3">
      <c r="B757" s="50"/>
      <c r="K757" s="51"/>
    </row>
    <row r="758" spans="2:11" ht="15.75" customHeight="1" x14ac:dyDescent="0.3">
      <c r="B758" s="50"/>
      <c r="K758" s="51"/>
    </row>
    <row r="759" spans="2:11" ht="15.75" customHeight="1" x14ac:dyDescent="0.3">
      <c r="B759" s="50"/>
      <c r="K759" s="51"/>
    </row>
    <row r="760" spans="2:11" ht="15.75" customHeight="1" x14ac:dyDescent="0.3">
      <c r="B760" s="50"/>
      <c r="K760" s="51"/>
    </row>
    <row r="761" spans="2:11" ht="15.75" customHeight="1" x14ac:dyDescent="0.3">
      <c r="B761" s="50"/>
      <c r="K761" s="51"/>
    </row>
    <row r="762" spans="2:11" ht="15.75" customHeight="1" x14ac:dyDescent="0.3">
      <c r="B762" s="50"/>
      <c r="K762" s="51"/>
    </row>
    <row r="763" spans="2:11" ht="15.75" customHeight="1" x14ac:dyDescent="0.3">
      <c r="B763" s="50"/>
      <c r="K763" s="51"/>
    </row>
    <row r="764" spans="2:11" ht="15.75" customHeight="1" x14ac:dyDescent="0.3">
      <c r="B764" s="50"/>
      <c r="K764" s="51"/>
    </row>
    <row r="765" spans="2:11" ht="15.75" customHeight="1" x14ac:dyDescent="0.3">
      <c r="B765" s="50"/>
      <c r="K765" s="51"/>
    </row>
    <row r="766" spans="2:11" ht="15.75" customHeight="1" x14ac:dyDescent="0.3">
      <c r="B766" s="50"/>
      <c r="K766" s="51"/>
    </row>
    <row r="767" spans="2:11" ht="15.75" customHeight="1" x14ac:dyDescent="0.3">
      <c r="B767" s="50"/>
      <c r="K767" s="51"/>
    </row>
    <row r="768" spans="2:11" ht="15.75" customHeight="1" x14ac:dyDescent="0.3">
      <c r="B768" s="50"/>
      <c r="K768" s="51"/>
    </row>
    <row r="769" spans="2:11" ht="15.75" customHeight="1" x14ac:dyDescent="0.3">
      <c r="B769" s="50"/>
      <c r="K769" s="51"/>
    </row>
    <row r="770" spans="2:11" ht="15.75" customHeight="1" x14ac:dyDescent="0.3">
      <c r="B770" s="50"/>
      <c r="K770" s="51"/>
    </row>
    <row r="771" spans="2:11" ht="15.75" customHeight="1" x14ac:dyDescent="0.3">
      <c r="B771" s="50"/>
      <c r="K771" s="51"/>
    </row>
    <row r="772" spans="2:11" ht="15.75" customHeight="1" x14ac:dyDescent="0.3">
      <c r="B772" s="50"/>
      <c r="K772" s="51"/>
    </row>
    <row r="773" spans="2:11" ht="15.75" customHeight="1" x14ac:dyDescent="0.3">
      <c r="B773" s="50"/>
      <c r="K773" s="51"/>
    </row>
    <row r="774" spans="2:11" ht="15.75" customHeight="1" x14ac:dyDescent="0.3">
      <c r="B774" s="50"/>
      <c r="K774" s="51"/>
    </row>
    <row r="775" spans="2:11" ht="15.75" customHeight="1" x14ac:dyDescent="0.3">
      <c r="B775" s="50"/>
      <c r="K775" s="51"/>
    </row>
    <row r="776" spans="2:11" ht="15.75" customHeight="1" x14ac:dyDescent="0.3">
      <c r="B776" s="50"/>
      <c r="K776" s="51"/>
    </row>
    <row r="777" spans="2:11" ht="15.75" customHeight="1" x14ac:dyDescent="0.3">
      <c r="B777" s="50"/>
      <c r="K777" s="51"/>
    </row>
    <row r="778" spans="2:11" ht="15.75" customHeight="1" x14ac:dyDescent="0.3">
      <c r="B778" s="50"/>
      <c r="K778" s="51"/>
    </row>
    <row r="779" spans="2:11" ht="15.75" customHeight="1" x14ac:dyDescent="0.3">
      <c r="B779" s="50"/>
      <c r="K779" s="51"/>
    </row>
    <row r="780" spans="2:11" ht="15.75" customHeight="1" x14ac:dyDescent="0.3">
      <c r="B780" s="50"/>
      <c r="K780" s="51"/>
    </row>
    <row r="781" spans="2:11" ht="15.75" customHeight="1" x14ac:dyDescent="0.3">
      <c r="B781" s="50"/>
      <c r="K781" s="51"/>
    </row>
    <row r="782" spans="2:11" ht="15.75" customHeight="1" x14ac:dyDescent="0.3">
      <c r="B782" s="50"/>
      <c r="K782" s="51"/>
    </row>
    <row r="783" spans="2:11" ht="15.75" customHeight="1" x14ac:dyDescent="0.3">
      <c r="B783" s="50"/>
      <c r="K783" s="51"/>
    </row>
    <row r="784" spans="2:11" ht="15.75" customHeight="1" x14ac:dyDescent="0.3">
      <c r="B784" s="50"/>
      <c r="K784" s="51"/>
    </row>
    <row r="785" spans="2:11" ht="15.75" customHeight="1" x14ac:dyDescent="0.3">
      <c r="B785" s="50"/>
      <c r="K785" s="51"/>
    </row>
    <row r="786" spans="2:11" ht="15.75" customHeight="1" x14ac:dyDescent="0.3">
      <c r="B786" s="50"/>
      <c r="K786" s="51"/>
    </row>
    <row r="787" spans="2:11" ht="15.75" customHeight="1" x14ac:dyDescent="0.3">
      <c r="B787" s="50"/>
      <c r="K787" s="51"/>
    </row>
    <row r="788" spans="2:11" ht="15.75" customHeight="1" x14ac:dyDescent="0.3">
      <c r="B788" s="50"/>
      <c r="K788" s="51"/>
    </row>
    <row r="789" spans="2:11" ht="15.75" customHeight="1" x14ac:dyDescent="0.3">
      <c r="B789" s="50"/>
      <c r="K789" s="51"/>
    </row>
    <row r="790" spans="2:11" ht="15.75" customHeight="1" x14ac:dyDescent="0.3">
      <c r="B790" s="50"/>
      <c r="K790" s="51"/>
    </row>
    <row r="791" spans="2:11" ht="15.75" customHeight="1" x14ac:dyDescent="0.3">
      <c r="B791" s="50"/>
      <c r="K791" s="51"/>
    </row>
    <row r="792" spans="2:11" ht="15.75" customHeight="1" x14ac:dyDescent="0.3">
      <c r="B792" s="50"/>
      <c r="K792" s="51"/>
    </row>
    <row r="793" spans="2:11" ht="15.75" customHeight="1" x14ac:dyDescent="0.3">
      <c r="B793" s="50"/>
      <c r="K793" s="51"/>
    </row>
    <row r="794" spans="2:11" ht="15.75" customHeight="1" x14ac:dyDescent="0.3">
      <c r="B794" s="50"/>
      <c r="K794" s="51"/>
    </row>
    <row r="795" spans="2:11" ht="15.75" customHeight="1" x14ac:dyDescent="0.3">
      <c r="B795" s="50"/>
      <c r="K795" s="51"/>
    </row>
    <row r="796" spans="2:11" ht="15.75" customHeight="1" x14ac:dyDescent="0.3">
      <c r="B796" s="50"/>
      <c r="K796" s="51"/>
    </row>
    <row r="797" spans="2:11" ht="15.75" customHeight="1" x14ac:dyDescent="0.3">
      <c r="B797" s="50"/>
      <c r="K797" s="51"/>
    </row>
    <row r="798" spans="2:11" ht="15.75" customHeight="1" x14ac:dyDescent="0.3">
      <c r="B798" s="50"/>
      <c r="K798" s="51"/>
    </row>
    <row r="799" spans="2:11" ht="15.75" customHeight="1" x14ac:dyDescent="0.3">
      <c r="B799" s="50"/>
      <c r="K799" s="51"/>
    </row>
    <row r="800" spans="2:11" ht="15.75" customHeight="1" x14ac:dyDescent="0.3">
      <c r="B800" s="50"/>
      <c r="K800" s="51"/>
    </row>
    <row r="801" spans="2:11" ht="15.75" customHeight="1" x14ac:dyDescent="0.3">
      <c r="B801" s="50"/>
      <c r="K801" s="51"/>
    </row>
    <row r="802" spans="2:11" ht="15.75" customHeight="1" x14ac:dyDescent="0.3">
      <c r="B802" s="50"/>
      <c r="K802" s="51"/>
    </row>
    <row r="803" spans="2:11" ht="15.75" customHeight="1" x14ac:dyDescent="0.3">
      <c r="B803" s="50"/>
      <c r="K803" s="51"/>
    </row>
    <row r="804" spans="2:11" ht="15.75" customHeight="1" x14ac:dyDescent="0.3">
      <c r="B804" s="50"/>
      <c r="K804" s="51"/>
    </row>
    <row r="805" spans="2:11" ht="15.75" customHeight="1" x14ac:dyDescent="0.3">
      <c r="B805" s="50"/>
      <c r="K805" s="51"/>
    </row>
    <row r="806" spans="2:11" ht="15.75" customHeight="1" x14ac:dyDescent="0.3">
      <c r="B806" s="50"/>
      <c r="K806" s="51"/>
    </row>
    <row r="807" spans="2:11" ht="15.75" customHeight="1" x14ac:dyDescent="0.3">
      <c r="B807" s="50"/>
      <c r="K807" s="51"/>
    </row>
    <row r="808" spans="2:11" ht="15.75" customHeight="1" x14ac:dyDescent="0.3">
      <c r="B808" s="50"/>
      <c r="K808" s="51"/>
    </row>
    <row r="809" spans="2:11" ht="15.75" customHeight="1" x14ac:dyDescent="0.3">
      <c r="B809" s="50"/>
      <c r="K809" s="51"/>
    </row>
    <row r="810" spans="2:11" ht="15.75" customHeight="1" x14ac:dyDescent="0.3">
      <c r="B810" s="50"/>
      <c r="K810" s="51"/>
    </row>
    <row r="811" spans="2:11" ht="15.75" customHeight="1" x14ac:dyDescent="0.3">
      <c r="B811" s="50"/>
      <c r="K811" s="51"/>
    </row>
    <row r="812" spans="2:11" ht="15.75" customHeight="1" x14ac:dyDescent="0.3">
      <c r="B812" s="50"/>
      <c r="K812" s="51"/>
    </row>
    <row r="813" spans="2:11" ht="15.75" customHeight="1" x14ac:dyDescent="0.3">
      <c r="B813" s="50"/>
      <c r="K813" s="51"/>
    </row>
    <row r="814" spans="2:11" ht="15.75" customHeight="1" x14ac:dyDescent="0.3">
      <c r="B814" s="50"/>
      <c r="K814" s="51"/>
    </row>
    <row r="815" spans="2:11" ht="15.75" customHeight="1" x14ac:dyDescent="0.3">
      <c r="B815" s="50"/>
      <c r="K815" s="51"/>
    </row>
    <row r="816" spans="2:11" ht="15.75" customHeight="1" x14ac:dyDescent="0.3">
      <c r="B816" s="50"/>
      <c r="K816" s="51"/>
    </row>
    <row r="817" spans="2:11" ht="15.75" customHeight="1" x14ac:dyDescent="0.3">
      <c r="B817" s="50"/>
      <c r="K817" s="51"/>
    </row>
    <row r="818" spans="2:11" ht="15.75" customHeight="1" x14ac:dyDescent="0.3">
      <c r="B818" s="50"/>
      <c r="K818" s="51"/>
    </row>
    <row r="819" spans="2:11" ht="15.75" customHeight="1" x14ac:dyDescent="0.3">
      <c r="B819" s="50"/>
      <c r="K819" s="51"/>
    </row>
    <row r="820" spans="2:11" ht="15.75" customHeight="1" x14ac:dyDescent="0.3">
      <c r="B820" s="50"/>
      <c r="K820" s="51"/>
    </row>
    <row r="821" spans="2:11" ht="15.75" customHeight="1" x14ac:dyDescent="0.3">
      <c r="B821" s="50"/>
      <c r="K821" s="51"/>
    </row>
    <row r="822" spans="2:11" ht="15.75" customHeight="1" x14ac:dyDescent="0.3">
      <c r="B822" s="50"/>
      <c r="K822" s="51"/>
    </row>
    <row r="823" spans="2:11" ht="15.75" customHeight="1" x14ac:dyDescent="0.3">
      <c r="B823" s="50"/>
      <c r="K823" s="51"/>
    </row>
    <row r="824" spans="2:11" ht="15.75" customHeight="1" x14ac:dyDescent="0.3">
      <c r="B824" s="50"/>
      <c r="K824" s="51"/>
    </row>
    <row r="825" spans="2:11" ht="15.75" customHeight="1" x14ac:dyDescent="0.3">
      <c r="B825" s="50"/>
      <c r="K825" s="51"/>
    </row>
    <row r="826" spans="2:11" ht="15.75" customHeight="1" x14ac:dyDescent="0.3">
      <c r="B826" s="50"/>
      <c r="K826" s="51"/>
    </row>
    <row r="827" spans="2:11" ht="15.75" customHeight="1" x14ac:dyDescent="0.3">
      <c r="B827" s="50"/>
      <c r="K827" s="51"/>
    </row>
    <row r="828" spans="2:11" ht="15.75" customHeight="1" x14ac:dyDescent="0.3">
      <c r="B828" s="50"/>
      <c r="K828" s="51"/>
    </row>
    <row r="829" spans="2:11" ht="15.75" customHeight="1" x14ac:dyDescent="0.3">
      <c r="B829" s="50"/>
      <c r="K829" s="51"/>
    </row>
    <row r="830" spans="2:11" ht="15.75" customHeight="1" x14ac:dyDescent="0.3">
      <c r="B830" s="50"/>
      <c r="K830" s="51"/>
    </row>
    <row r="831" spans="2:11" ht="15.75" customHeight="1" x14ac:dyDescent="0.3">
      <c r="B831" s="50"/>
      <c r="K831" s="51"/>
    </row>
    <row r="832" spans="2:11" ht="15.75" customHeight="1" x14ac:dyDescent="0.3">
      <c r="B832" s="50"/>
      <c r="K832" s="51"/>
    </row>
    <row r="833" spans="2:11" ht="15.75" customHeight="1" x14ac:dyDescent="0.3">
      <c r="B833" s="50"/>
      <c r="K833" s="51"/>
    </row>
    <row r="834" spans="2:11" ht="15.75" customHeight="1" x14ac:dyDescent="0.3">
      <c r="B834" s="50"/>
      <c r="K834" s="51"/>
    </row>
    <row r="835" spans="2:11" ht="15.75" customHeight="1" x14ac:dyDescent="0.3">
      <c r="B835" s="50"/>
      <c r="K835" s="51"/>
    </row>
    <row r="836" spans="2:11" ht="15.75" customHeight="1" x14ac:dyDescent="0.3">
      <c r="B836" s="50"/>
      <c r="K836" s="51"/>
    </row>
    <row r="837" spans="2:11" ht="15.75" customHeight="1" x14ac:dyDescent="0.3">
      <c r="B837" s="50"/>
      <c r="K837" s="51"/>
    </row>
    <row r="838" spans="2:11" ht="15.75" customHeight="1" x14ac:dyDescent="0.3">
      <c r="B838" s="50"/>
      <c r="K838" s="51"/>
    </row>
    <row r="839" spans="2:11" ht="15.75" customHeight="1" x14ac:dyDescent="0.3">
      <c r="B839" s="50"/>
      <c r="K839" s="51"/>
    </row>
    <row r="840" spans="2:11" ht="15.75" customHeight="1" x14ac:dyDescent="0.3">
      <c r="B840" s="50"/>
      <c r="K840" s="51"/>
    </row>
    <row r="841" spans="2:11" ht="15.75" customHeight="1" x14ac:dyDescent="0.3">
      <c r="B841" s="50"/>
      <c r="K841" s="51"/>
    </row>
    <row r="842" spans="2:11" ht="15.75" customHeight="1" x14ac:dyDescent="0.3">
      <c r="B842" s="50"/>
      <c r="K842" s="51"/>
    </row>
    <row r="843" spans="2:11" ht="15.75" customHeight="1" x14ac:dyDescent="0.3">
      <c r="B843" s="50"/>
      <c r="K843" s="51"/>
    </row>
    <row r="844" spans="2:11" ht="15.75" customHeight="1" x14ac:dyDescent="0.3">
      <c r="B844" s="50"/>
      <c r="K844" s="51"/>
    </row>
    <row r="845" spans="2:11" ht="15.75" customHeight="1" x14ac:dyDescent="0.3">
      <c r="B845" s="50"/>
      <c r="K845" s="51"/>
    </row>
    <row r="846" spans="2:11" ht="15.75" customHeight="1" x14ac:dyDescent="0.3">
      <c r="B846" s="50"/>
      <c r="K846" s="51"/>
    </row>
    <row r="847" spans="2:11" ht="15.75" customHeight="1" x14ac:dyDescent="0.3">
      <c r="B847" s="50"/>
      <c r="K847" s="51"/>
    </row>
    <row r="848" spans="2:11" ht="15.75" customHeight="1" x14ac:dyDescent="0.3">
      <c r="B848" s="50"/>
      <c r="K848" s="51"/>
    </row>
    <row r="849" spans="2:11" ht="15.75" customHeight="1" x14ac:dyDescent="0.3">
      <c r="B849" s="50"/>
      <c r="K849" s="51"/>
    </row>
    <row r="850" spans="2:11" ht="15.75" customHeight="1" x14ac:dyDescent="0.3">
      <c r="B850" s="50"/>
      <c r="K850" s="51"/>
    </row>
    <row r="851" spans="2:11" ht="15.75" customHeight="1" x14ac:dyDescent="0.3">
      <c r="B851" s="50"/>
      <c r="K851" s="51"/>
    </row>
    <row r="852" spans="2:11" ht="15.75" customHeight="1" x14ac:dyDescent="0.3">
      <c r="B852" s="50"/>
      <c r="K852" s="51"/>
    </row>
    <row r="853" spans="2:11" ht="15.75" customHeight="1" x14ac:dyDescent="0.3">
      <c r="B853" s="50"/>
      <c r="K853" s="51"/>
    </row>
    <row r="854" spans="2:11" ht="15.75" customHeight="1" x14ac:dyDescent="0.3">
      <c r="B854" s="50"/>
      <c r="K854" s="51"/>
    </row>
    <row r="855" spans="2:11" ht="15.75" customHeight="1" x14ac:dyDescent="0.3">
      <c r="B855" s="50"/>
      <c r="K855" s="51"/>
    </row>
    <row r="856" spans="2:11" ht="15.75" customHeight="1" x14ac:dyDescent="0.3">
      <c r="B856" s="50"/>
      <c r="K856" s="51"/>
    </row>
    <row r="857" spans="2:11" ht="15.75" customHeight="1" x14ac:dyDescent="0.3">
      <c r="B857" s="50"/>
      <c r="K857" s="51"/>
    </row>
    <row r="858" spans="2:11" ht="15.75" customHeight="1" x14ac:dyDescent="0.3">
      <c r="B858" s="50"/>
      <c r="K858" s="51"/>
    </row>
    <row r="859" spans="2:11" ht="15.75" customHeight="1" x14ac:dyDescent="0.3">
      <c r="B859" s="50"/>
      <c r="K859" s="51"/>
    </row>
    <row r="860" spans="2:11" ht="15.75" customHeight="1" x14ac:dyDescent="0.3">
      <c r="B860" s="50"/>
      <c r="K860" s="51"/>
    </row>
    <row r="861" spans="2:11" ht="15.75" customHeight="1" x14ac:dyDescent="0.3">
      <c r="B861" s="50"/>
      <c r="K861" s="51"/>
    </row>
    <row r="862" spans="2:11" ht="15.75" customHeight="1" x14ac:dyDescent="0.3">
      <c r="B862" s="50"/>
      <c r="K862" s="51"/>
    </row>
    <row r="863" spans="2:11" ht="15.75" customHeight="1" x14ac:dyDescent="0.3">
      <c r="B863" s="50"/>
      <c r="K863" s="51"/>
    </row>
    <row r="864" spans="2:11" ht="15.75" customHeight="1" x14ac:dyDescent="0.3">
      <c r="B864" s="50"/>
      <c r="K864" s="51"/>
    </row>
    <row r="865" spans="2:11" ht="15.75" customHeight="1" x14ac:dyDescent="0.3">
      <c r="B865" s="50"/>
      <c r="K865" s="51"/>
    </row>
    <row r="866" spans="2:11" ht="15.75" customHeight="1" x14ac:dyDescent="0.3">
      <c r="B866" s="50"/>
      <c r="K866" s="51"/>
    </row>
    <row r="867" spans="2:11" ht="15.75" customHeight="1" x14ac:dyDescent="0.3">
      <c r="B867" s="50"/>
      <c r="K867" s="51"/>
    </row>
    <row r="868" spans="2:11" ht="15.75" customHeight="1" x14ac:dyDescent="0.3">
      <c r="B868" s="50"/>
      <c r="K868" s="51"/>
    </row>
    <row r="869" spans="2:11" ht="15.75" customHeight="1" x14ac:dyDescent="0.3">
      <c r="B869" s="50"/>
      <c r="K869" s="51"/>
    </row>
    <row r="870" spans="2:11" ht="15.75" customHeight="1" x14ac:dyDescent="0.3">
      <c r="B870" s="50"/>
      <c r="K870" s="51"/>
    </row>
    <row r="871" spans="2:11" ht="15.75" customHeight="1" x14ac:dyDescent="0.3">
      <c r="B871" s="50"/>
      <c r="K871" s="51"/>
    </row>
    <row r="872" spans="2:11" ht="15.75" customHeight="1" x14ac:dyDescent="0.3">
      <c r="B872" s="50"/>
      <c r="K872" s="51"/>
    </row>
    <row r="873" spans="2:11" ht="15.75" customHeight="1" x14ac:dyDescent="0.3">
      <c r="B873" s="50"/>
      <c r="K873" s="51"/>
    </row>
    <row r="874" spans="2:11" ht="15.75" customHeight="1" x14ac:dyDescent="0.3">
      <c r="B874" s="50"/>
      <c r="K874" s="51"/>
    </row>
    <row r="875" spans="2:11" ht="15.75" customHeight="1" x14ac:dyDescent="0.3">
      <c r="B875" s="50"/>
      <c r="K875" s="51"/>
    </row>
    <row r="876" spans="2:11" ht="15.75" customHeight="1" x14ac:dyDescent="0.3">
      <c r="B876" s="50"/>
      <c r="K876" s="51"/>
    </row>
    <row r="877" spans="2:11" ht="15.75" customHeight="1" x14ac:dyDescent="0.3">
      <c r="B877" s="50"/>
      <c r="K877" s="51"/>
    </row>
    <row r="878" spans="2:11" ht="15.75" customHeight="1" x14ac:dyDescent="0.3">
      <c r="B878" s="50"/>
      <c r="K878" s="51"/>
    </row>
    <row r="879" spans="2:11" ht="15.75" customHeight="1" x14ac:dyDescent="0.3">
      <c r="B879" s="50"/>
      <c r="K879" s="51"/>
    </row>
    <row r="880" spans="2:11" ht="15.75" customHeight="1" x14ac:dyDescent="0.3">
      <c r="B880" s="50"/>
      <c r="K880" s="51"/>
    </row>
    <row r="881" spans="2:11" ht="15.75" customHeight="1" x14ac:dyDescent="0.3">
      <c r="B881" s="50"/>
      <c r="K881" s="51"/>
    </row>
    <row r="882" spans="2:11" ht="15.75" customHeight="1" x14ac:dyDescent="0.3">
      <c r="B882" s="50"/>
      <c r="K882" s="51"/>
    </row>
    <row r="883" spans="2:11" ht="15.75" customHeight="1" x14ac:dyDescent="0.3">
      <c r="B883" s="50"/>
      <c r="K883" s="51"/>
    </row>
    <row r="884" spans="2:11" ht="15.75" customHeight="1" x14ac:dyDescent="0.3">
      <c r="B884" s="50"/>
      <c r="K884" s="51"/>
    </row>
    <row r="885" spans="2:11" ht="15.75" customHeight="1" x14ac:dyDescent="0.3">
      <c r="B885" s="50"/>
      <c r="K885" s="51"/>
    </row>
    <row r="886" spans="2:11" ht="15.75" customHeight="1" x14ac:dyDescent="0.3">
      <c r="B886" s="50"/>
      <c r="K886" s="51"/>
    </row>
    <row r="887" spans="2:11" ht="15.75" customHeight="1" x14ac:dyDescent="0.3">
      <c r="B887" s="50"/>
      <c r="K887" s="51"/>
    </row>
    <row r="888" spans="2:11" ht="15.75" customHeight="1" x14ac:dyDescent="0.3">
      <c r="B888" s="50"/>
      <c r="K888" s="51"/>
    </row>
    <row r="889" spans="2:11" ht="15.75" customHeight="1" x14ac:dyDescent="0.3">
      <c r="B889" s="50"/>
      <c r="K889" s="51"/>
    </row>
    <row r="890" spans="2:11" ht="15.75" customHeight="1" x14ac:dyDescent="0.3">
      <c r="B890" s="50"/>
      <c r="K890" s="51"/>
    </row>
    <row r="891" spans="2:11" ht="15.75" customHeight="1" x14ac:dyDescent="0.3">
      <c r="B891" s="50"/>
      <c r="K891" s="51"/>
    </row>
    <row r="892" spans="2:11" ht="15.75" customHeight="1" x14ac:dyDescent="0.3">
      <c r="B892" s="50"/>
      <c r="K892" s="51"/>
    </row>
    <row r="893" spans="2:11" ht="15.75" customHeight="1" x14ac:dyDescent="0.3">
      <c r="B893" s="50"/>
      <c r="K893" s="51"/>
    </row>
    <row r="894" spans="2:11" ht="15.75" customHeight="1" x14ac:dyDescent="0.3">
      <c r="B894" s="50"/>
      <c r="K894" s="51"/>
    </row>
    <row r="895" spans="2:11" ht="15.75" customHeight="1" x14ac:dyDescent="0.3">
      <c r="B895" s="50"/>
      <c r="K895" s="51"/>
    </row>
    <row r="896" spans="2:11" ht="15.75" customHeight="1" x14ac:dyDescent="0.3">
      <c r="B896" s="50"/>
      <c r="K896" s="51"/>
    </row>
    <row r="897" spans="2:11" ht="15.75" customHeight="1" x14ac:dyDescent="0.3">
      <c r="B897" s="50"/>
      <c r="K897" s="51"/>
    </row>
    <row r="898" spans="2:11" ht="15.75" customHeight="1" x14ac:dyDescent="0.3">
      <c r="B898" s="50"/>
      <c r="K898" s="51"/>
    </row>
    <row r="899" spans="2:11" ht="15.75" customHeight="1" x14ac:dyDescent="0.3">
      <c r="B899" s="50"/>
      <c r="K899" s="51"/>
    </row>
    <row r="900" spans="2:11" ht="15.75" customHeight="1" x14ac:dyDescent="0.3">
      <c r="B900" s="50"/>
      <c r="K900" s="51"/>
    </row>
    <row r="901" spans="2:11" ht="15.75" customHeight="1" x14ac:dyDescent="0.3">
      <c r="B901" s="50"/>
      <c r="K901" s="51"/>
    </row>
    <row r="902" spans="2:11" ht="15.75" customHeight="1" x14ac:dyDescent="0.3">
      <c r="B902" s="50"/>
      <c r="K902" s="51"/>
    </row>
    <row r="903" spans="2:11" ht="15.75" customHeight="1" x14ac:dyDescent="0.3">
      <c r="B903" s="50"/>
      <c r="K903" s="51"/>
    </row>
    <row r="904" spans="2:11" ht="15.75" customHeight="1" x14ac:dyDescent="0.3">
      <c r="B904" s="50"/>
      <c r="K904" s="51"/>
    </row>
    <row r="905" spans="2:11" ht="15.75" customHeight="1" x14ac:dyDescent="0.3">
      <c r="B905" s="50"/>
      <c r="K905" s="51"/>
    </row>
    <row r="906" spans="2:11" ht="15.75" customHeight="1" x14ac:dyDescent="0.3">
      <c r="B906" s="50"/>
      <c r="K906" s="51"/>
    </row>
    <row r="907" spans="2:11" ht="15.75" customHeight="1" x14ac:dyDescent="0.3">
      <c r="B907" s="50"/>
      <c r="K907" s="51"/>
    </row>
    <row r="908" spans="2:11" ht="15.75" customHeight="1" x14ac:dyDescent="0.3">
      <c r="B908" s="50"/>
      <c r="K908" s="51"/>
    </row>
    <row r="909" spans="2:11" ht="15.75" customHeight="1" x14ac:dyDescent="0.3">
      <c r="B909" s="50"/>
      <c r="K909" s="51"/>
    </row>
    <row r="910" spans="2:11" ht="15.75" customHeight="1" x14ac:dyDescent="0.3">
      <c r="B910" s="50"/>
      <c r="K910" s="51"/>
    </row>
    <row r="911" spans="2:11" ht="15.75" customHeight="1" x14ac:dyDescent="0.3">
      <c r="B911" s="50"/>
      <c r="K911" s="51"/>
    </row>
    <row r="912" spans="2:11" ht="15.75" customHeight="1" x14ac:dyDescent="0.3">
      <c r="B912" s="50"/>
      <c r="K912" s="51"/>
    </row>
    <row r="913" spans="2:11" ht="15.75" customHeight="1" x14ac:dyDescent="0.3">
      <c r="B913" s="50"/>
      <c r="K913" s="51"/>
    </row>
    <row r="914" spans="2:11" ht="15.75" customHeight="1" x14ac:dyDescent="0.3">
      <c r="B914" s="50"/>
      <c r="K914" s="51"/>
    </row>
    <row r="915" spans="2:11" ht="15.75" customHeight="1" x14ac:dyDescent="0.3">
      <c r="B915" s="50"/>
      <c r="K915" s="51"/>
    </row>
    <row r="916" spans="2:11" ht="15.75" customHeight="1" x14ac:dyDescent="0.3">
      <c r="B916" s="50"/>
      <c r="K916" s="51"/>
    </row>
    <row r="917" spans="2:11" ht="15.75" customHeight="1" x14ac:dyDescent="0.3">
      <c r="B917" s="50"/>
      <c r="K917" s="51"/>
    </row>
    <row r="918" spans="2:11" ht="15.75" customHeight="1" x14ac:dyDescent="0.3">
      <c r="B918" s="50"/>
      <c r="K918" s="51"/>
    </row>
    <row r="919" spans="2:11" ht="15.75" customHeight="1" x14ac:dyDescent="0.3">
      <c r="B919" s="50"/>
      <c r="K919" s="51"/>
    </row>
    <row r="920" spans="2:11" ht="15.75" customHeight="1" x14ac:dyDescent="0.3">
      <c r="B920" s="50"/>
      <c r="K920" s="51"/>
    </row>
    <row r="921" spans="2:11" ht="15.75" customHeight="1" x14ac:dyDescent="0.3">
      <c r="B921" s="50"/>
      <c r="K921" s="51"/>
    </row>
    <row r="922" spans="2:11" ht="15.75" customHeight="1" x14ac:dyDescent="0.3">
      <c r="B922" s="50"/>
      <c r="K922" s="51"/>
    </row>
    <row r="923" spans="2:11" ht="15.75" customHeight="1" x14ac:dyDescent="0.3">
      <c r="B923" s="50"/>
      <c r="K923" s="51"/>
    </row>
    <row r="924" spans="2:11" ht="15.75" customHeight="1" x14ac:dyDescent="0.3">
      <c r="B924" s="50"/>
      <c r="K924" s="51"/>
    </row>
    <row r="925" spans="2:11" ht="15.75" customHeight="1" x14ac:dyDescent="0.3">
      <c r="B925" s="50"/>
      <c r="K925" s="51"/>
    </row>
    <row r="926" spans="2:11" ht="15.75" customHeight="1" x14ac:dyDescent="0.3">
      <c r="B926" s="50"/>
      <c r="K926" s="51"/>
    </row>
    <row r="927" spans="2:11" ht="15.75" customHeight="1" x14ac:dyDescent="0.3">
      <c r="B927" s="50"/>
      <c r="K927" s="51"/>
    </row>
    <row r="928" spans="2:11" ht="15.75" customHeight="1" x14ac:dyDescent="0.3">
      <c r="B928" s="50"/>
      <c r="K928" s="51"/>
    </row>
    <row r="929" spans="2:11" ht="15.75" customHeight="1" x14ac:dyDescent="0.3">
      <c r="B929" s="50"/>
      <c r="K929" s="51"/>
    </row>
    <row r="930" spans="2:11" ht="15.75" customHeight="1" x14ac:dyDescent="0.3">
      <c r="B930" s="50"/>
      <c r="K930" s="51"/>
    </row>
    <row r="931" spans="2:11" ht="15.75" customHeight="1" x14ac:dyDescent="0.3">
      <c r="B931" s="50"/>
      <c r="K931" s="51"/>
    </row>
    <row r="932" spans="2:11" ht="15.75" customHeight="1" x14ac:dyDescent="0.3">
      <c r="B932" s="50"/>
      <c r="K932" s="51"/>
    </row>
    <row r="933" spans="2:11" ht="15.75" customHeight="1" x14ac:dyDescent="0.3">
      <c r="B933" s="50"/>
      <c r="K933" s="51"/>
    </row>
    <row r="934" spans="2:11" ht="15.75" customHeight="1" x14ac:dyDescent="0.3">
      <c r="B934" s="50"/>
      <c r="K934" s="51"/>
    </row>
    <row r="935" spans="2:11" ht="15.75" customHeight="1" x14ac:dyDescent="0.3">
      <c r="B935" s="50"/>
      <c r="K935" s="51"/>
    </row>
    <row r="936" spans="2:11" ht="15.75" customHeight="1" x14ac:dyDescent="0.3">
      <c r="B936" s="50"/>
      <c r="K936" s="51"/>
    </row>
    <row r="937" spans="2:11" ht="15.75" customHeight="1" x14ac:dyDescent="0.3">
      <c r="B937" s="50"/>
      <c r="K937" s="51"/>
    </row>
    <row r="938" spans="2:11" ht="15.75" customHeight="1" x14ac:dyDescent="0.3">
      <c r="B938" s="50"/>
      <c r="K938" s="51"/>
    </row>
    <row r="939" spans="2:11" ht="15.75" customHeight="1" x14ac:dyDescent="0.3">
      <c r="B939" s="50"/>
      <c r="K939" s="51"/>
    </row>
    <row r="940" spans="2:11" ht="15.75" customHeight="1" x14ac:dyDescent="0.3">
      <c r="B940" s="50"/>
      <c r="K940" s="51"/>
    </row>
    <row r="941" spans="2:11" ht="15.75" customHeight="1" x14ac:dyDescent="0.3">
      <c r="B941" s="50"/>
      <c r="K941" s="51"/>
    </row>
    <row r="942" spans="2:11" ht="15.75" customHeight="1" x14ac:dyDescent="0.3">
      <c r="B942" s="50"/>
      <c r="K942" s="51"/>
    </row>
    <row r="943" spans="2:11" ht="15.75" customHeight="1" x14ac:dyDescent="0.3">
      <c r="B943" s="50"/>
      <c r="K943" s="51"/>
    </row>
    <row r="944" spans="2:11" ht="15.75" customHeight="1" x14ac:dyDescent="0.3">
      <c r="B944" s="50"/>
      <c r="K944" s="51"/>
    </row>
    <row r="945" spans="2:11" ht="15.75" customHeight="1" x14ac:dyDescent="0.3">
      <c r="B945" s="50"/>
      <c r="K945" s="51"/>
    </row>
    <row r="946" spans="2:11" ht="15.75" customHeight="1" x14ac:dyDescent="0.3">
      <c r="B946" s="50"/>
      <c r="K946" s="51"/>
    </row>
    <row r="947" spans="2:11" ht="15.75" customHeight="1" x14ac:dyDescent="0.3">
      <c r="B947" s="50"/>
      <c r="K947" s="51"/>
    </row>
    <row r="948" spans="2:11" ht="15.75" customHeight="1" x14ac:dyDescent="0.3">
      <c r="B948" s="50"/>
      <c r="K948" s="51"/>
    </row>
    <row r="949" spans="2:11" ht="15.75" customHeight="1" x14ac:dyDescent="0.3">
      <c r="B949" s="50"/>
      <c r="K949" s="51"/>
    </row>
    <row r="950" spans="2:11" ht="15.75" customHeight="1" x14ac:dyDescent="0.3">
      <c r="B950" s="50"/>
      <c r="K950" s="51"/>
    </row>
    <row r="951" spans="2:11" ht="15.75" customHeight="1" x14ac:dyDescent="0.3">
      <c r="B951" s="50"/>
      <c r="K951" s="51"/>
    </row>
    <row r="952" spans="2:11" ht="15.75" customHeight="1" x14ac:dyDescent="0.3">
      <c r="B952" s="50"/>
      <c r="K952" s="51"/>
    </row>
    <row r="953" spans="2:11" ht="15.75" customHeight="1" x14ac:dyDescent="0.3">
      <c r="B953" s="50"/>
      <c r="K953" s="51"/>
    </row>
    <row r="954" spans="2:11" ht="15.75" customHeight="1" x14ac:dyDescent="0.3">
      <c r="B954" s="50"/>
      <c r="K954" s="51"/>
    </row>
    <row r="955" spans="2:11" ht="15.75" customHeight="1" x14ac:dyDescent="0.3">
      <c r="B955" s="50"/>
      <c r="K955" s="51"/>
    </row>
    <row r="956" spans="2:11" ht="15.75" customHeight="1" x14ac:dyDescent="0.3">
      <c r="B956" s="50"/>
      <c r="K956" s="51"/>
    </row>
    <row r="957" spans="2:11" ht="15.75" customHeight="1" x14ac:dyDescent="0.3">
      <c r="B957" s="50"/>
      <c r="K957" s="51"/>
    </row>
    <row r="958" spans="2:11" ht="15.75" customHeight="1" x14ac:dyDescent="0.3">
      <c r="B958" s="50"/>
      <c r="K958" s="51"/>
    </row>
    <row r="959" spans="2:11" ht="15.75" customHeight="1" x14ac:dyDescent="0.3">
      <c r="B959" s="50"/>
      <c r="K959" s="51"/>
    </row>
    <row r="960" spans="2:11" ht="15.75" customHeight="1" x14ac:dyDescent="0.3">
      <c r="B960" s="50"/>
      <c r="K960" s="51"/>
    </row>
    <row r="961" spans="2:11" ht="15.75" customHeight="1" x14ac:dyDescent="0.3">
      <c r="B961" s="50"/>
      <c r="K961" s="51"/>
    </row>
    <row r="962" spans="2:11" ht="15.75" customHeight="1" x14ac:dyDescent="0.3">
      <c r="B962" s="50"/>
      <c r="K962" s="51"/>
    </row>
    <row r="963" spans="2:11" ht="15.75" customHeight="1" x14ac:dyDescent="0.3">
      <c r="B963" s="50"/>
      <c r="K963" s="51"/>
    </row>
    <row r="964" spans="2:11" ht="15.75" customHeight="1" x14ac:dyDescent="0.3">
      <c r="B964" s="50"/>
      <c r="K964" s="51"/>
    </row>
    <row r="965" spans="2:11" ht="15.75" customHeight="1" x14ac:dyDescent="0.3">
      <c r="B965" s="50"/>
      <c r="K965" s="51"/>
    </row>
    <row r="966" spans="2:11" ht="15.75" customHeight="1" x14ac:dyDescent="0.3">
      <c r="B966" s="50"/>
      <c r="K966" s="51"/>
    </row>
    <row r="967" spans="2:11" ht="15.75" customHeight="1" x14ac:dyDescent="0.3">
      <c r="B967" s="50"/>
      <c r="K967" s="51"/>
    </row>
    <row r="968" spans="2:11" ht="15.75" customHeight="1" x14ac:dyDescent="0.3">
      <c r="B968" s="50"/>
      <c r="K968" s="51"/>
    </row>
    <row r="969" spans="2:11" ht="15.75" customHeight="1" x14ac:dyDescent="0.3">
      <c r="B969" s="50"/>
      <c r="K969" s="51"/>
    </row>
    <row r="970" spans="2:11" ht="15.75" customHeight="1" x14ac:dyDescent="0.3">
      <c r="B970" s="50"/>
      <c r="K970" s="51"/>
    </row>
    <row r="971" spans="2:11" ht="15.75" customHeight="1" x14ac:dyDescent="0.3">
      <c r="B971" s="50"/>
      <c r="K971" s="51"/>
    </row>
    <row r="972" spans="2:11" ht="15.75" customHeight="1" x14ac:dyDescent="0.3">
      <c r="B972" s="50"/>
      <c r="K972" s="51"/>
    </row>
    <row r="973" spans="2:11" ht="15.75" customHeight="1" x14ac:dyDescent="0.3">
      <c r="B973" s="50"/>
      <c r="K973" s="51"/>
    </row>
  </sheetData>
  <mergeCells count="37">
    <mergeCell ref="F48:F49"/>
    <mergeCell ref="G70:G71"/>
    <mergeCell ref="G50:G53"/>
    <mergeCell ref="J50:J53"/>
    <mergeCell ref="I50:I53"/>
    <mergeCell ref="H50:H53"/>
    <mergeCell ref="J70:J71"/>
    <mergeCell ref="H70:H71"/>
    <mergeCell ref="I70:I71"/>
    <mergeCell ref="C50:C53"/>
    <mergeCell ref="C70:C71"/>
    <mergeCell ref="E70:E71"/>
    <mergeCell ref="E50:E53"/>
    <mergeCell ref="F70:F71"/>
    <mergeCell ref="F50:F53"/>
    <mergeCell ref="C66:C69"/>
    <mergeCell ref="E66:E69"/>
    <mergeCell ref="C54:C59"/>
    <mergeCell ref="E54:E59"/>
    <mergeCell ref="C60:C65"/>
    <mergeCell ref="E60:E65"/>
    <mergeCell ref="K66:K69"/>
    <mergeCell ref="F54:F59"/>
    <mergeCell ref="G54:G59"/>
    <mergeCell ref="F60:F65"/>
    <mergeCell ref="F66:F69"/>
    <mergeCell ref="J54:J59"/>
    <mergeCell ref="J60:J65"/>
    <mergeCell ref="J66:J69"/>
    <mergeCell ref="G60:G65"/>
    <mergeCell ref="G66:G69"/>
    <mergeCell ref="H66:H69"/>
    <mergeCell ref="H60:H65"/>
    <mergeCell ref="H54:H59"/>
    <mergeCell ref="I54:I59"/>
    <mergeCell ref="I60:I65"/>
    <mergeCell ref="I66:I69"/>
  </mergeCells>
  <conditionalFormatting sqref="H30:H35">
    <cfRule type="colorScale" priority="61">
      <colorScale>
        <cfvo type="min"/>
        <cfvo type="percentile" val="50"/>
        <cfvo type="max"/>
        <color rgb="FF63BE7B"/>
        <color rgb="FFFFEB84"/>
        <color rgb="FFF8696B"/>
      </colorScale>
    </cfRule>
  </conditionalFormatting>
  <conditionalFormatting sqref="K78 K80:K109 M79:M108">
    <cfRule type="containsText" dxfId="107" priority="55" operator="containsText" text="BAIXO IMPACTO">
      <formula>NOT(ISERROR(SEARCH(("BAIXO IMPACTO"),(K78))))</formula>
    </cfRule>
  </conditionalFormatting>
  <conditionalFormatting sqref="K78 K80:K109 M79:M108">
    <cfRule type="containsText" dxfId="106" priority="56" operator="containsText" text="MÉDIO IMPACTO">
      <formula>NOT(ISERROR(SEARCH(("MÉDIO IMPACTO"),(K78))))</formula>
    </cfRule>
  </conditionalFormatting>
  <conditionalFormatting sqref="K78 K80:K109 M79:M108">
    <cfRule type="containsText" dxfId="105" priority="57" operator="containsText" text="ALTO IMPACTO">
      <formula>NOT(ISERROR(SEARCH(("ALTO IMPACTO"),(K78))))</formula>
    </cfRule>
  </conditionalFormatting>
  <conditionalFormatting sqref="K79">
    <cfRule type="containsText" dxfId="104" priority="49" operator="containsText" text="BAIXO IMPACTO">
      <formula>NOT(ISERROR(SEARCH(("BAIXO IMPACTO"),(K79))))</formula>
    </cfRule>
  </conditionalFormatting>
  <conditionalFormatting sqref="K79">
    <cfRule type="containsText" dxfId="103" priority="50" operator="containsText" text="MÉDIO IMPACTO">
      <formula>NOT(ISERROR(SEARCH(("MÉDIO IMPACTO"),(K79))))</formula>
    </cfRule>
  </conditionalFormatting>
  <conditionalFormatting sqref="K79">
    <cfRule type="containsText" dxfId="102" priority="51" operator="containsText" text="ALTO IMPACTO">
      <formula>NOT(ISERROR(SEARCH(("ALTO IMPACTO"),(K79))))</formula>
    </cfRule>
  </conditionalFormatting>
  <conditionalFormatting sqref="K80">
    <cfRule type="containsText" dxfId="101" priority="43" operator="containsText" text="BAIXO IMPACTO">
      <formula>NOT(ISERROR(SEARCH(("BAIXO IMPACTO"),(K80))))</formula>
    </cfRule>
  </conditionalFormatting>
  <conditionalFormatting sqref="K80">
    <cfRule type="containsText" dxfId="100" priority="44" operator="containsText" text="MÉDIO IMPACTO">
      <formula>NOT(ISERROR(SEARCH(("MÉDIO IMPACTO"),(K80))))</formula>
    </cfRule>
  </conditionalFormatting>
  <conditionalFormatting sqref="K80">
    <cfRule type="containsText" dxfId="99" priority="45" operator="containsText" text="ALTO IMPACTO">
      <formula>NOT(ISERROR(SEARCH(("ALTO IMPACTO"),(K80))))</formula>
    </cfRule>
  </conditionalFormatting>
  <conditionalFormatting sqref="M78">
    <cfRule type="containsText" dxfId="98" priority="7" operator="containsText" text="BAIXO IMPACTO">
      <formula>NOT(ISERROR(SEARCH(("BAIXO IMPACTO"),(M78))))</formula>
    </cfRule>
  </conditionalFormatting>
  <conditionalFormatting sqref="M78">
    <cfRule type="containsText" dxfId="97" priority="8" operator="containsText" text="MÉDIO IMPACTO">
      <formula>NOT(ISERROR(SEARCH(("MÉDIO IMPACTO"),(M78))))</formula>
    </cfRule>
  </conditionalFormatting>
  <conditionalFormatting sqref="M78">
    <cfRule type="containsText" dxfId="96" priority="9" operator="containsText" text="ALTO IMPACTO">
      <formula>NOT(ISERROR(SEARCH(("ALTO IMPACTO"),(M78))))</formula>
    </cfRule>
  </conditionalFormatting>
  <conditionalFormatting sqref="M109">
    <cfRule type="containsText" dxfId="95" priority="1" operator="containsText" text="BAIXO IMPACTO">
      <formula>NOT(ISERROR(SEARCH(("BAIXO IMPACTO"),(M109))))</formula>
    </cfRule>
  </conditionalFormatting>
  <conditionalFormatting sqref="M109">
    <cfRule type="containsText" dxfId="94" priority="2" operator="containsText" text="MÉDIO IMPACTO">
      <formula>NOT(ISERROR(SEARCH(("MÉDIO IMPACTO"),(M109))))</formula>
    </cfRule>
  </conditionalFormatting>
  <conditionalFormatting sqref="M109">
    <cfRule type="containsText" dxfId="93" priority="3" operator="containsText" text="ALTO IMPACTO">
      <formula>NOT(ISERROR(SEARCH(("ALTO IMPACTO"),(M109))))</formula>
    </cfRule>
  </conditionalFormatting>
  <dataValidations count="1">
    <dataValidation type="list" allowBlank="1" showErrorMessage="1" sqref="M109 K78:K109" xr:uid="{00000000-0002-0000-0400-000000000000}">
      <formula1>"ALTO IMPACTO,MÉDIO IMPACTO,BAIXO IMPACTO"</formula1>
    </dataValidation>
  </dataValidations>
  <hyperlinks>
    <hyperlink ref="A78" location="P1!A1" display="[P1]" xr:uid="{00000000-0004-0000-0400-000000000000}"/>
    <hyperlink ref="A79" location="P2!A1" display="[P2]" xr:uid="{00000000-0004-0000-0400-000001000000}"/>
    <hyperlink ref="A80" location="P3!A1" display="[P3]" xr:uid="{00000000-0004-0000-0400-000002000000}"/>
    <hyperlink ref="A81" location="P4!A1" display="[P4]" xr:uid="{00000000-0004-0000-0400-000003000000}"/>
  </hyperlinks>
  <pageMargins left="0.51181102362204722" right="0.51181102362204722" top="0.78740157480314965" bottom="0.78740157480314965" header="0" footer="0"/>
  <pageSetup paperSize="9" scale="65"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2C21B-0DDF-4725-BE66-3E5F09A0EB61}">
  <dimension ref="B69:K141"/>
  <sheetViews>
    <sheetView showGridLines="0" topLeftCell="A4" zoomScale="60" zoomScaleNormal="60" workbookViewId="0">
      <selection activeCell="Z16" sqref="Z16"/>
    </sheetView>
  </sheetViews>
  <sheetFormatPr defaultRowHeight="13.8" x14ac:dyDescent="0.25"/>
  <cols>
    <col min="4" max="4" width="11.59765625" bestFit="1" customWidth="1"/>
  </cols>
  <sheetData>
    <row r="69" spans="2:11" ht="28.5" customHeight="1" x14ac:dyDescent="0.3">
      <c r="B69" s="50"/>
      <c r="D69" s="115"/>
      <c r="G69" s="116"/>
      <c r="H69" t="s">
        <v>146</v>
      </c>
      <c r="I69">
        <f>COUNTIF($F$70:$F$100,H69)</f>
        <v>13</v>
      </c>
      <c r="J69" s="378">
        <f>I69/$I$72</f>
        <v>0.8125</v>
      </c>
      <c r="K69" s="51"/>
    </row>
    <row r="70" spans="2:11" ht="15.75" customHeight="1" x14ac:dyDescent="0.3">
      <c r="B70" s="130" t="str">
        <f>'BASE DA MATRIZ DE RISCOS'!E78</f>
        <v>Legal</v>
      </c>
      <c r="F70" t="str">
        <f>'BASE DA MATRIZ DE RISCOS'!K78</f>
        <v>BAIXO IMPACTO</v>
      </c>
      <c r="G70" s="116"/>
      <c r="H70" t="s">
        <v>138</v>
      </c>
      <c r="I70">
        <f t="shared" ref="I70:I71" si="0">COUNTIF($F$70:$F$100,H70)</f>
        <v>1</v>
      </c>
      <c r="J70" s="378">
        <f t="shared" ref="J70:J71" si="1">I70/$I$72</f>
        <v>6.25E-2</v>
      </c>
      <c r="K70" s="51"/>
    </row>
    <row r="71" spans="2:11" ht="15.75" customHeight="1" x14ac:dyDescent="0.3">
      <c r="B71" s="130" t="str">
        <f>'BASE DA MATRIZ DE RISCOS'!E79</f>
        <v>Financeiro</v>
      </c>
      <c r="C71" t="s">
        <v>137</v>
      </c>
      <c r="D71" s="115">
        <f>COUNTIF($B$70:$B$98,C71)</f>
        <v>1</v>
      </c>
      <c r="F71" t="str">
        <f>'BASE DA MATRIZ DE RISCOS'!K79</f>
        <v>BAIXO IMPACTO</v>
      </c>
      <c r="G71" s="116"/>
      <c r="H71" t="s">
        <v>152</v>
      </c>
      <c r="I71">
        <f t="shared" si="0"/>
        <v>2</v>
      </c>
      <c r="J71" s="378">
        <f t="shared" si="1"/>
        <v>0.125</v>
      </c>
      <c r="K71" s="51"/>
    </row>
    <row r="72" spans="2:11" ht="15.75" customHeight="1" x14ac:dyDescent="0.3">
      <c r="B72" s="130" t="str">
        <f>'BASE DA MATRIZ DE RISCOS'!E80</f>
        <v>Operacional</v>
      </c>
      <c r="C72" s="131" t="s">
        <v>195</v>
      </c>
      <c r="D72" s="115">
        <f>COUNTIF($B$70:$B$98,C72)</f>
        <v>6</v>
      </c>
      <c r="F72" t="str">
        <f>'BASE DA MATRIZ DE RISCOS'!K80</f>
        <v>BAIXO IMPACTO</v>
      </c>
      <c r="G72" s="116"/>
      <c r="I72">
        <f>SUM(I69:I71)</f>
        <v>16</v>
      </c>
      <c r="K72" s="51"/>
    </row>
    <row r="73" spans="2:11" ht="15.75" customHeight="1" x14ac:dyDescent="0.3">
      <c r="B73" s="130" t="str">
        <f>'BASE DA MATRIZ DE RISCOS'!E81</f>
        <v>Financeiro</v>
      </c>
      <c r="C73" s="131" t="s">
        <v>145</v>
      </c>
      <c r="D73" s="115">
        <f t="shared" ref="D73:D74" si="2">COUNTIF($B$70:$B$98,C73)</f>
        <v>4</v>
      </c>
      <c r="F73" t="str">
        <f>'BASE DA MATRIZ DE RISCOS'!K81</f>
        <v>BAIXO IMPACTO</v>
      </c>
      <c r="G73" s="116"/>
      <c r="K73" s="51"/>
    </row>
    <row r="74" spans="2:11" ht="15.75" customHeight="1" x14ac:dyDescent="0.3">
      <c r="B74" s="130" t="str">
        <f>'BASE DA MATRIZ DE RISCOS'!E82</f>
        <v>Financeiro</v>
      </c>
      <c r="C74" s="131" t="s">
        <v>283</v>
      </c>
      <c r="D74" s="115">
        <f t="shared" si="2"/>
        <v>5</v>
      </c>
      <c r="F74" t="str">
        <f>'BASE DA MATRIZ DE RISCOS'!K82</f>
        <v>BAIXO IMPACTO</v>
      </c>
      <c r="G74" s="116"/>
      <c r="K74" s="51"/>
    </row>
    <row r="75" spans="2:11" ht="15.75" customHeight="1" x14ac:dyDescent="0.3">
      <c r="B75" s="130" t="str">
        <f>'BASE DA MATRIZ DE RISCOS'!E83</f>
        <v>Operacional</v>
      </c>
      <c r="F75" t="str">
        <f>'BASE DA MATRIZ DE RISCOS'!K83</f>
        <v>BAIXO IMPACTO</v>
      </c>
      <c r="G75" s="116"/>
      <c r="K75" s="51"/>
    </row>
    <row r="76" spans="2:11" ht="15.75" customHeight="1" x14ac:dyDescent="0.3">
      <c r="B76" s="130" t="str">
        <f>'BASE DA MATRIZ DE RISCOS'!E84</f>
        <v>Operacional</v>
      </c>
      <c r="F76" t="str">
        <f>'BASE DA MATRIZ DE RISCOS'!K84</f>
        <v>MÉDIO IMPACTO</v>
      </c>
      <c r="G76" s="116"/>
      <c r="K76" s="51"/>
    </row>
    <row r="77" spans="2:11" ht="15.75" customHeight="1" x14ac:dyDescent="0.3">
      <c r="B77" s="130" t="str">
        <f>'BASE DA MATRIZ DE RISCOS'!E85</f>
        <v>Financeiro</v>
      </c>
      <c r="F77" t="str">
        <f>'BASE DA MATRIZ DE RISCOS'!K85</f>
        <v>BAIXO IMPACTO</v>
      </c>
      <c r="G77" s="116"/>
      <c r="K77" s="51"/>
    </row>
    <row r="78" spans="2:11" ht="15.75" customHeight="1" x14ac:dyDescent="0.3">
      <c r="B78" s="130" t="str">
        <f>'BASE DA MATRIZ DE RISCOS'!E86</f>
        <v>Financeiro</v>
      </c>
      <c r="F78" t="str">
        <f>'BASE DA MATRIZ DE RISCOS'!K86</f>
        <v>ALTO IMPACTO</v>
      </c>
      <c r="G78" s="116"/>
      <c r="K78" s="51"/>
    </row>
    <row r="79" spans="2:11" ht="15.75" customHeight="1" x14ac:dyDescent="0.3">
      <c r="B79" s="130" t="str">
        <f>'BASE DA MATRIZ DE RISCOS'!E87</f>
        <v>Legal</v>
      </c>
      <c r="F79" t="str">
        <f>'BASE DA MATRIZ DE RISCOS'!K87</f>
        <v>BAIXO IMPACTO</v>
      </c>
      <c r="G79" s="116"/>
      <c r="K79" s="51"/>
    </row>
    <row r="80" spans="2:11" ht="15.75" customHeight="1" x14ac:dyDescent="0.3">
      <c r="B80" s="130" t="str">
        <f>'BASE DA MATRIZ DE RISCOS'!E88</f>
        <v>Estratégico</v>
      </c>
      <c r="F80" t="str">
        <f>'BASE DA MATRIZ DE RISCOS'!K88</f>
        <v>ALTO IMPACTO</v>
      </c>
      <c r="G80" s="116"/>
      <c r="K80" s="51"/>
    </row>
    <row r="81" spans="2:11" ht="15.75" customHeight="1" x14ac:dyDescent="0.3">
      <c r="B81" s="130" t="str">
        <f>'BASE DA MATRIZ DE RISCOS'!E89</f>
        <v>Operacional</v>
      </c>
      <c r="F81" t="str">
        <f>'BASE DA MATRIZ DE RISCOS'!K89</f>
        <v>BAIXO IMPACTO</v>
      </c>
      <c r="G81" s="116"/>
      <c r="K81" s="51"/>
    </row>
    <row r="82" spans="2:11" ht="15.75" customHeight="1" x14ac:dyDescent="0.3">
      <c r="B82" s="130" t="str">
        <f>'BASE DA MATRIZ DE RISCOS'!E90</f>
        <v>Legal</v>
      </c>
      <c r="F82" t="str">
        <f>'BASE DA MATRIZ DE RISCOS'!K90</f>
        <v>BAIXO IMPACTO</v>
      </c>
      <c r="G82" s="116"/>
      <c r="K82" s="51"/>
    </row>
    <row r="83" spans="2:11" ht="14.4" x14ac:dyDescent="0.3">
      <c r="B83" s="130" t="str">
        <f>'BASE DA MATRIZ DE RISCOS'!E91</f>
        <v>Financeiro</v>
      </c>
      <c r="F83" t="str">
        <f>'BASE DA MATRIZ DE RISCOS'!K91</f>
        <v>BAIXO IMPACTO</v>
      </c>
    </row>
    <row r="84" spans="2:11" ht="14.4" x14ac:dyDescent="0.3">
      <c r="B84" s="130" t="str">
        <f>'BASE DA MATRIZ DE RISCOS'!E92</f>
        <v>Legal</v>
      </c>
      <c r="F84" t="str">
        <f>'BASE DA MATRIZ DE RISCOS'!K92</f>
        <v>BAIXO IMPACTO</v>
      </c>
    </row>
    <row r="85" spans="2:11" ht="14.4" x14ac:dyDescent="0.3">
      <c r="B85" s="130" t="str">
        <f>'BASE DA MATRIZ DE RISCOS'!E93</f>
        <v>Legal</v>
      </c>
      <c r="F85" t="str">
        <f>'BASE DA MATRIZ DE RISCOS'!K93</f>
        <v>BAIXO IMPACTO</v>
      </c>
    </row>
    <row r="86" spans="2:11" ht="14.4" x14ac:dyDescent="0.3">
      <c r="B86" s="130">
        <f>'BASE DA MATRIZ DE RISCOS'!E94</f>
        <v>0</v>
      </c>
      <c r="F86">
        <f>'BASE DA MATRIZ DE RISCOS'!K94</f>
        <v>0</v>
      </c>
    </row>
    <row r="87" spans="2:11" ht="14.4" x14ac:dyDescent="0.3">
      <c r="B87" s="130">
        <f>'BASE DA MATRIZ DE RISCOS'!E95</f>
        <v>0</v>
      </c>
      <c r="F87">
        <f>'BASE DA MATRIZ DE RISCOS'!K95</f>
        <v>0</v>
      </c>
    </row>
    <row r="88" spans="2:11" ht="14.4" x14ac:dyDescent="0.3">
      <c r="B88" s="130">
        <f>'BASE DA MATRIZ DE RISCOS'!E96</f>
        <v>0</v>
      </c>
      <c r="F88">
        <f>'BASE DA MATRIZ DE RISCOS'!K96</f>
        <v>0</v>
      </c>
    </row>
    <row r="89" spans="2:11" ht="14.4" x14ac:dyDescent="0.3">
      <c r="B89" s="130">
        <f>'BASE DA MATRIZ DE RISCOS'!E97</f>
        <v>0</v>
      </c>
      <c r="F89">
        <f>'BASE DA MATRIZ DE RISCOS'!K97</f>
        <v>0</v>
      </c>
    </row>
    <row r="90" spans="2:11" ht="14.4" x14ac:dyDescent="0.3">
      <c r="B90" s="130">
        <f>'BASE DA MATRIZ DE RISCOS'!E98</f>
        <v>0</v>
      </c>
      <c r="F90">
        <f>'BASE DA MATRIZ DE RISCOS'!K98</f>
        <v>0</v>
      </c>
    </row>
    <row r="91" spans="2:11" ht="14.4" x14ac:dyDescent="0.3">
      <c r="B91" s="130">
        <f>'BASE DA MATRIZ DE RISCOS'!E99</f>
        <v>0</v>
      </c>
      <c r="F91">
        <f>'BASE DA MATRIZ DE RISCOS'!K99</f>
        <v>0</v>
      </c>
    </row>
    <row r="92" spans="2:11" ht="14.4" x14ac:dyDescent="0.3">
      <c r="B92" s="130">
        <f>'BASE DA MATRIZ DE RISCOS'!E100</f>
        <v>0</v>
      </c>
      <c r="F92">
        <f>'BASE DA MATRIZ DE RISCOS'!K100</f>
        <v>0</v>
      </c>
    </row>
    <row r="93" spans="2:11" ht="14.4" x14ac:dyDescent="0.3">
      <c r="B93" s="130">
        <f>'BASE DA MATRIZ DE RISCOS'!E101</f>
        <v>0</v>
      </c>
      <c r="F93">
        <f>'BASE DA MATRIZ DE RISCOS'!K101</f>
        <v>0</v>
      </c>
    </row>
    <row r="94" spans="2:11" ht="14.4" x14ac:dyDescent="0.3">
      <c r="B94" s="130">
        <f>'BASE DA MATRIZ DE RISCOS'!E102</f>
        <v>0</v>
      </c>
      <c r="F94">
        <f>'BASE DA MATRIZ DE RISCOS'!K102</f>
        <v>0</v>
      </c>
    </row>
    <row r="95" spans="2:11" ht="14.4" x14ac:dyDescent="0.3">
      <c r="B95" s="130">
        <f>'BASE DA MATRIZ DE RISCOS'!E103</f>
        <v>0</v>
      </c>
      <c r="F95">
        <f>'BASE DA MATRIZ DE RISCOS'!K103</f>
        <v>0</v>
      </c>
    </row>
    <row r="96" spans="2:11" ht="14.4" x14ac:dyDescent="0.3">
      <c r="B96" s="130">
        <f>'BASE DA MATRIZ DE RISCOS'!E104</f>
        <v>0</v>
      </c>
      <c r="F96">
        <f>'BASE DA MATRIZ DE RISCOS'!K104</f>
        <v>0</v>
      </c>
    </row>
    <row r="97" spans="2:6" ht="14.4" x14ac:dyDescent="0.3">
      <c r="B97" s="130">
        <f>'BASE DA MATRIZ DE RISCOS'!E105</f>
        <v>0</v>
      </c>
      <c r="F97">
        <f>'BASE DA MATRIZ DE RISCOS'!K105</f>
        <v>0</v>
      </c>
    </row>
    <row r="98" spans="2:6" ht="14.4" x14ac:dyDescent="0.3">
      <c r="B98" s="130">
        <f>'BASE DA MATRIZ DE RISCOS'!E106</f>
        <v>0</v>
      </c>
      <c r="F98">
        <f>'BASE DA MATRIZ DE RISCOS'!K106</f>
        <v>0</v>
      </c>
    </row>
    <row r="99" spans="2:6" ht="14.4" x14ac:dyDescent="0.3">
      <c r="B99" s="130">
        <f>'BASE DA MATRIZ DE RISCOS'!E107</f>
        <v>0</v>
      </c>
      <c r="F99">
        <f>'BASE DA MATRIZ DE RISCOS'!K107</f>
        <v>0</v>
      </c>
    </row>
    <row r="100" spans="2:6" ht="14.4" x14ac:dyDescent="0.3">
      <c r="B100" s="130">
        <f>'BASE DA MATRIZ DE RISCOS'!E108</f>
        <v>0</v>
      </c>
      <c r="F100">
        <f>'BASE DA MATRIZ DE RISCOS'!K108</f>
        <v>0</v>
      </c>
    </row>
    <row r="101" spans="2:6" ht="14.4" x14ac:dyDescent="0.3">
      <c r="B101" s="130">
        <f>'BASE DA MATRIZ DE RISCOS'!E109</f>
        <v>0</v>
      </c>
      <c r="F101">
        <f>'BASE DA MATRIZ DE RISCOS'!K109</f>
        <v>0</v>
      </c>
    </row>
    <row r="102" spans="2:6" ht="14.4" x14ac:dyDescent="0.3">
      <c r="B102" s="130">
        <f>'BASE DA MATRIZ DE RISCOS'!E110</f>
        <v>0</v>
      </c>
      <c r="F102">
        <f>'BASE DA MATRIZ DE RISCOS'!K110</f>
        <v>0</v>
      </c>
    </row>
    <row r="103" spans="2:6" ht="14.4" x14ac:dyDescent="0.3">
      <c r="B103" s="130">
        <f>'BASE DA MATRIZ DE RISCOS'!E111</f>
        <v>0</v>
      </c>
      <c r="F103">
        <f>'BASE DA MATRIZ DE RISCOS'!K111</f>
        <v>0</v>
      </c>
    </row>
    <row r="104" spans="2:6" ht="14.4" x14ac:dyDescent="0.3">
      <c r="B104" s="130">
        <f>'BASE DA MATRIZ DE RISCOS'!E112</f>
        <v>0</v>
      </c>
      <c r="F104">
        <f>'BASE DA MATRIZ DE RISCOS'!K112</f>
        <v>0</v>
      </c>
    </row>
    <row r="105" spans="2:6" ht="14.4" x14ac:dyDescent="0.3">
      <c r="B105" s="130">
        <f>'BASE DA MATRIZ DE RISCOS'!E113</f>
        <v>0</v>
      </c>
      <c r="F105">
        <f>'BASE DA MATRIZ DE RISCOS'!K113</f>
        <v>0</v>
      </c>
    </row>
    <row r="106" spans="2:6" ht="14.4" x14ac:dyDescent="0.3">
      <c r="B106" s="130">
        <f>'BASE DA MATRIZ DE RISCOS'!E114</f>
        <v>0</v>
      </c>
      <c r="F106">
        <f>'BASE DA MATRIZ DE RISCOS'!K114</f>
        <v>0</v>
      </c>
    </row>
    <row r="107" spans="2:6" ht="14.4" x14ac:dyDescent="0.3">
      <c r="B107" s="130">
        <f>'BASE DA MATRIZ DE RISCOS'!E115</f>
        <v>0</v>
      </c>
      <c r="F107">
        <f>'BASE DA MATRIZ DE RISCOS'!K115</f>
        <v>0</v>
      </c>
    </row>
    <row r="108" spans="2:6" ht="14.4" x14ac:dyDescent="0.3">
      <c r="B108" s="130">
        <f>'BASE DA MATRIZ DE RISCOS'!E116</f>
        <v>0</v>
      </c>
      <c r="F108">
        <f>'BASE DA MATRIZ DE RISCOS'!K116</f>
        <v>0</v>
      </c>
    </row>
    <row r="109" spans="2:6" ht="14.4" x14ac:dyDescent="0.3">
      <c r="B109" s="130">
        <f>'BASE DA MATRIZ DE RISCOS'!E117</f>
        <v>0</v>
      </c>
      <c r="F109">
        <f>'BASE DA MATRIZ DE RISCOS'!K117</f>
        <v>0</v>
      </c>
    </row>
    <row r="110" spans="2:6" ht="14.4" x14ac:dyDescent="0.3">
      <c r="B110" s="130">
        <f>'BASE DA MATRIZ DE RISCOS'!E118</f>
        <v>0</v>
      </c>
      <c r="F110">
        <f>'BASE DA MATRIZ DE RISCOS'!K118</f>
        <v>0</v>
      </c>
    </row>
    <row r="111" spans="2:6" ht="14.4" x14ac:dyDescent="0.3">
      <c r="B111" s="130">
        <f>'BASE DA MATRIZ DE RISCOS'!E119</f>
        <v>0</v>
      </c>
      <c r="F111">
        <f>'BASE DA MATRIZ DE RISCOS'!K119</f>
        <v>0</v>
      </c>
    </row>
    <row r="112" spans="2:6" ht="14.4" x14ac:dyDescent="0.3">
      <c r="B112" s="130">
        <f>'BASE DA MATRIZ DE RISCOS'!E120</f>
        <v>0</v>
      </c>
      <c r="F112">
        <f>'BASE DA MATRIZ DE RISCOS'!K120</f>
        <v>0</v>
      </c>
    </row>
    <row r="113" spans="2:6" ht="14.4" x14ac:dyDescent="0.3">
      <c r="B113" s="130">
        <f>'BASE DA MATRIZ DE RISCOS'!E121</f>
        <v>0</v>
      </c>
      <c r="F113">
        <f>'BASE DA MATRIZ DE RISCOS'!K121</f>
        <v>0</v>
      </c>
    </row>
    <row r="114" spans="2:6" ht="14.4" x14ac:dyDescent="0.3">
      <c r="B114" s="130">
        <f>'BASE DA MATRIZ DE RISCOS'!E122</f>
        <v>0</v>
      </c>
      <c r="F114">
        <f>'BASE DA MATRIZ DE RISCOS'!K122</f>
        <v>0</v>
      </c>
    </row>
    <row r="115" spans="2:6" ht="14.4" x14ac:dyDescent="0.3">
      <c r="B115" s="130">
        <f>'BASE DA MATRIZ DE RISCOS'!E123</f>
        <v>0</v>
      </c>
      <c r="F115">
        <f>'BASE DA MATRIZ DE RISCOS'!K123</f>
        <v>0</v>
      </c>
    </row>
    <row r="116" spans="2:6" ht="14.4" x14ac:dyDescent="0.3">
      <c r="B116" s="130">
        <f>'BASE DA MATRIZ DE RISCOS'!E124</f>
        <v>0</v>
      </c>
      <c r="F116">
        <f>'BASE DA MATRIZ DE RISCOS'!K124</f>
        <v>0</v>
      </c>
    </row>
    <row r="117" spans="2:6" ht="14.4" x14ac:dyDescent="0.3">
      <c r="B117" s="130">
        <f>'BASE DA MATRIZ DE RISCOS'!E125</f>
        <v>0</v>
      </c>
      <c r="F117">
        <f>'BASE DA MATRIZ DE RISCOS'!K125</f>
        <v>0</v>
      </c>
    </row>
    <row r="118" spans="2:6" ht="14.4" x14ac:dyDescent="0.3">
      <c r="B118" s="130">
        <f>'BASE DA MATRIZ DE RISCOS'!E126</f>
        <v>0</v>
      </c>
      <c r="F118">
        <f>'BASE DA MATRIZ DE RISCOS'!K126</f>
        <v>0</v>
      </c>
    </row>
    <row r="119" spans="2:6" ht="14.4" x14ac:dyDescent="0.3">
      <c r="B119" s="130">
        <f>'BASE DA MATRIZ DE RISCOS'!E127</f>
        <v>0</v>
      </c>
      <c r="F119">
        <f>'BASE DA MATRIZ DE RISCOS'!K127</f>
        <v>0</v>
      </c>
    </row>
    <row r="120" spans="2:6" ht="14.4" x14ac:dyDescent="0.3">
      <c r="B120" s="130">
        <f>'BASE DA MATRIZ DE RISCOS'!E128</f>
        <v>0</v>
      </c>
      <c r="F120">
        <f>'BASE DA MATRIZ DE RISCOS'!K128</f>
        <v>0</v>
      </c>
    </row>
    <row r="121" spans="2:6" ht="14.4" x14ac:dyDescent="0.3">
      <c r="B121" s="130">
        <f>'BASE DA MATRIZ DE RISCOS'!E129</f>
        <v>0</v>
      </c>
      <c r="F121">
        <f>'BASE DA MATRIZ DE RISCOS'!K129</f>
        <v>0</v>
      </c>
    </row>
    <row r="122" spans="2:6" ht="14.4" x14ac:dyDescent="0.3">
      <c r="B122" s="130">
        <f>'BASE DA MATRIZ DE RISCOS'!E130</f>
        <v>0</v>
      </c>
      <c r="F122">
        <f>'BASE DA MATRIZ DE RISCOS'!K130</f>
        <v>0</v>
      </c>
    </row>
    <row r="123" spans="2:6" ht="14.4" x14ac:dyDescent="0.3">
      <c r="B123" s="130">
        <f>'BASE DA MATRIZ DE RISCOS'!E131</f>
        <v>0</v>
      </c>
      <c r="F123">
        <f>'BASE DA MATRIZ DE RISCOS'!K131</f>
        <v>0</v>
      </c>
    </row>
    <row r="124" spans="2:6" ht="14.4" x14ac:dyDescent="0.3">
      <c r="B124" s="130">
        <f>'BASE DA MATRIZ DE RISCOS'!E132</f>
        <v>0</v>
      </c>
      <c r="F124">
        <f>'BASE DA MATRIZ DE RISCOS'!K132</f>
        <v>0</v>
      </c>
    </row>
    <row r="125" spans="2:6" ht="14.4" x14ac:dyDescent="0.3">
      <c r="B125" s="130">
        <f>'BASE DA MATRIZ DE RISCOS'!E133</f>
        <v>0</v>
      </c>
      <c r="F125">
        <f>'BASE DA MATRIZ DE RISCOS'!K133</f>
        <v>0</v>
      </c>
    </row>
    <row r="126" spans="2:6" ht="14.4" x14ac:dyDescent="0.3">
      <c r="B126" s="130">
        <f>'BASE DA MATRIZ DE RISCOS'!E134</f>
        <v>0</v>
      </c>
      <c r="F126">
        <f>'BASE DA MATRIZ DE RISCOS'!K134</f>
        <v>0</v>
      </c>
    </row>
    <row r="127" spans="2:6" ht="14.4" x14ac:dyDescent="0.3">
      <c r="B127" s="130">
        <f>'BASE DA MATRIZ DE RISCOS'!E135</f>
        <v>0</v>
      </c>
      <c r="F127">
        <f>'BASE DA MATRIZ DE RISCOS'!K135</f>
        <v>0</v>
      </c>
    </row>
    <row r="128" spans="2:6" ht="14.4" x14ac:dyDescent="0.3">
      <c r="B128" s="130">
        <f>'BASE DA MATRIZ DE RISCOS'!E136</f>
        <v>0</v>
      </c>
      <c r="F128">
        <f>'BASE DA MATRIZ DE RISCOS'!K136</f>
        <v>0</v>
      </c>
    </row>
    <row r="129" spans="2:6" ht="14.4" x14ac:dyDescent="0.3">
      <c r="B129" s="130">
        <f>'BASE DA MATRIZ DE RISCOS'!E137</f>
        <v>0</v>
      </c>
      <c r="F129">
        <f>'BASE DA MATRIZ DE RISCOS'!K137</f>
        <v>0</v>
      </c>
    </row>
    <row r="130" spans="2:6" ht="14.4" x14ac:dyDescent="0.3">
      <c r="B130" s="130">
        <f>'BASE DA MATRIZ DE RISCOS'!E138</f>
        <v>0</v>
      </c>
      <c r="F130">
        <f>'BASE DA MATRIZ DE RISCOS'!K138</f>
        <v>0</v>
      </c>
    </row>
    <row r="131" spans="2:6" ht="14.4" x14ac:dyDescent="0.3">
      <c r="B131" s="130">
        <f>'BASE DA MATRIZ DE RISCOS'!E139</f>
        <v>0</v>
      </c>
      <c r="F131">
        <f>'BASE DA MATRIZ DE RISCOS'!K139</f>
        <v>0</v>
      </c>
    </row>
    <row r="132" spans="2:6" ht="14.4" x14ac:dyDescent="0.3">
      <c r="B132" s="130">
        <f>'BASE DA MATRIZ DE RISCOS'!E140</f>
        <v>0</v>
      </c>
      <c r="F132">
        <f>'BASE DA MATRIZ DE RISCOS'!K140</f>
        <v>0</v>
      </c>
    </row>
    <row r="133" spans="2:6" ht="14.4" x14ac:dyDescent="0.3">
      <c r="B133" s="130">
        <f>'BASE DA MATRIZ DE RISCOS'!E141</f>
        <v>0</v>
      </c>
      <c r="F133">
        <f>'BASE DA MATRIZ DE RISCOS'!K141</f>
        <v>0</v>
      </c>
    </row>
    <row r="134" spans="2:6" ht="14.4" x14ac:dyDescent="0.3">
      <c r="B134" s="130">
        <f>'BASE DA MATRIZ DE RISCOS'!E142</f>
        <v>0</v>
      </c>
      <c r="F134">
        <f>'BASE DA MATRIZ DE RISCOS'!K142</f>
        <v>0</v>
      </c>
    </row>
    <row r="135" spans="2:6" ht="14.4" x14ac:dyDescent="0.3">
      <c r="B135" s="130">
        <f>'BASE DA MATRIZ DE RISCOS'!E143</f>
        <v>0</v>
      </c>
      <c r="F135">
        <f>'BASE DA MATRIZ DE RISCOS'!K143</f>
        <v>0</v>
      </c>
    </row>
    <row r="136" spans="2:6" ht="14.4" x14ac:dyDescent="0.3">
      <c r="B136" s="130">
        <f>'BASE DA MATRIZ DE RISCOS'!E144</f>
        <v>0</v>
      </c>
      <c r="F136">
        <f>'BASE DA MATRIZ DE RISCOS'!K144</f>
        <v>0</v>
      </c>
    </row>
    <row r="137" spans="2:6" ht="14.4" x14ac:dyDescent="0.3">
      <c r="B137" s="130">
        <f>'BASE DA MATRIZ DE RISCOS'!E145</f>
        <v>0</v>
      </c>
      <c r="F137">
        <f>'BASE DA MATRIZ DE RISCOS'!K145</f>
        <v>0</v>
      </c>
    </row>
    <row r="138" spans="2:6" ht="14.4" x14ac:dyDescent="0.3">
      <c r="B138" s="130">
        <f>'BASE DA MATRIZ DE RISCOS'!E146</f>
        <v>0</v>
      </c>
      <c r="F138">
        <f>'BASE DA MATRIZ DE RISCOS'!K146</f>
        <v>0</v>
      </c>
    </row>
    <row r="139" spans="2:6" ht="14.4" x14ac:dyDescent="0.3">
      <c r="B139" s="130">
        <f>'BASE DA MATRIZ DE RISCOS'!E147</f>
        <v>0</v>
      </c>
      <c r="F139">
        <f>'BASE DA MATRIZ DE RISCOS'!K147</f>
        <v>0</v>
      </c>
    </row>
    <row r="140" spans="2:6" ht="14.4" x14ac:dyDescent="0.3">
      <c r="B140" s="130">
        <f>'BASE DA MATRIZ DE RISCOS'!E148</f>
        <v>0</v>
      </c>
      <c r="F140">
        <f>'BASE DA MATRIZ DE RISCOS'!K148</f>
        <v>0</v>
      </c>
    </row>
    <row r="141" spans="2:6" ht="14.4" x14ac:dyDescent="0.3">
      <c r="B141" s="130">
        <f>'BASE DA MATRIZ DE RISCOS'!E149</f>
        <v>0</v>
      </c>
      <c r="F141">
        <f>'BASE DA MATRIZ DE RISCOS'!K149</f>
        <v>0</v>
      </c>
    </row>
  </sheetData>
  <pageMargins left="0.511811024" right="0.511811024" top="0.78740157499999996" bottom="0.78740157499999996" header="0.31496062000000002" footer="0.31496062000000002"/>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E1000"/>
  <sheetViews>
    <sheetView showGridLines="0" zoomScale="80" zoomScaleNormal="80" workbookViewId="0">
      <selection activeCell="C15" sqref="C15"/>
    </sheetView>
  </sheetViews>
  <sheetFormatPr defaultColWidth="12.59765625" defaultRowHeight="15" customHeight="1" x14ac:dyDescent="0.25"/>
  <cols>
    <col min="1" max="1" width="7.59765625" customWidth="1"/>
    <col min="2" max="2" width="18" customWidth="1"/>
    <col min="3" max="3" width="46.59765625" customWidth="1"/>
    <col min="4" max="26" width="7.59765625" customWidth="1"/>
  </cols>
  <sheetData>
    <row r="2" spans="2:5" ht="17.399999999999999" x14ac:dyDescent="0.25">
      <c r="B2" s="71" t="s">
        <v>380</v>
      </c>
    </row>
    <row r="3" spans="2:5" ht="16.2" thickBot="1" x14ac:dyDescent="0.3">
      <c r="B3" s="52" t="s">
        <v>289</v>
      </c>
      <c r="C3" s="53" t="s">
        <v>290</v>
      </c>
    </row>
    <row r="4" spans="2:5" ht="15.6" thickTop="1" thickBot="1" x14ac:dyDescent="0.35">
      <c r="B4" s="73" t="s">
        <v>291</v>
      </c>
      <c r="C4" s="24" t="str">
        <f>IF(C12&gt;=75,"ALTO IMPACTO",IF(C12&lt;=50,"BAIXO IMPACTO","MÉDIO IMPACTO"))</f>
        <v>BAIXO IMPACTO</v>
      </c>
      <c r="E4" s="9" t="s">
        <v>381</v>
      </c>
    </row>
    <row r="5" spans="2:5" ht="55.8" thickBot="1" x14ac:dyDescent="0.3">
      <c r="B5" s="74" t="s">
        <v>123</v>
      </c>
      <c r="C5" s="75" t="str">
        <f>IFERROR(VLOOKUP(C6,'RESUMO DE PONTOS'!$C$9:$M$58,11,),"")</f>
        <v>•	31/12/2021
•	Recorrente
■	Vorcon Auditoria &amp; Consultoria
■	24/06/2022</v>
      </c>
    </row>
    <row r="6" spans="2:5" thickBot="1" x14ac:dyDescent="0.35">
      <c r="B6" s="76" t="s">
        <v>293</v>
      </c>
      <c r="C6" s="77" t="s">
        <v>131</v>
      </c>
      <c r="E6" s="9"/>
    </row>
    <row r="7" spans="2:5" ht="14.4" thickBot="1" x14ac:dyDescent="0.3">
      <c r="B7" s="74" t="s">
        <v>295</v>
      </c>
      <c r="C7" s="75" t="str">
        <f>VLOOKUP(C6,'BASE DA MATRIZ DE RISCOS'!$C$78:$D$210,2,)</f>
        <v>Pagamento sem nota fiscal</v>
      </c>
    </row>
    <row r="8" spans="2:5" thickBot="1" x14ac:dyDescent="0.35">
      <c r="B8" s="76" t="s">
        <v>46</v>
      </c>
      <c r="C8" s="78" t="str">
        <f>VLOOKUP(C6,'BASE DA MATRIZ DE RISCOS'!$C$78:$E$210,3,)</f>
        <v>Legal</v>
      </c>
      <c r="E8" s="9"/>
    </row>
    <row r="9" spans="2:5" thickBot="1" x14ac:dyDescent="0.35">
      <c r="B9" s="54" t="s">
        <v>46</v>
      </c>
      <c r="C9" s="79">
        <f>VLOOKUP(C6,'BASE DA MATRIZ DE RISCOS'!$C$78:$H$210,4,)</f>
        <v>3</v>
      </c>
      <c r="E9" s="9" t="s">
        <v>383</v>
      </c>
    </row>
    <row r="10" spans="2:5" thickBot="1" x14ac:dyDescent="0.35">
      <c r="B10" s="80" t="s">
        <v>298</v>
      </c>
      <c r="C10" s="41">
        <f>VLOOKUP(C6,'BASE DA MATRIZ DE RISCOS'!$C$78:$H$210,5,)</f>
        <v>5</v>
      </c>
      <c r="E10" s="9" t="s">
        <v>384</v>
      </c>
    </row>
    <row r="11" spans="2:5" thickBot="1" x14ac:dyDescent="0.35">
      <c r="B11" s="54" t="s">
        <v>291</v>
      </c>
      <c r="C11" s="79">
        <f>VLOOKUP(C6,'BASE DA MATRIZ DE RISCOS'!$C$78:$H$210,6,)</f>
        <v>2</v>
      </c>
      <c r="E11" s="9" t="s">
        <v>384</v>
      </c>
    </row>
    <row r="12" spans="2:5" thickBot="1" x14ac:dyDescent="0.35">
      <c r="B12" s="80" t="s">
        <v>301</v>
      </c>
      <c r="C12" s="81">
        <f>C9*C10*C11</f>
        <v>30</v>
      </c>
      <c r="E12" s="9" t="s">
        <v>385</v>
      </c>
    </row>
    <row r="13" spans="2:5" thickBot="1" x14ac:dyDescent="0.35">
      <c r="B13" s="54" t="s">
        <v>386</v>
      </c>
      <c r="C13" s="79" t="str">
        <f>VLOOKUP(C6,'BASE DA MATRIZ DE RISCOS'!$C$78:$J$210,8,)</f>
        <v>Voucher Documental</v>
      </c>
      <c r="E13" s="9" t="s">
        <v>387</v>
      </c>
    </row>
    <row r="14" spans="2:5" ht="36.450000000000003" customHeight="1" thickBot="1" x14ac:dyDescent="0.3">
      <c r="B14" s="80" t="s">
        <v>290</v>
      </c>
      <c r="C14" s="41" t="str">
        <f>VLOOKUP(C$6,'RESUMO DE PONTOS'!$C$9:$H$58,3,)</f>
        <v>Verificamos que ocorreram gastos sem a respectiva emissão de nota fiscal pelos fornecedores e prestadores de serviços.</v>
      </c>
    </row>
    <row r="15" spans="2:5" ht="55.8" thickBot="1" x14ac:dyDescent="0.3">
      <c r="B15" s="54" t="s">
        <v>127</v>
      </c>
      <c r="C15" s="79" t="str">
        <f>IFERROR(VLOOKUP(C$6,'RESUMO DE PONTOS'!$C$9:$H$58,4,),"")</f>
        <v>Pagamento sem os respectivos Fornecedores/Prestadores de serviços não é permitido pela legislação brasileira assim como Convenção e Regimento Interno do Condomínio podendo ser multado e/ou sofrer outras penalidades impostas pelo fisco.</v>
      </c>
    </row>
    <row r="16" spans="2:5" ht="14.4" thickBot="1" x14ac:dyDescent="0.3">
      <c r="B16" s="80" t="s">
        <v>128</v>
      </c>
      <c r="C16" s="127">
        <f>IFERROR(VLOOKUP(C$6,'RESUMO DE PONTOS'!$C$9:$H$58,5,),"")</f>
        <v>47819.880000000056</v>
      </c>
    </row>
    <row r="17" spans="2:3" ht="42" thickBot="1" x14ac:dyDescent="0.3">
      <c r="B17" s="57" t="s">
        <v>129</v>
      </c>
      <c r="C17" s="79" t="str">
        <f>IFERROR(VLOOKUP(C$6,'RESUMO DE PONTOS'!$C$9:$H$58,6,),"")</f>
        <v>Sugerimos que seja solicitado aos respectivos Fornecedores/ Prestadores de serviços ou fornecedores a nota fiscal pelo fornecimento de material ou de prestação de serviço.</v>
      </c>
    </row>
    <row r="18" spans="2:3" ht="55.8" thickBot="1" x14ac:dyDescent="0.3">
      <c r="B18" s="82" t="s">
        <v>308</v>
      </c>
      <c r="C18" s="41" t="s">
        <v>388</v>
      </c>
    </row>
    <row r="19" spans="2:3" ht="43.8" thickBot="1" x14ac:dyDescent="0.3">
      <c r="B19" s="57" t="s">
        <v>310</v>
      </c>
      <c r="C19" s="79" t="s">
        <v>389</v>
      </c>
    </row>
    <row r="20" spans="2:3" ht="42" thickBot="1" x14ac:dyDescent="0.3">
      <c r="B20" s="80" t="s">
        <v>312</v>
      </c>
      <c r="C20" s="41" t="s">
        <v>390</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C4">
    <cfRule type="containsText" dxfId="92" priority="1" operator="containsText" text="BAIXO IMPACTO">
      <formula>NOT(ISERROR(SEARCH(("BAIXO IMPACTO"),(C4))))</formula>
    </cfRule>
  </conditionalFormatting>
  <conditionalFormatting sqref="C4">
    <cfRule type="containsText" dxfId="91" priority="2" operator="containsText" text="MÉDIO IMPACTO">
      <formula>NOT(ISERROR(SEARCH(("MÉDIO IMPACTO"),(C4))))</formula>
    </cfRule>
  </conditionalFormatting>
  <conditionalFormatting sqref="C4">
    <cfRule type="containsText" dxfId="90" priority="3" operator="containsText" text="ALTO IMPACTO">
      <formula>NOT(ISERROR(SEARCH(("ALTO IMPACTO"),(C4))))</formula>
    </cfRule>
  </conditionalFormatting>
  <dataValidations count="3">
    <dataValidation type="list" allowBlank="1" showErrorMessage="1" sqref="C6" xr:uid="{00000000-0002-0000-0500-000000000000}">
      <formula1>"[P1],[P2],[P3],[P4],[P5],[P6],[P7],[P8],[P9],[P10],[P11],[P12],[P13],[P14],[P15],[P16],[P17],[P18],[P19],[P20],[P21],[P22],[P23],[P24],[P25],[P26],[P27],[P28],[P29],[P30],[P31],[P32],[P33],[P34],[P35],[P36],[P37],[P38],[P39],[P40]"</formula1>
    </dataValidation>
    <dataValidation type="list" allowBlank="1" showErrorMessage="1" sqref="C8" xr:uid="{4F4265D3-F018-47BD-9AD3-C7D348BA44E7}">
      <formula1>"Estratégico,Financeiro,Operacional,Legal,Tecnologia,Imagem"</formula1>
    </dataValidation>
    <dataValidation type="list" allowBlank="1" showErrorMessage="1" sqref="C4" xr:uid="{00000000-0002-0000-0500-000002000000}">
      <formula1>"ALTO IMPACTO,MÉDIO IMPACTO,BAIXO IMPACTO"</formula1>
    </dataValidation>
  </dataValidations>
  <pageMargins left="0.511811024" right="0.511811024" top="0.78740157499999996" bottom="0.78740157499999996" header="0" footer="0"/>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36749-313E-478E-BED1-565BDF80A2A5}">
  <dimension ref="B2:E1000"/>
  <sheetViews>
    <sheetView showGridLines="0" topLeftCell="A2" workbookViewId="0">
      <selection activeCell="L17" sqref="L17"/>
    </sheetView>
  </sheetViews>
  <sheetFormatPr defaultColWidth="12.59765625" defaultRowHeight="15" customHeight="1" x14ac:dyDescent="0.25"/>
  <cols>
    <col min="1" max="1" width="3.09765625" customWidth="1"/>
    <col min="2" max="2" width="18" customWidth="1"/>
    <col min="3" max="3" width="46.59765625" customWidth="1"/>
    <col min="4" max="26" width="7.59765625" customWidth="1"/>
  </cols>
  <sheetData>
    <row r="2" spans="2:5" ht="17.399999999999999" x14ac:dyDescent="0.25">
      <c r="B2" s="71" t="s">
        <v>380</v>
      </c>
    </row>
    <row r="3" spans="2:5" ht="16.2" thickBot="1" x14ac:dyDescent="0.3">
      <c r="B3" s="52" t="s">
        <v>289</v>
      </c>
      <c r="C3" s="53" t="s">
        <v>290</v>
      </c>
    </row>
    <row r="4" spans="2:5" ht="15.6" thickTop="1" thickBot="1" x14ac:dyDescent="0.35">
      <c r="B4" s="73" t="s">
        <v>291</v>
      </c>
      <c r="C4" s="24" t="str">
        <f>IF(C12&gt;=75,"ALTO IMPACTO",IF(C12&lt;=50,"BAIXO IMPACTO","MÉDIO IMPACTO"))</f>
        <v>BAIXO IMPACTO</v>
      </c>
      <c r="E4" s="9" t="s">
        <v>381</v>
      </c>
    </row>
    <row r="5" spans="2:5" ht="55.8" thickBot="1" x14ac:dyDescent="0.3">
      <c r="B5" s="74" t="s">
        <v>123</v>
      </c>
      <c r="C5" s="75" t="str">
        <f>IFERROR(VLOOKUP(C6,'RESUMO DE PONTOS'!$C$9:$M$58,11,),"")</f>
        <v>•	31/12/2021
•	Recorrente
■	Vorcon Auditoria &amp; Consultoria
■	24/06/2022</v>
      </c>
    </row>
    <row r="6" spans="2:5" thickBot="1" x14ac:dyDescent="0.35">
      <c r="B6" s="76" t="s">
        <v>293</v>
      </c>
      <c r="C6" s="77" t="s">
        <v>369</v>
      </c>
      <c r="E6" s="9" t="s">
        <v>382</v>
      </c>
    </row>
    <row r="7" spans="2:5" ht="28.2" thickBot="1" x14ac:dyDescent="0.3">
      <c r="B7" s="74" t="s">
        <v>295</v>
      </c>
      <c r="C7" s="75" t="str">
        <f>VLOOKUP(C6,'BASE DA MATRIZ DE RISCOS'!$C$78:$D$210,2,)</f>
        <v>Pagamentos realizados sem os respectivos comprovantes de pagamento anexados</v>
      </c>
    </row>
    <row r="8" spans="2:5" thickBot="1" x14ac:dyDescent="0.35">
      <c r="B8" s="76" t="s">
        <v>46</v>
      </c>
      <c r="C8" s="78" t="str">
        <f>VLOOKUP(C6,'BASE DA MATRIZ DE RISCOS'!$C$78:$E$210,3,)</f>
        <v>Financeiro</v>
      </c>
      <c r="E8" s="9" t="s">
        <v>382</v>
      </c>
    </row>
    <row r="9" spans="2:5" thickBot="1" x14ac:dyDescent="0.35">
      <c r="B9" s="54" t="s">
        <v>46</v>
      </c>
      <c r="C9" s="79">
        <f>VLOOKUP(C6,'BASE DA MATRIZ DE RISCOS'!$C$78:$H$210,4,)</f>
        <v>5</v>
      </c>
      <c r="E9" s="9" t="s">
        <v>383</v>
      </c>
    </row>
    <row r="10" spans="2:5" thickBot="1" x14ac:dyDescent="0.35">
      <c r="B10" s="80" t="s">
        <v>298</v>
      </c>
      <c r="C10" s="41">
        <f>VLOOKUP(C6,'BASE DA MATRIZ DE RISCOS'!$C$78:$H$210,5,)</f>
        <v>3</v>
      </c>
      <c r="E10" s="9" t="s">
        <v>384</v>
      </c>
    </row>
    <row r="11" spans="2:5" thickBot="1" x14ac:dyDescent="0.35">
      <c r="B11" s="54" t="s">
        <v>291</v>
      </c>
      <c r="C11" s="79">
        <f>VLOOKUP(C6,'BASE DA MATRIZ DE RISCOS'!$C$78:$H$210,6,)</f>
        <v>2</v>
      </c>
      <c r="E11" s="9" t="s">
        <v>384</v>
      </c>
    </row>
    <row r="12" spans="2:5" thickBot="1" x14ac:dyDescent="0.35">
      <c r="B12" s="80" t="s">
        <v>301</v>
      </c>
      <c r="C12" s="81">
        <f>C9*C10*C11</f>
        <v>30</v>
      </c>
      <c r="E12" s="9" t="s">
        <v>385</v>
      </c>
    </row>
    <row r="13" spans="2:5" thickBot="1" x14ac:dyDescent="0.35">
      <c r="B13" s="54" t="s">
        <v>386</v>
      </c>
      <c r="C13" s="79" t="str">
        <f>VLOOKUP(C6,'BASE DA MATRIZ DE RISCOS'!$C$78:$J$210,8,)</f>
        <v>Voucher Documental</v>
      </c>
      <c r="E13" s="9" t="s">
        <v>387</v>
      </c>
    </row>
    <row r="14" spans="2:5" ht="42" thickBot="1" x14ac:dyDescent="0.3">
      <c r="B14" s="80" t="s">
        <v>290</v>
      </c>
      <c r="C14" s="41" t="str">
        <f>VLOOKUP(C$6,'RESUMO DE PONTOS'!$C$9:$H$58,3,)</f>
        <v>Verificamos que alguns pagamentos foram realizados sem que fossem anexados os respectivos comprovantes de pagamentos ou documentos equivalentes dando a respectiva quitação.</v>
      </c>
    </row>
    <row r="15" spans="2:5" ht="28.2" thickBot="1" x14ac:dyDescent="0.3">
      <c r="B15" s="54" t="s">
        <v>127</v>
      </c>
      <c r="C15" s="79" t="str">
        <f>IFERROR(VLOOKUP(C$6,'RESUMO DE PONTOS'!$C$9:$H$58,4,),"")</f>
        <v>Pagamento duplicado dos valores, ou caso haja a solicitação do comprovante de pagamento o Condomínio não os possua</v>
      </c>
    </row>
    <row r="16" spans="2:5" ht="14.4" thickBot="1" x14ac:dyDescent="0.3">
      <c r="B16" s="80" t="s">
        <v>128</v>
      </c>
      <c r="C16" s="127">
        <f>IFERROR(VLOOKUP(C$6,'RESUMO DE PONTOS'!$C$9:$H$58,5,),"")</f>
        <v>23309.370000000003</v>
      </c>
    </row>
    <row r="17" spans="2:3" ht="42" thickBot="1" x14ac:dyDescent="0.3">
      <c r="B17" s="57" t="s">
        <v>129</v>
      </c>
      <c r="C17" s="79" t="str">
        <f>IFERROR(VLOOKUP(C$6,'RESUMO DE PONTOS'!$C$9:$H$58,6,),"")</f>
        <v>Sugerimos que sejam criados processos para que os comprovantes de pagamentos estejam anexados ao processo de pagamentos</v>
      </c>
    </row>
    <row r="18" spans="2:3" ht="55.8" thickBot="1" x14ac:dyDescent="0.3">
      <c r="B18" s="82" t="s">
        <v>308</v>
      </c>
      <c r="C18" s="41" t="s">
        <v>388</v>
      </c>
    </row>
    <row r="19" spans="2:3" ht="43.8" thickBot="1" x14ac:dyDescent="0.3">
      <c r="B19" s="57" t="s">
        <v>310</v>
      </c>
      <c r="C19" s="79" t="s">
        <v>389</v>
      </c>
    </row>
    <row r="20" spans="2:3" ht="42" thickBot="1" x14ac:dyDescent="0.3">
      <c r="B20" s="80" t="s">
        <v>312</v>
      </c>
      <c r="C20" s="41" t="s">
        <v>390</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C4">
    <cfRule type="containsText" dxfId="89" priority="1" operator="containsText" text="BAIXO IMPACTO">
      <formula>NOT(ISERROR(SEARCH(("BAIXO IMPACTO"),(C4))))</formula>
    </cfRule>
  </conditionalFormatting>
  <conditionalFormatting sqref="C4">
    <cfRule type="containsText" dxfId="88" priority="2" operator="containsText" text="MÉDIO IMPACTO">
      <formula>NOT(ISERROR(SEARCH(("MÉDIO IMPACTO"),(C4))))</formula>
    </cfRule>
  </conditionalFormatting>
  <conditionalFormatting sqref="C4">
    <cfRule type="containsText" dxfId="87" priority="3" operator="containsText" text="ALTO IMPACTO">
      <formula>NOT(ISERROR(SEARCH(("ALTO IMPACTO"),(C4))))</formula>
    </cfRule>
  </conditionalFormatting>
  <dataValidations count="3">
    <dataValidation type="list" allowBlank="1" showErrorMessage="1" sqref="C4" xr:uid="{FCB75086-F164-470E-9C43-D467E618DC09}">
      <formula1>"ALTO IMPACTO,MÉDIO IMPACTO,BAIXO IMPACTO"</formula1>
    </dataValidation>
    <dataValidation type="list" allowBlank="1" showErrorMessage="1" sqref="C8" xr:uid="{F61F6A10-779B-4D33-96E7-E8E5FDE599ED}">
      <formula1>"Estratégico,Financeiro,Operacional,Legal,Tecnologia,Imagem"</formula1>
    </dataValidation>
    <dataValidation type="list" allowBlank="1" showErrorMessage="1" sqref="C6" xr:uid="{F837D7E2-7802-4F2A-B933-8663AB6CDA88}">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FE671-F565-46C2-BF4B-EE20B43DCC7E}">
  <dimension ref="B2:L1000"/>
  <sheetViews>
    <sheetView showGridLines="0" topLeftCell="A5" workbookViewId="0">
      <selection activeCell="L16" sqref="L14:L16"/>
    </sheetView>
  </sheetViews>
  <sheetFormatPr defaultColWidth="12.59765625" defaultRowHeight="15" customHeight="1" x14ac:dyDescent="0.25"/>
  <cols>
    <col min="1" max="1" width="7.59765625" customWidth="1"/>
    <col min="2" max="2" width="18" customWidth="1"/>
    <col min="3" max="3" width="46.59765625" customWidth="1"/>
    <col min="4" max="26" width="7.59765625" customWidth="1"/>
  </cols>
  <sheetData>
    <row r="2" spans="2:12" ht="17.399999999999999" x14ac:dyDescent="0.25">
      <c r="B2" s="71" t="s">
        <v>380</v>
      </c>
    </row>
    <row r="3" spans="2:12" ht="16.2" thickBot="1" x14ac:dyDescent="0.3">
      <c r="B3" s="52" t="s">
        <v>289</v>
      </c>
      <c r="C3" s="53" t="s">
        <v>290</v>
      </c>
    </row>
    <row r="4" spans="2:12" ht="15.6" thickTop="1" thickBot="1" x14ac:dyDescent="0.35">
      <c r="B4" s="73" t="s">
        <v>291</v>
      </c>
      <c r="C4" s="24" t="str">
        <f>IF(C12&gt;=75,"ALTO IMPACTO",IF(C12&lt;=50,"BAIXO IMPACTO","MÉDIO IMPACTO"))</f>
        <v>BAIXO IMPACTO</v>
      </c>
      <c r="E4" s="9" t="s">
        <v>381</v>
      </c>
    </row>
    <row r="5" spans="2:12" ht="55.8" thickBot="1" x14ac:dyDescent="0.3">
      <c r="B5" s="74" t="s">
        <v>123</v>
      </c>
      <c r="C5" s="75" t="str">
        <f>IFERROR(VLOOKUP(C6,'RESUMO DE PONTOS'!$C$9:$M$58,11,),"")</f>
        <v>•	31/12/2021
•	Recorrente
■	Vorcon Auditoria &amp; Consultoria
■	24/06/2022</v>
      </c>
    </row>
    <row r="6" spans="2:12" thickBot="1" x14ac:dyDescent="0.35">
      <c r="B6" s="76" t="s">
        <v>293</v>
      </c>
      <c r="C6" s="77" t="s">
        <v>370</v>
      </c>
      <c r="E6" s="9" t="s">
        <v>382</v>
      </c>
    </row>
    <row r="7" spans="2:12" ht="28.2" thickBot="1" x14ac:dyDescent="0.3">
      <c r="B7" s="74" t="s">
        <v>295</v>
      </c>
      <c r="C7" s="75" t="str">
        <f>VLOOKUP(C6,'BASE DA MATRIZ DE RISCOS'!$C$78:$D$210,2,)</f>
        <v>Negligência na gestão dos Documentos que compõe os Demonstrativos</v>
      </c>
    </row>
    <row r="8" spans="2:12" thickBot="1" x14ac:dyDescent="0.35">
      <c r="B8" s="76" t="s">
        <v>46</v>
      </c>
      <c r="C8" s="78" t="str">
        <f>VLOOKUP(C6,'BASE DA MATRIZ DE RISCOS'!$C$78:$E$210,3,)</f>
        <v>Operacional</v>
      </c>
      <c r="E8" s="9" t="s">
        <v>382</v>
      </c>
    </row>
    <row r="9" spans="2:12" thickBot="1" x14ac:dyDescent="0.35">
      <c r="B9" s="54" t="s">
        <v>46</v>
      </c>
      <c r="C9" s="79">
        <f>VLOOKUP(C6,'BASE DA MATRIZ DE RISCOS'!$C$78:$H$210,4,)</f>
        <v>4</v>
      </c>
      <c r="E9" s="9" t="s">
        <v>383</v>
      </c>
    </row>
    <row r="10" spans="2:12" thickBot="1" x14ac:dyDescent="0.35">
      <c r="B10" s="80" t="s">
        <v>298</v>
      </c>
      <c r="C10" s="41">
        <f>VLOOKUP(C6,'BASE DA MATRIZ DE RISCOS'!$C$78:$H$210,5,)</f>
        <v>2</v>
      </c>
      <c r="E10" s="9" t="s">
        <v>384</v>
      </c>
    </row>
    <row r="11" spans="2:12" thickBot="1" x14ac:dyDescent="0.35">
      <c r="B11" s="54" t="s">
        <v>291</v>
      </c>
      <c r="C11" s="79">
        <f>VLOOKUP(C6,'BASE DA MATRIZ DE RISCOS'!$C$78:$H$210,6,)</f>
        <v>1</v>
      </c>
      <c r="E11" s="9" t="s">
        <v>384</v>
      </c>
    </row>
    <row r="12" spans="2:12" thickBot="1" x14ac:dyDescent="0.35">
      <c r="B12" s="80" t="s">
        <v>301</v>
      </c>
      <c r="C12" s="81">
        <f>C9*C10*C11</f>
        <v>8</v>
      </c>
      <c r="E12" s="9" t="s">
        <v>385</v>
      </c>
    </row>
    <row r="13" spans="2:12" thickBot="1" x14ac:dyDescent="0.35">
      <c r="B13" s="54" t="s">
        <v>386</v>
      </c>
      <c r="C13" s="79" t="str">
        <f>VLOOKUP(C6,'BASE DA MATRIZ DE RISCOS'!$C$78:$J$210,8,)</f>
        <v>Voucher Documental</v>
      </c>
      <c r="E13" s="9" t="s">
        <v>387</v>
      </c>
    </row>
    <row r="14" spans="2:12" ht="42" thickBot="1" x14ac:dyDescent="0.3">
      <c r="B14" s="80" t="s">
        <v>290</v>
      </c>
      <c r="C14" s="41" t="str">
        <f>VLOOKUP(C$6,'RESUMO DE PONTOS'!$C$9:$H$58,3,)</f>
        <v>Verificamos que alguns comprovantes não estão sendo arquivados com os cuidados necessários, com isso alguns estão ilegíveis.</v>
      </c>
      <c r="L14">
        <f>72000</f>
        <v>72000</v>
      </c>
    </row>
    <row r="15" spans="2:12" ht="42" thickBot="1" x14ac:dyDescent="0.3">
      <c r="B15" s="54" t="s">
        <v>127</v>
      </c>
      <c r="C15" s="79" t="str">
        <f>IFERROR(VLOOKUP(C$6,'RESUMO DE PONTOS'!$C$9:$H$58,4,),"")</f>
        <v>Dificuldade na visualização dos gastos e impossibilidade e dúvidas quanto a possíveis consultas no futuro em função do estado dos documentos.</v>
      </c>
      <c r="L15">
        <f>L14*19%</f>
        <v>13680</v>
      </c>
    </row>
    <row r="16" spans="2:12" ht="14.4" thickBot="1" x14ac:dyDescent="0.3">
      <c r="B16" s="80" t="s">
        <v>128</v>
      </c>
      <c r="C16" s="127">
        <f>IFERROR(VLOOKUP(C$6,'RESUMO DE PONTOS'!$C$9:$H$58,5,),"")</f>
        <v>1087.3899999999999</v>
      </c>
      <c r="L16">
        <f>L14-L15</f>
        <v>58320</v>
      </c>
    </row>
    <row r="17" spans="2:3" ht="42" thickBot="1" x14ac:dyDescent="0.3">
      <c r="B17" s="57" t="s">
        <v>129</v>
      </c>
      <c r="C17" s="79" t="str">
        <f>IFERROR(VLOOKUP(C$6,'RESUMO DE PONTOS'!$C$9:$H$58,6,),"")</f>
        <v>Sugerimos que sejam criados processos para que os comprovantes sejam de responsabilidade do financeiro tirar cópia ou digitalizá-los assim que os receber.</v>
      </c>
    </row>
    <row r="18" spans="2:3" ht="55.8" thickBot="1" x14ac:dyDescent="0.3">
      <c r="B18" s="82" t="s">
        <v>308</v>
      </c>
      <c r="C18" s="41" t="s">
        <v>388</v>
      </c>
    </row>
    <row r="19" spans="2:3" ht="43.8" thickBot="1" x14ac:dyDescent="0.3">
      <c r="B19" s="57" t="s">
        <v>310</v>
      </c>
      <c r="C19" s="79" t="s">
        <v>389</v>
      </c>
    </row>
    <row r="20" spans="2:3" ht="42" thickBot="1" x14ac:dyDescent="0.3">
      <c r="B20" s="80" t="s">
        <v>312</v>
      </c>
      <c r="C20" s="41" t="s">
        <v>390</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C4">
    <cfRule type="containsText" dxfId="86" priority="1" operator="containsText" text="BAIXO IMPACTO">
      <formula>NOT(ISERROR(SEARCH(("BAIXO IMPACTO"),(C4))))</formula>
    </cfRule>
  </conditionalFormatting>
  <conditionalFormatting sqref="C4">
    <cfRule type="containsText" dxfId="85" priority="2" operator="containsText" text="MÉDIO IMPACTO">
      <formula>NOT(ISERROR(SEARCH(("MÉDIO IMPACTO"),(C4))))</formula>
    </cfRule>
  </conditionalFormatting>
  <conditionalFormatting sqref="C4">
    <cfRule type="containsText" dxfId="84" priority="3" operator="containsText" text="ALTO IMPACTO">
      <formula>NOT(ISERROR(SEARCH(("ALTO IMPACTO"),(C4))))</formula>
    </cfRule>
  </conditionalFormatting>
  <dataValidations count="3">
    <dataValidation type="list" allowBlank="1" showErrorMessage="1" sqref="C4" xr:uid="{61CB9B06-7600-49D9-9F0B-FF668C33CB5E}">
      <formula1>"ALTO IMPACTO,MÉDIO IMPACTO,BAIXO IMPACTO"</formula1>
    </dataValidation>
    <dataValidation type="list" allowBlank="1" showErrorMessage="1" sqref="C8" xr:uid="{05855CB7-9D29-480C-A943-9F42D3B65273}">
      <formula1>"Estratégico,Financeiro,Operacional,Legal,Tecnologia,Imagem"</formula1>
    </dataValidation>
    <dataValidation type="list" allowBlank="1" showErrorMessage="1" sqref="C6" xr:uid="{D1174E32-CB68-4EF6-8839-74EEA6FEEDD4}">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611E3-B40D-41B9-A919-1B26AB8A040F}">
  <dimension ref="B2:E1000"/>
  <sheetViews>
    <sheetView showGridLines="0" topLeftCell="A8" workbookViewId="0">
      <selection activeCell="B3" sqref="B3:C20"/>
    </sheetView>
  </sheetViews>
  <sheetFormatPr defaultColWidth="12.59765625" defaultRowHeight="15" customHeight="1" x14ac:dyDescent="0.25"/>
  <cols>
    <col min="1" max="1" width="7.59765625" customWidth="1"/>
    <col min="2" max="2" width="18" customWidth="1"/>
    <col min="3" max="3" width="46.59765625" customWidth="1"/>
    <col min="4" max="26" width="7.59765625" customWidth="1"/>
  </cols>
  <sheetData>
    <row r="2" spans="2:5" ht="17.399999999999999" x14ac:dyDescent="0.25">
      <c r="B2" s="71" t="s">
        <v>380</v>
      </c>
    </row>
    <row r="3" spans="2:5" ht="16.2" thickBot="1" x14ac:dyDescent="0.3">
      <c r="B3" s="52" t="s">
        <v>289</v>
      </c>
      <c r="C3" s="53" t="s">
        <v>290</v>
      </c>
    </row>
    <row r="4" spans="2:5" ht="15.6" thickTop="1" thickBot="1" x14ac:dyDescent="0.35">
      <c r="B4" s="73" t="s">
        <v>291</v>
      </c>
      <c r="C4" s="24" t="str">
        <f>IF(C12&gt;=75,"ALTO IMPACTO",IF(C12&lt;=50,"BAIXO IMPACTO","MÉDIO IMPACTO"))</f>
        <v>BAIXO IMPACTO</v>
      </c>
      <c r="E4" s="9" t="s">
        <v>381</v>
      </c>
    </row>
    <row r="5" spans="2:5" ht="55.8" thickBot="1" x14ac:dyDescent="0.3">
      <c r="B5" s="74" t="s">
        <v>123</v>
      </c>
      <c r="C5" s="75" t="str">
        <f>IFERROR(VLOOKUP(C6,'RESUMO DE PONTOS'!$C$9:$M$58,11,),"")</f>
        <v>•	31/12/2021
•	Recorrente
■	Vorcon Auditoria &amp; Consultoria
■	24/06/2022</v>
      </c>
    </row>
    <row r="6" spans="2:5" thickBot="1" x14ac:dyDescent="0.35">
      <c r="B6" s="76" t="s">
        <v>293</v>
      </c>
      <c r="C6" s="77" t="s">
        <v>371</v>
      </c>
      <c r="E6" s="9" t="s">
        <v>382</v>
      </c>
    </row>
    <row r="7" spans="2:5" ht="14.4" thickBot="1" x14ac:dyDescent="0.3">
      <c r="B7" s="74" t="s">
        <v>295</v>
      </c>
      <c r="C7" s="75" t="str">
        <f>VLOOKUP(C6,'BASE DA MATRIZ DE RISCOS'!$C$78:$D$210,2,)</f>
        <v>Pagamento de tarifa bancária.</v>
      </c>
    </row>
    <row r="8" spans="2:5" thickBot="1" x14ac:dyDescent="0.35">
      <c r="B8" s="76" t="s">
        <v>46</v>
      </c>
      <c r="C8" s="78" t="str">
        <f>VLOOKUP(C6,'BASE DA MATRIZ DE RISCOS'!$C$78:$E$210,3,)</f>
        <v>Financeiro</v>
      </c>
      <c r="E8" s="9" t="s">
        <v>382</v>
      </c>
    </row>
    <row r="9" spans="2:5" thickBot="1" x14ac:dyDescent="0.35">
      <c r="B9" s="54" t="s">
        <v>46</v>
      </c>
      <c r="C9" s="79">
        <f>VLOOKUP(C6,'BASE DA MATRIZ DE RISCOS'!$C$78:$H$210,4,)</f>
        <v>5</v>
      </c>
      <c r="E9" s="9" t="s">
        <v>383</v>
      </c>
    </row>
    <row r="10" spans="2:5" thickBot="1" x14ac:dyDescent="0.35">
      <c r="B10" s="80" t="s">
        <v>298</v>
      </c>
      <c r="C10" s="41">
        <f>VLOOKUP(C6,'BASE DA MATRIZ DE RISCOS'!$C$78:$H$210,5,)</f>
        <v>3</v>
      </c>
      <c r="E10" s="9" t="s">
        <v>384</v>
      </c>
    </row>
    <row r="11" spans="2:5" thickBot="1" x14ac:dyDescent="0.35">
      <c r="B11" s="54" t="s">
        <v>291</v>
      </c>
      <c r="C11" s="79">
        <f>VLOOKUP(C6,'BASE DA MATRIZ DE RISCOS'!$C$78:$H$210,6,)</f>
        <v>1</v>
      </c>
      <c r="E11" s="9" t="s">
        <v>384</v>
      </c>
    </row>
    <row r="12" spans="2:5" thickBot="1" x14ac:dyDescent="0.35">
      <c r="B12" s="80" t="s">
        <v>301</v>
      </c>
      <c r="C12" s="81">
        <f>C9*C10*C11</f>
        <v>15</v>
      </c>
      <c r="E12" s="9" t="s">
        <v>385</v>
      </c>
    </row>
    <row r="13" spans="2:5" thickBot="1" x14ac:dyDescent="0.35">
      <c r="B13" s="54" t="s">
        <v>386</v>
      </c>
      <c r="C13" s="79" t="str">
        <f>VLOOKUP(C6,'BASE DA MATRIZ DE RISCOS'!$C$78:$J$210,8,)</f>
        <v>Voucher Documental</v>
      </c>
      <c r="E13" s="9" t="s">
        <v>387</v>
      </c>
    </row>
    <row r="14" spans="2:5" ht="28.2" thickBot="1" x14ac:dyDescent="0.3">
      <c r="B14" s="80" t="s">
        <v>290</v>
      </c>
      <c r="C14" s="41" t="str">
        <f>VLOOKUP(C$6,'RESUMO DE PONTOS'!$C$9:$H$58,3,)</f>
        <v>Verificamos que ocorreram pagamento de fornecedores e prestadores de serviços por meio de transferência bancária.</v>
      </c>
    </row>
    <row r="15" spans="2:5" ht="28.2" thickBot="1" x14ac:dyDescent="0.3">
      <c r="B15" s="54" t="s">
        <v>127</v>
      </c>
      <c r="C15" s="79" t="str">
        <f>IFERROR(VLOOKUP(C$6,'RESUMO DE PONTOS'!$C$9:$H$58,4,),"")</f>
        <v>Pagamento de encargos financeiros que deveriam ser de responsabilidade dos Fornecedores/Prestadores de serviços</v>
      </c>
    </row>
    <row r="16" spans="2:5" ht="14.4" thickBot="1" x14ac:dyDescent="0.3">
      <c r="B16" s="80" t="s">
        <v>128</v>
      </c>
      <c r="C16" s="127">
        <f>IFERROR(VLOOKUP(C$6,'RESUMO DE PONTOS'!$C$9:$H$58,5,),"")</f>
        <v>88.399999999999991</v>
      </c>
    </row>
    <row r="17" spans="2:3" ht="55.8" thickBot="1" x14ac:dyDescent="0.3">
      <c r="B17" s="57" t="s">
        <v>129</v>
      </c>
      <c r="C17" s="79" t="str">
        <f>IFERROR(VLOOKUP(C$6,'RESUMO DE PONTOS'!$C$9:$H$58,6,),"")</f>
        <v>Sugerimos que seja solicitado boleto para pagamento de todos os Fornecedores/Prestadores de serviços e em caso de negativa o valor dos encargos financeiros deve ser subtraído do pagamento.</v>
      </c>
    </row>
    <row r="18" spans="2:3" ht="55.8" thickBot="1" x14ac:dyDescent="0.3">
      <c r="B18" s="82" t="s">
        <v>308</v>
      </c>
      <c r="C18" s="41" t="s">
        <v>388</v>
      </c>
    </row>
    <row r="19" spans="2:3" ht="43.8" thickBot="1" x14ac:dyDescent="0.3">
      <c r="B19" s="57" t="s">
        <v>310</v>
      </c>
      <c r="C19" s="79" t="s">
        <v>389</v>
      </c>
    </row>
    <row r="20" spans="2:3" ht="42" thickBot="1" x14ac:dyDescent="0.3">
      <c r="B20" s="80" t="s">
        <v>312</v>
      </c>
      <c r="C20" s="41" t="s">
        <v>390</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C4">
    <cfRule type="containsText" dxfId="83" priority="1" operator="containsText" text="BAIXO IMPACTO">
      <formula>NOT(ISERROR(SEARCH(("BAIXO IMPACTO"),(C4))))</formula>
    </cfRule>
  </conditionalFormatting>
  <conditionalFormatting sqref="C4">
    <cfRule type="containsText" dxfId="82" priority="2" operator="containsText" text="MÉDIO IMPACTO">
      <formula>NOT(ISERROR(SEARCH(("MÉDIO IMPACTO"),(C4))))</formula>
    </cfRule>
  </conditionalFormatting>
  <conditionalFormatting sqref="C4">
    <cfRule type="containsText" dxfId="81" priority="3" operator="containsText" text="ALTO IMPACTO">
      <formula>NOT(ISERROR(SEARCH(("ALTO IMPACTO"),(C4))))</formula>
    </cfRule>
  </conditionalFormatting>
  <dataValidations count="3">
    <dataValidation type="list" allowBlank="1" showErrorMessage="1" sqref="C6" xr:uid="{3C0D2925-01C5-4024-8EE7-E2C41662C006}">
      <formula1>"[P1],[P2],[P3],[P4],[P5],[P6],[P7],[P8],[P9],[P10],[P11],[P12],[P13],[P14],[P15],[P16],[P17],[P18],[P19],[P20],[P21],[P22],[P23],[P24],[P25],[P26],[P27],[P28],[P29],[P30],[P31],[P32],[P33],[P34],[P35],[P36],[P37],[P38],[P39],[P40]"</formula1>
    </dataValidation>
    <dataValidation type="list" allowBlank="1" showErrorMessage="1" sqref="C8" xr:uid="{85B8C9FC-2792-4961-AAA6-B44D63FB38CF}">
      <formula1>"Estratégico,Financeiro,Operacional,Legal,Tecnologia,Imagem"</formula1>
    </dataValidation>
    <dataValidation type="list" allowBlank="1" showErrorMessage="1" sqref="C4" xr:uid="{72373892-2D22-4158-9886-5A36916ACC48}">
      <formula1>"ALTO IMPACTO,MÉDIO IMPACTO,BAIXO IMPACTO"</formula1>
    </dataValidation>
  </dataValidations>
  <pageMargins left="0.511811024" right="0.511811024" top="0.78740157499999996" bottom="0.78740157499999996" header="0" footer="0"/>
  <pageSetup paperSize="9"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1FAE2-D537-4CA7-BD2F-A801D448DC69}">
  <dimension ref="B2:E1000"/>
  <sheetViews>
    <sheetView showGridLines="0" topLeftCell="A15" workbookViewId="0">
      <selection activeCell="B3" sqref="B3:C20"/>
    </sheetView>
  </sheetViews>
  <sheetFormatPr defaultColWidth="12.59765625" defaultRowHeight="15" customHeight="1" x14ac:dyDescent="0.25"/>
  <cols>
    <col min="1" max="1" width="7.59765625" customWidth="1"/>
    <col min="2" max="2" width="18" customWidth="1"/>
    <col min="3" max="3" width="46.59765625" customWidth="1"/>
    <col min="4" max="26" width="7.59765625" customWidth="1"/>
  </cols>
  <sheetData>
    <row r="2" spans="2:5" ht="17.399999999999999" x14ac:dyDescent="0.25">
      <c r="B2" s="71" t="s">
        <v>380</v>
      </c>
    </row>
    <row r="3" spans="2:5" ht="16.2" thickBot="1" x14ac:dyDescent="0.3">
      <c r="B3" s="52" t="s">
        <v>289</v>
      </c>
      <c r="C3" s="53" t="s">
        <v>290</v>
      </c>
    </row>
    <row r="4" spans="2:5" ht="15.6" thickTop="1" thickBot="1" x14ac:dyDescent="0.35">
      <c r="B4" s="73" t="s">
        <v>291</v>
      </c>
      <c r="C4" s="24" t="str">
        <f>IF(C12&gt;=75,"ALTO IMPACTO",IF(C12&lt;=50,"BAIXO IMPACTO","MÉDIO IMPACTO"))</f>
        <v>BAIXO IMPACTO</v>
      </c>
      <c r="E4" s="9" t="s">
        <v>381</v>
      </c>
    </row>
    <row r="5" spans="2:5" ht="55.8" thickBot="1" x14ac:dyDescent="0.3">
      <c r="B5" s="74" t="s">
        <v>123</v>
      </c>
      <c r="C5" s="75" t="str">
        <f>IFERROR(VLOOKUP(C6,'RESUMO DE PONTOS'!$C$9:$M$58,11,),"")</f>
        <v>•	31/12/2021
•	Recorrente
■	Vorcon Auditoria &amp; Consultoria
■	24/06/2022</v>
      </c>
    </row>
    <row r="6" spans="2:5" thickBot="1" x14ac:dyDescent="0.35">
      <c r="B6" s="76" t="s">
        <v>293</v>
      </c>
      <c r="C6" s="77" t="s">
        <v>372</v>
      </c>
      <c r="E6" s="9" t="s">
        <v>382</v>
      </c>
    </row>
    <row r="7" spans="2:5" ht="28.2" thickBot="1" x14ac:dyDescent="0.3">
      <c r="B7" s="74" t="s">
        <v>295</v>
      </c>
      <c r="C7" s="75" t="str">
        <f>VLOOKUP(C6,'BASE DA MATRIZ DE RISCOS'!$C$78:$D$210,2,)</f>
        <v>Diferenças entre: Valor do comprovante de pagamento X Valor da documentação suporte.</v>
      </c>
    </row>
    <row r="8" spans="2:5" thickBot="1" x14ac:dyDescent="0.35">
      <c r="B8" s="76" t="s">
        <v>46</v>
      </c>
      <c r="C8" s="78" t="str">
        <f>VLOOKUP(C6,'BASE DA MATRIZ DE RISCOS'!$C$78:$E$210,3,)</f>
        <v>Financeiro</v>
      </c>
      <c r="E8" s="9" t="s">
        <v>382</v>
      </c>
    </row>
    <row r="9" spans="2:5" thickBot="1" x14ac:dyDescent="0.35">
      <c r="B9" s="54" t="s">
        <v>46</v>
      </c>
      <c r="C9" s="79">
        <f>VLOOKUP(C6,'BASE DA MATRIZ DE RISCOS'!$C$78:$H$210,4,)</f>
        <v>5</v>
      </c>
      <c r="E9" s="9" t="s">
        <v>383</v>
      </c>
    </row>
    <row r="10" spans="2:5" thickBot="1" x14ac:dyDescent="0.35">
      <c r="B10" s="80" t="s">
        <v>298</v>
      </c>
      <c r="C10" s="41">
        <f>VLOOKUP(C6,'BASE DA MATRIZ DE RISCOS'!$C$78:$H$210,5,)</f>
        <v>1</v>
      </c>
      <c r="E10" s="9" t="s">
        <v>384</v>
      </c>
    </row>
    <row r="11" spans="2:5" thickBot="1" x14ac:dyDescent="0.35">
      <c r="B11" s="54" t="s">
        <v>291</v>
      </c>
      <c r="C11" s="79">
        <f>VLOOKUP(C6,'BASE DA MATRIZ DE RISCOS'!$C$78:$H$210,6,)</f>
        <v>1</v>
      </c>
      <c r="E11" s="9" t="s">
        <v>384</v>
      </c>
    </row>
    <row r="12" spans="2:5" thickBot="1" x14ac:dyDescent="0.35">
      <c r="B12" s="80" t="s">
        <v>301</v>
      </c>
      <c r="C12" s="81">
        <f>C9*C10*C11</f>
        <v>5</v>
      </c>
      <c r="E12" s="9" t="s">
        <v>385</v>
      </c>
    </row>
    <row r="13" spans="2:5" thickBot="1" x14ac:dyDescent="0.35">
      <c r="B13" s="54" t="s">
        <v>386</v>
      </c>
      <c r="C13" s="79" t="str">
        <f>VLOOKUP(C6,'BASE DA MATRIZ DE RISCOS'!$C$78:$J$210,8,)</f>
        <v>Voucher Documental</v>
      </c>
      <c r="E13" s="9" t="s">
        <v>387</v>
      </c>
    </row>
    <row r="14" spans="2:5" ht="59.55" customHeight="1" thickBot="1" x14ac:dyDescent="0.3">
      <c r="B14" s="80" t="s">
        <v>290</v>
      </c>
      <c r="C14" s="41" t="str">
        <f>VLOOKUP(C$6,'RESUMO DE PONTOS'!$C$9:$H$58,3,)</f>
        <v>Verificamos que há diferença entre os valores apresentados, não justificada por parcelamento ou multa.</v>
      </c>
    </row>
    <row r="15" spans="2:5" ht="28.2" thickBot="1" x14ac:dyDescent="0.3">
      <c r="B15" s="54" t="s">
        <v>127</v>
      </c>
      <c r="C15" s="79" t="str">
        <f>IFERROR(VLOOKUP(C$6,'RESUMO DE PONTOS'!$C$9:$H$58,4,),"")</f>
        <v>Possibilidade de pagamentos realizados com valores incorretos.</v>
      </c>
    </row>
    <row r="16" spans="2:5" ht="14.4" thickBot="1" x14ac:dyDescent="0.3">
      <c r="B16" s="80" t="s">
        <v>128</v>
      </c>
      <c r="C16" s="127">
        <f>IFERROR(VLOOKUP(C$6,'RESUMO DE PONTOS'!$C$9:$H$58,5,),"")</f>
        <v>333.29999999999927</v>
      </c>
    </row>
    <row r="17" spans="2:3" ht="28.2" thickBot="1" x14ac:dyDescent="0.3">
      <c r="B17" s="57" t="s">
        <v>129</v>
      </c>
      <c r="C17" s="79" t="str">
        <f>IFERROR(VLOOKUP(C$6,'RESUMO DE PONTOS'!$C$9:$H$58,6,),"")</f>
        <v>Sugerimos que os pagamentos sejam realizados com os valores que constam no documento auxiliar.</v>
      </c>
    </row>
    <row r="18" spans="2:3" ht="55.8" thickBot="1" x14ac:dyDescent="0.3">
      <c r="B18" s="82" t="s">
        <v>308</v>
      </c>
      <c r="C18" s="41" t="s">
        <v>388</v>
      </c>
    </row>
    <row r="19" spans="2:3" ht="43.8" thickBot="1" x14ac:dyDescent="0.3">
      <c r="B19" s="57" t="s">
        <v>310</v>
      </c>
      <c r="C19" s="79" t="s">
        <v>389</v>
      </c>
    </row>
    <row r="20" spans="2:3" ht="42" thickBot="1" x14ac:dyDescent="0.3">
      <c r="B20" s="80" t="s">
        <v>312</v>
      </c>
      <c r="C20" s="41" t="s">
        <v>390</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C4">
    <cfRule type="containsText" dxfId="80" priority="1" operator="containsText" text="BAIXO IMPACTO">
      <formula>NOT(ISERROR(SEARCH(("BAIXO IMPACTO"),(C4))))</formula>
    </cfRule>
  </conditionalFormatting>
  <conditionalFormatting sqref="C4">
    <cfRule type="containsText" dxfId="79" priority="2" operator="containsText" text="MÉDIO IMPACTO">
      <formula>NOT(ISERROR(SEARCH(("MÉDIO IMPACTO"),(C4))))</formula>
    </cfRule>
  </conditionalFormatting>
  <conditionalFormatting sqref="C4">
    <cfRule type="containsText" dxfId="78" priority="3" operator="containsText" text="ALTO IMPACTO">
      <formula>NOT(ISERROR(SEARCH(("ALTO IMPACTO"),(C4))))</formula>
    </cfRule>
  </conditionalFormatting>
  <dataValidations count="3">
    <dataValidation type="list" allowBlank="1" showErrorMessage="1" sqref="C4" xr:uid="{2370B10C-F9FA-4F5B-8093-EE321CE69223}">
      <formula1>"ALTO IMPACTO,MÉDIO IMPACTO,BAIXO IMPACTO"</formula1>
    </dataValidation>
    <dataValidation type="list" allowBlank="1" showErrorMessage="1" sqref="C8" xr:uid="{6893277D-EEA4-472C-87F5-48E62EDD507E}">
      <formula1>"Estratégico,Financeiro,Operacional,Legal,Tecnologia,Imagem"</formula1>
    </dataValidation>
    <dataValidation type="list" allowBlank="1" showErrorMessage="1" sqref="C6" xr:uid="{1539EB79-1B6C-41B5-9CFD-061E05216CF2}">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4CE44-268E-49AC-A688-C0F942A770C2}">
  <dimension ref="B2:E1000"/>
  <sheetViews>
    <sheetView showGridLines="0" workbookViewId="0">
      <selection activeCell="C7" sqref="C7"/>
    </sheetView>
  </sheetViews>
  <sheetFormatPr defaultColWidth="12.59765625" defaultRowHeight="15" customHeight="1" x14ac:dyDescent="0.25"/>
  <cols>
    <col min="1" max="1" width="7.59765625" customWidth="1"/>
    <col min="2" max="2" width="18" customWidth="1"/>
    <col min="3" max="3" width="46.59765625" customWidth="1"/>
    <col min="4" max="26" width="7.59765625" customWidth="1"/>
  </cols>
  <sheetData>
    <row r="2" spans="2:5" ht="17.399999999999999" x14ac:dyDescent="0.25">
      <c r="B2" s="71" t="s">
        <v>380</v>
      </c>
    </row>
    <row r="3" spans="2:5" ht="16.2" thickBot="1" x14ac:dyDescent="0.3">
      <c r="B3" s="52" t="s">
        <v>289</v>
      </c>
      <c r="C3" s="53" t="s">
        <v>290</v>
      </c>
    </row>
    <row r="4" spans="2:5" ht="15.6" thickTop="1" thickBot="1" x14ac:dyDescent="0.35">
      <c r="B4" s="73" t="s">
        <v>291</v>
      </c>
      <c r="C4" s="24" t="str">
        <f>IF(C12&gt;=75,"ALTO IMPACTO",IF(C12&lt;=50,"BAIXO IMPACTO","MÉDIO IMPACTO"))</f>
        <v>BAIXO IMPACTO</v>
      </c>
      <c r="E4" s="9" t="s">
        <v>381</v>
      </c>
    </row>
    <row r="5" spans="2:5" ht="13.5" customHeight="1" thickBot="1" x14ac:dyDescent="0.3">
      <c r="B5" s="74" t="s">
        <v>123</v>
      </c>
      <c r="C5" s="75" t="str">
        <f>IFERROR(VLOOKUP(C6,'RESUMO DE PONTOS'!$C$9:$M$58,11,),"")</f>
        <v>•	31/12/2021
•	Recorrente
■	Vorcon Auditoria &amp; Consultoria
■	24/06/2022</v>
      </c>
    </row>
    <row r="6" spans="2:5" thickBot="1" x14ac:dyDescent="0.35">
      <c r="B6" s="76" t="s">
        <v>293</v>
      </c>
      <c r="C6" s="77" t="s">
        <v>373</v>
      </c>
      <c r="E6" s="9" t="s">
        <v>382</v>
      </c>
    </row>
    <row r="7" spans="2:5" ht="14.4" thickBot="1" x14ac:dyDescent="0.3">
      <c r="B7" s="74" t="s">
        <v>295</v>
      </c>
      <c r="C7" s="75" t="str">
        <f>VLOOKUP(C6,'BASE DA MATRIZ DE RISCOS'!$C$78:$D$210,2,)</f>
        <v>Acesso a Convenção do Condomínio</v>
      </c>
    </row>
    <row r="8" spans="2:5" thickBot="1" x14ac:dyDescent="0.35">
      <c r="B8" s="76" t="s">
        <v>46</v>
      </c>
      <c r="C8" s="78" t="str">
        <f>VLOOKUP(C6,'BASE DA MATRIZ DE RISCOS'!$C$78:$E$210,3,)</f>
        <v>Operacional</v>
      </c>
      <c r="E8" s="9" t="s">
        <v>382</v>
      </c>
    </row>
    <row r="9" spans="2:5" thickBot="1" x14ac:dyDescent="0.35">
      <c r="B9" s="54" t="s">
        <v>46</v>
      </c>
      <c r="C9" s="79">
        <f>VLOOKUP(C6,'BASE DA MATRIZ DE RISCOS'!$C$78:$H$210,4,)</f>
        <v>4</v>
      </c>
      <c r="E9" s="9" t="s">
        <v>383</v>
      </c>
    </row>
    <row r="10" spans="2:5" thickBot="1" x14ac:dyDescent="0.35">
      <c r="B10" s="80" t="s">
        <v>298</v>
      </c>
      <c r="C10" s="41">
        <f>VLOOKUP(C6,'BASE DA MATRIZ DE RISCOS'!$C$78:$H$210,5,)</f>
        <v>1</v>
      </c>
      <c r="E10" s="9" t="s">
        <v>384</v>
      </c>
    </row>
    <row r="11" spans="2:5" thickBot="1" x14ac:dyDescent="0.35">
      <c r="B11" s="54" t="s">
        <v>291</v>
      </c>
      <c r="C11" s="79">
        <f>VLOOKUP(C6,'BASE DA MATRIZ DE RISCOS'!$C$78:$H$210,6,)</f>
        <v>1</v>
      </c>
      <c r="E11" s="9" t="s">
        <v>384</v>
      </c>
    </row>
    <row r="12" spans="2:5" thickBot="1" x14ac:dyDescent="0.35">
      <c r="B12" s="80" t="s">
        <v>301</v>
      </c>
      <c r="C12" s="81">
        <f>C9*C10*C11</f>
        <v>4</v>
      </c>
      <c r="E12" s="9" t="s">
        <v>385</v>
      </c>
    </row>
    <row r="13" spans="2:5" thickBot="1" x14ac:dyDescent="0.35">
      <c r="B13" s="54" t="s">
        <v>386</v>
      </c>
      <c r="C13" s="79" t="str">
        <f>VLOOKUP(C6,'BASE DA MATRIZ DE RISCOS'!$C$78:$J$210,8,)</f>
        <v>Resumo da Convenção</v>
      </c>
      <c r="E13" s="9" t="s">
        <v>387</v>
      </c>
    </row>
    <row r="14" spans="2:5" ht="28.2" thickBot="1" x14ac:dyDescent="0.3">
      <c r="B14" s="80" t="s">
        <v>290</v>
      </c>
      <c r="C14" s="41" t="str">
        <f>VLOOKUP(C$6,'RESUMO DE PONTOS'!$C$9:$H$58,3,)</f>
        <v>Verificamos que o Condomínio não possui site, o ideal seria ter um site e disponibiliar o requimento Regimento nele.</v>
      </c>
    </row>
    <row r="15" spans="2:5" ht="42" thickBot="1" x14ac:dyDescent="0.3">
      <c r="B15" s="54" t="s">
        <v>127</v>
      </c>
      <c r="C15" s="79" t="str">
        <f>IFERROR(VLOOKUP(C$6,'RESUMO DE PONTOS'!$C$9:$H$58,4,),"")</f>
        <v>As melhores práticas de gestão sugerem que as informações do Condomínio estejam de fácil acesso para qualquer condômino.</v>
      </c>
    </row>
    <row r="16" spans="2:5" ht="14.4" thickBot="1" x14ac:dyDescent="0.3">
      <c r="B16" s="80" t="s">
        <v>128</v>
      </c>
      <c r="C16" s="127" t="str">
        <f>IFERROR(VLOOKUP(C$6,'RESUMO DE PONTOS'!$C$9:$H$58,5,),"")</f>
        <v>N/A</v>
      </c>
    </row>
    <row r="17" spans="2:3" ht="42" thickBot="1" x14ac:dyDescent="0.3">
      <c r="B17" s="57" t="s">
        <v>129</v>
      </c>
      <c r="C17" s="79" t="str">
        <f>IFERROR(VLOOKUP(C$6,'RESUMO DE PONTOS'!$C$9:$H$58,6,),"")</f>
        <v>Sugerimos que o Condomínio contate a sua equipe de TI e verifique a possibilidade de criar um site do Condomínio e disponibilizar a convenção</v>
      </c>
    </row>
    <row r="18" spans="2:3" ht="55.8" thickBot="1" x14ac:dyDescent="0.3">
      <c r="B18" s="82" t="s">
        <v>308</v>
      </c>
      <c r="C18" s="41" t="s">
        <v>388</v>
      </c>
    </row>
    <row r="19" spans="2:3" ht="43.8" thickBot="1" x14ac:dyDescent="0.3">
      <c r="B19" s="57" t="s">
        <v>310</v>
      </c>
      <c r="C19" s="79" t="s">
        <v>389</v>
      </c>
    </row>
    <row r="20" spans="2:3" ht="42" thickBot="1" x14ac:dyDescent="0.3">
      <c r="B20" s="80" t="s">
        <v>312</v>
      </c>
      <c r="C20" s="41" t="s">
        <v>390</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C4">
    <cfRule type="containsText" dxfId="77" priority="1" operator="containsText" text="BAIXO IMPACTO">
      <formula>NOT(ISERROR(SEARCH(("BAIXO IMPACTO"),(C4))))</formula>
    </cfRule>
  </conditionalFormatting>
  <conditionalFormatting sqref="C4">
    <cfRule type="containsText" dxfId="76" priority="2" operator="containsText" text="MÉDIO IMPACTO">
      <formula>NOT(ISERROR(SEARCH(("MÉDIO IMPACTO"),(C4))))</formula>
    </cfRule>
  </conditionalFormatting>
  <conditionalFormatting sqref="C4">
    <cfRule type="containsText" dxfId="75" priority="3" operator="containsText" text="ALTO IMPACTO">
      <formula>NOT(ISERROR(SEARCH(("ALTO IMPACTO"),(C4))))</formula>
    </cfRule>
  </conditionalFormatting>
  <dataValidations count="3">
    <dataValidation type="list" allowBlank="1" showErrorMessage="1" sqref="C6" xr:uid="{E228C316-758E-42EB-A06B-C5893350B9B6}">
      <formula1>"[P1],[P2],[P3],[P4],[P5],[P6],[P7],[P8],[P9],[P10],[P11],[P12],[P13],[P14],[P15],[P16],[P17],[P18],[P19],[P20],[P21],[P22],[P23],[P24],[P25],[P26],[P27],[P28],[P29],[P30],[P31],[P32],[P33],[P34],[P35],[P36],[P37],[P38],[P39],[P40]"</formula1>
    </dataValidation>
    <dataValidation type="list" allowBlank="1" showErrorMessage="1" sqref="C8" xr:uid="{8EF75CE2-BA02-4043-BE90-4056BBDDD583}">
      <formula1>"Estratégico,Financeiro,Operacional,Legal,Tecnologia,Imagem"</formula1>
    </dataValidation>
    <dataValidation type="list" allowBlank="1" showErrorMessage="1" sqref="C4" xr:uid="{A6B9E39D-37EA-4525-8DC1-930CC849FEF8}">
      <formula1>"ALTO IMPACTO,MÉDIO IMPACTO,BAIXO IMPACTO"</formula1>
    </dataValidation>
  </dataValidations>
  <pageMargins left="0.511811024" right="0.511811024" top="0.78740157499999996" bottom="0.78740157499999996" header="0" footer="0"/>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0CE24-194E-409F-8AFD-B4B98FF54A71}">
  <dimension ref="B2:E1000"/>
  <sheetViews>
    <sheetView showGridLines="0" workbookViewId="0">
      <selection activeCell="B3" sqref="B3:C20"/>
    </sheetView>
  </sheetViews>
  <sheetFormatPr defaultColWidth="12.59765625" defaultRowHeight="15" customHeight="1" x14ac:dyDescent="0.25"/>
  <cols>
    <col min="1" max="1" width="7.59765625" customWidth="1"/>
    <col min="2" max="2" width="18" customWidth="1"/>
    <col min="3" max="3" width="46.59765625" customWidth="1"/>
    <col min="4" max="26" width="7.59765625" customWidth="1"/>
  </cols>
  <sheetData>
    <row r="2" spans="2:5" ht="17.399999999999999" x14ac:dyDescent="0.25">
      <c r="B2" s="71" t="s">
        <v>380</v>
      </c>
    </row>
    <row r="3" spans="2:5" ht="16.2" thickBot="1" x14ac:dyDescent="0.3">
      <c r="B3" s="52" t="s">
        <v>289</v>
      </c>
      <c r="C3" s="53" t="s">
        <v>290</v>
      </c>
    </row>
    <row r="4" spans="2:5" ht="15.6" thickTop="1" thickBot="1" x14ac:dyDescent="0.35">
      <c r="B4" s="73" t="s">
        <v>291</v>
      </c>
      <c r="C4" s="24" t="str">
        <f>IF(C12&gt;=75,"ALTO IMPACTO",IF(C12&lt;=50,"BAIXO IMPACTO","MÉDIO IMPACTO"))</f>
        <v>MÉDIO IMPACTO</v>
      </c>
      <c r="E4" s="9" t="s">
        <v>381</v>
      </c>
    </row>
    <row r="5" spans="2:5" ht="55.8" thickBot="1" x14ac:dyDescent="0.3">
      <c r="B5" s="74" t="s">
        <v>123</v>
      </c>
      <c r="C5" s="75" t="str">
        <f>IFERROR(VLOOKUP(C6,'RESUMO DE PONTOS'!$C$9:$M$58,11,),"")</f>
        <v>•	31/12/2021
•	Novo
■	Vorcon Auditoria &amp; Consultoria
■	24/06/2022</v>
      </c>
    </row>
    <row r="6" spans="2:5" thickBot="1" x14ac:dyDescent="0.35">
      <c r="B6" s="76" t="s">
        <v>293</v>
      </c>
      <c r="C6" s="77" t="s">
        <v>374</v>
      </c>
      <c r="E6" s="9" t="s">
        <v>382</v>
      </c>
    </row>
    <row r="7" spans="2:5" ht="28.2" thickBot="1" x14ac:dyDescent="0.3">
      <c r="B7" s="74" t="s">
        <v>295</v>
      </c>
      <c r="C7" s="75" t="str">
        <f>VLOOKUP(C6,'BASE DA MATRIZ DE RISCOS'!$C$78:$D$210,2,)</f>
        <v>Os balancetes sem aprovação dos conselheiros fiscais no termo de aprovação.</v>
      </c>
    </row>
    <row r="8" spans="2:5" thickBot="1" x14ac:dyDescent="0.35">
      <c r="B8" s="76" t="s">
        <v>46</v>
      </c>
      <c r="C8" s="78" t="str">
        <f>VLOOKUP(C6,'BASE DA MATRIZ DE RISCOS'!$C$78:$E$210,3,)</f>
        <v>Operacional</v>
      </c>
      <c r="E8" s="9" t="s">
        <v>382</v>
      </c>
    </row>
    <row r="9" spans="2:5" thickBot="1" x14ac:dyDescent="0.35">
      <c r="B9" s="54" t="s">
        <v>46</v>
      </c>
      <c r="C9" s="79">
        <f>VLOOKUP($C$8,'BASE DA MATRIZ DE RISCOS'!$C$30:$E$35,3)</f>
        <v>4</v>
      </c>
      <c r="E9" s="9" t="s">
        <v>383</v>
      </c>
    </row>
    <row r="10" spans="2:5" thickBot="1" x14ac:dyDescent="0.35">
      <c r="B10" s="80" t="s">
        <v>298</v>
      </c>
      <c r="C10" s="41">
        <f>VLOOKUP(C6,'BASE DA MATRIZ DE RISCOS'!$C$78:$H$210,5,)</f>
        <v>5</v>
      </c>
      <c r="E10" s="9" t="s">
        <v>384</v>
      </c>
    </row>
    <row r="11" spans="2:5" thickBot="1" x14ac:dyDescent="0.35">
      <c r="B11" s="54" t="s">
        <v>291</v>
      </c>
      <c r="C11" s="79">
        <f>VLOOKUP(C6,'BASE DA MATRIZ DE RISCOS'!$C$78:$H$210,6,)</f>
        <v>3</v>
      </c>
      <c r="E11" s="9" t="s">
        <v>384</v>
      </c>
    </row>
    <row r="12" spans="2:5" thickBot="1" x14ac:dyDescent="0.35">
      <c r="B12" s="80" t="s">
        <v>301</v>
      </c>
      <c r="C12" s="81">
        <f>C9*C10*C11</f>
        <v>60</v>
      </c>
      <c r="E12" s="9" t="s">
        <v>385</v>
      </c>
    </row>
    <row r="13" spans="2:5" thickBot="1" x14ac:dyDescent="0.35">
      <c r="B13" s="54" t="s">
        <v>386</v>
      </c>
      <c r="C13" s="79" t="str">
        <f>VLOOKUP(C6,'BASE DA MATRIZ DE RISCOS'!$C$78:$J$210,8,)</f>
        <v>Resumo da Convenção</v>
      </c>
      <c r="E13" s="9" t="s">
        <v>387</v>
      </c>
    </row>
    <row r="14" spans="2:5" ht="42" thickBot="1" x14ac:dyDescent="0.3">
      <c r="B14" s="80" t="s">
        <v>290</v>
      </c>
      <c r="C14" s="41" t="str">
        <f>VLOOKUP(C$6,'RESUMO DE PONTOS'!$C$9:$H$58,3,)</f>
        <v>Nos meses 01/2021 à 12/2021 não constam as assinaturas dos conselheiros fiscais e do síndico para aprovação dos balancetes.</v>
      </c>
    </row>
    <row r="15" spans="2:5" ht="69.599999999999994" thickBot="1" x14ac:dyDescent="0.3">
      <c r="B15" s="54" t="s">
        <v>127</v>
      </c>
      <c r="C15" s="79" t="str">
        <f>IFERROR(VLOOKUP(C$6,'RESUMO DE PONTOS'!$C$9:$H$58,4,),"")</f>
        <v>A falta das assinaturas dos conselheiros fiscais nos termos de aprovação dos balancetes indica que as contas do condomínio não foram submetidas ao exame, acarretando a redução do nível de confiança dos demonstrativos e podendo prejudicar a leitura dos usuários.</v>
      </c>
    </row>
    <row r="16" spans="2:5" ht="14.4" thickBot="1" x14ac:dyDescent="0.3">
      <c r="B16" s="80" t="s">
        <v>128</v>
      </c>
      <c r="C16" s="127" t="str">
        <f>IFERROR(VLOOKUP(C$6,'RESUMO DE PONTOS'!$C$9:$H$58,5,),"")</f>
        <v>N/A</v>
      </c>
    </row>
    <row r="17" spans="2:3" ht="69.599999999999994" thickBot="1" x14ac:dyDescent="0.3">
      <c r="B17" s="57" t="s">
        <v>129</v>
      </c>
      <c r="C17" s="79" t="str">
        <f>IFERROR(VLOOKUP(C$6,'RESUMO DE PONTOS'!$C$9:$H$58,6,),"")</f>
        <v>Sugerimos que os conselheiros fiscais realizem o exame dos balancetes e caso ocorra a aprovação dos mesmos, confirmem com as suas assinaturas nos termos de aprovação. Mesmo com as demonstrações financeiras sendo auditadas mensalmente, é necessário a validação do conselho fiscal.</v>
      </c>
    </row>
    <row r="18" spans="2:3" ht="55.8" thickBot="1" x14ac:dyDescent="0.3">
      <c r="B18" s="82" t="s">
        <v>308</v>
      </c>
      <c r="C18" s="41" t="s">
        <v>388</v>
      </c>
    </row>
    <row r="19" spans="2:3" ht="43.8" thickBot="1" x14ac:dyDescent="0.3">
      <c r="B19" s="57" t="s">
        <v>310</v>
      </c>
      <c r="C19" s="79" t="s">
        <v>389</v>
      </c>
    </row>
    <row r="20" spans="2:3" ht="42" thickBot="1" x14ac:dyDescent="0.3">
      <c r="B20" s="80" t="s">
        <v>312</v>
      </c>
      <c r="C20" s="41" t="s">
        <v>390</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C4">
    <cfRule type="containsText" dxfId="74" priority="1" operator="containsText" text="BAIXO IMPACTO">
      <formula>NOT(ISERROR(SEARCH(("BAIXO IMPACTO"),(C4))))</formula>
    </cfRule>
  </conditionalFormatting>
  <conditionalFormatting sqref="C4">
    <cfRule type="containsText" dxfId="73" priority="2" operator="containsText" text="MÉDIO IMPACTO">
      <formula>NOT(ISERROR(SEARCH(("MÉDIO IMPACTO"),(C4))))</formula>
    </cfRule>
  </conditionalFormatting>
  <conditionalFormatting sqref="C4">
    <cfRule type="containsText" dxfId="72" priority="3" operator="containsText" text="ALTO IMPACTO">
      <formula>NOT(ISERROR(SEARCH(("ALTO IMPACTO"),(C4))))</formula>
    </cfRule>
  </conditionalFormatting>
  <dataValidations count="3">
    <dataValidation type="list" allowBlank="1" showErrorMessage="1" sqref="C6" xr:uid="{D60D47FD-1F1F-4C8D-ABBC-049DB17F4A03}">
      <formula1>"[P1],[P2],[P3],[P4],[P5],[P6],[P7],[P8],[P9],[P10],[P11],[P12],[P13],[P14],[P15],[P16],[P17],[P18],[P19],[P20],[P21],[P22],[P23],[P24],[P25],[P26],[P27],[P28],[P29],[P30],[P31],[P32],[P33],[P34],[P35],[P36],[P37],[P38],[P39],[P40]"</formula1>
    </dataValidation>
    <dataValidation type="list" allowBlank="1" showErrorMessage="1" sqref="C8" xr:uid="{A48B7E6B-8AEB-4221-97ED-148622FB022E}">
      <formula1>"Estratégico,Financeiro,Operacional,Legal,Tecnologia,Imagem"</formula1>
    </dataValidation>
    <dataValidation type="list" allowBlank="1" showErrorMessage="1" sqref="C4" xr:uid="{048D1F61-28DE-4844-980E-062D927EAF3A}">
      <formula1>"ALTO IMPACTO,MÉDIO IMPACTO,BAIXO IMPACTO"</formula1>
    </dataValidation>
  </dataValidations>
  <pageMargins left="0.511811024" right="0.511811024" top="0.78740157499999996" bottom="0.78740157499999996" header="0" footer="0"/>
  <pageSetup paperSize="9"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CB8CD-3F2E-4379-889D-DE0933E2F380}">
  <dimension ref="B2:E1000"/>
  <sheetViews>
    <sheetView showGridLines="0" topLeftCell="A2" workbookViewId="0">
      <selection activeCell="B3" sqref="B3:C20"/>
    </sheetView>
  </sheetViews>
  <sheetFormatPr defaultColWidth="12.59765625" defaultRowHeight="15" customHeight="1" x14ac:dyDescent="0.25"/>
  <cols>
    <col min="1" max="1" width="7.59765625" customWidth="1"/>
    <col min="2" max="2" width="18" customWidth="1"/>
    <col min="3" max="3" width="46.59765625" customWidth="1"/>
    <col min="4" max="26" width="7.59765625" customWidth="1"/>
  </cols>
  <sheetData>
    <row r="2" spans="2:5" ht="17.399999999999999" x14ac:dyDescent="0.25">
      <c r="B2" s="71" t="s">
        <v>380</v>
      </c>
    </row>
    <row r="3" spans="2:5" ht="16.2" thickBot="1" x14ac:dyDescent="0.3">
      <c r="B3" s="52" t="s">
        <v>289</v>
      </c>
      <c r="C3" s="53" t="s">
        <v>290</v>
      </c>
    </row>
    <row r="4" spans="2:5" ht="15.6" thickTop="1" thickBot="1" x14ac:dyDescent="0.35">
      <c r="B4" s="73" t="s">
        <v>291</v>
      </c>
      <c r="C4" s="24" t="str">
        <f>IF(C12&gt;=75,"ALTO IMPACTO",IF(C12&lt;=50,"BAIXO IMPACTO","MÉDIO IMPACTO"))</f>
        <v>BAIXO IMPACTO</v>
      </c>
      <c r="E4" s="9" t="s">
        <v>381</v>
      </c>
    </row>
    <row r="5" spans="2:5" ht="55.8" thickBot="1" x14ac:dyDescent="0.3">
      <c r="B5" s="74" t="s">
        <v>123</v>
      </c>
      <c r="C5" s="75" t="str">
        <f>IFERROR(VLOOKUP(C6,'RESUMO DE PONTOS'!$C$9:$M$58,11,),"")</f>
        <v>•	31/12/2021
•	Recorrente
■	Vorcon Auditoria &amp; Consultoria
■	24/06/2022</v>
      </c>
    </row>
    <row r="6" spans="2:5" thickBot="1" x14ac:dyDescent="0.35">
      <c r="B6" s="76" t="s">
        <v>293</v>
      </c>
      <c r="C6" s="77" t="s">
        <v>375</v>
      </c>
      <c r="E6" s="9"/>
    </row>
    <row r="7" spans="2:5" ht="14.4" thickBot="1" x14ac:dyDescent="0.3">
      <c r="B7" s="74" t="s">
        <v>295</v>
      </c>
      <c r="C7" s="75" t="str">
        <f>VLOOKUP(C6,'BASE DA MATRIZ DE RISCOS'!$C$78:$D$210,2,)</f>
        <v>Impacto com os inadimplentes</v>
      </c>
    </row>
    <row r="8" spans="2:5" thickBot="1" x14ac:dyDescent="0.35">
      <c r="B8" s="76" t="s">
        <v>46</v>
      </c>
      <c r="C8" s="78" t="str">
        <f>VLOOKUP(C6,'BASE DA MATRIZ DE RISCOS'!$C$78:$E$210,3,)</f>
        <v>Financeiro</v>
      </c>
      <c r="E8" s="9"/>
    </row>
    <row r="9" spans="2:5" thickBot="1" x14ac:dyDescent="0.35">
      <c r="B9" s="54" t="s">
        <v>46</v>
      </c>
      <c r="C9" s="79">
        <f>VLOOKUP($C$8,'BASE DA MATRIZ DE RISCOS'!$C$30:$E$35,3)</f>
        <v>5</v>
      </c>
      <c r="E9" s="9" t="s">
        <v>383</v>
      </c>
    </row>
    <row r="10" spans="2:5" thickBot="1" x14ac:dyDescent="0.35">
      <c r="B10" s="80" t="s">
        <v>298</v>
      </c>
      <c r="C10" s="41">
        <f>VLOOKUP(C6,'BASE DA MATRIZ DE RISCOS'!$C$78:$H$210,5,)</f>
        <v>4</v>
      </c>
      <c r="E10" s="9" t="s">
        <v>384</v>
      </c>
    </row>
    <row r="11" spans="2:5" thickBot="1" x14ac:dyDescent="0.35">
      <c r="B11" s="54" t="s">
        <v>291</v>
      </c>
      <c r="C11" s="79">
        <f>VLOOKUP(C6,'BASE DA MATRIZ DE RISCOS'!$C$78:$H$210,6,)</f>
        <v>2</v>
      </c>
      <c r="E11" s="9" t="s">
        <v>384</v>
      </c>
    </row>
    <row r="12" spans="2:5" thickBot="1" x14ac:dyDescent="0.35">
      <c r="B12" s="80" t="s">
        <v>301</v>
      </c>
      <c r="C12" s="81">
        <f>C9*C10*C11</f>
        <v>40</v>
      </c>
      <c r="E12" s="9" t="s">
        <v>385</v>
      </c>
    </row>
    <row r="13" spans="2:5" thickBot="1" x14ac:dyDescent="0.35">
      <c r="B13" s="54" t="s">
        <v>386</v>
      </c>
      <c r="C13" s="79" t="str">
        <f>VLOOKUP(C6,'BASE DA MATRIZ DE RISCOS'!$C$78:$J$210,8,)</f>
        <v>Inadimplentes</v>
      </c>
      <c r="E13" s="9" t="s">
        <v>387</v>
      </c>
    </row>
    <row r="14" spans="2:5" ht="42" thickBot="1" x14ac:dyDescent="0.3">
      <c r="B14" s="80" t="s">
        <v>290</v>
      </c>
      <c r="C14" s="41" t="str">
        <f>VLOOKUP(C$6,'RESUMO DE PONTOS'!$C$9:$H$58,3,)</f>
        <v>Verificamos que a inadimplência na data base de 31/12/2021 foi equivalente a R$ 23.053,25 atualizados com multas, juros e correção.</v>
      </c>
    </row>
    <row r="15" spans="2:5" ht="180" thickBot="1" x14ac:dyDescent="0.3">
      <c r="B15" s="54" t="s">
        <v>127</v>
      </c>
      <c r="C15" s="79" t="str">
        <f>IFERROR(VLOOKUP(C$6,'RESUMO DE PONTOS'!$C$9:$H$58,4,),"")</f>
        <v>O alto índice de inadimplência condominial impacta inicialmente o orçamento do condomínio. Assim, é preciso compensar de alguma forma o déficit orçamentário para que as obrigações condominiais sejam cumpridas. Como alternativas para essas compensações, podem ser ajustados os valores das taxas condominiais, utilizados os seus fundos de reserva ou criadas taxas extras, gerado assim, prejuízos aos condomínios adimplentes e a toda estrutura financeira condominial. Ademais, ocorre as implicações de ordem interpessoal para que ocorra a regularização dos valores, o que em casos mais graves necessita de cobrança judicial, gerando outros gastos com honorários advocatícios e custas judiciais.</v>
      </c>
    </row>
    <row r="16" spans="2:5" ht="14.4" thickBot="1" x14ac:dyDescent="0.3">
      <c r="B16" s="80" t="s">
        <v>128</v>
      </c>
      <c r="C16" s="127">
        <f>IFERROR(VLOOKUP(C$6,'RESUMO DE PONTOS'!$C$9:$H$58,5,),"")</f>
        <v>23053.25</v>
      </c>
    </row>
    <row r="17" spans="2:3" ht="97.2" thickBot="1" x14ac:dyDescent="0.3">
      <c r="B17" s="57" t="s">
        <v>129</v>
      </c>
      <c r="C17" s="79" t="str">
        <f>IFERROR(VLOOKUP(C$6,'RESUMO DE PONTOS'!$C$9:$H$58,6,),"")</f>
        <v>Indicamos à administração ações preventivas que tenham como objetivo a redução das despesas condominiais, o fortalecimento do fundo de reserva e a cobrança de maneira assertiva dos inadimplentes. Além disso, devem ser buscadas alternativas analisando a relação de custos e benefícios para solução desse problema, como por exemplo, a utilização dos serviços de uma garantidora de condomínio.</v>
      </c>
    </row>
    <row r="18" spans="2:3" ht="55.8" thickBot="1" x14ac:dyDescent="0.3">
      <c r="B18" s="82" t="s">
        <v>308</v>
      </c>
      <c r="C18" s="41" t="s">
        <v>388</v>
      </c>
    </row>
    <row r="19" spans="2:3" ht="43.8" thickBot="1" x14ac:dyDescent="0.3">
      <c r="B19" s="57" t="s">
        <v>310</v>
      </c>
      <c r="C19" s="79" t="s">
        <v>389</v>
      </c>
    </row>
    <row r="20" spans="2:3" ht="42" thickBot="1" x14ac:dyDescent="0.3">
      <c r="B20" s="80" t="s">
        <v>312</v>
      </c>
      <c r="C20" s="41" t="s">
        <v>390</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C4">
    <cfRule type="containsText" dxfId="71" priority="1" operator="containsText" text="BAIXO IMPACTO">
      <formula>NOT(ISERROR(SEARCH(("BAIXO IMPACTO"),(C4))))</formula>
    </cfRule>
  </conditionalFormatting>
  <conditionalFormatting sqref="C4">
    <cfRule type="containsText" dxfId="70" priority="2" operator="containsText" text="MÉDIO IMPACTO">
      <formula>NOT(ISERROR(SEARCH(("MÉDIO IMPACTO"),(C4))))</formula>
    </cfRule>
  </conditionalFormatting>
  <conditionalFormatting sqref="C4">
    <cfRule type="containsText" dxfId="69" priority="3" operator="containsText" text="ALTO IMPACTO">
      <formula>NOT(ISERROR(SEARCH(("ALTO IMPACTO"),(C4))))</formula>
    </cfRule>
  </conditionalFormatting>
  <dataValidations count="3">
    <dataValidation type="list" allowBlank="1" showErrorMessage="1" sqref="C4" xr:uid="{91033074-7E18-4901-85B1-C87A091502AE}">
      <formula1>"ALTO IMPACTO,MÉDIO IMPACTO,BAIXO IMPACTO"</formula1>
    </dataValidation>
    <dataValidation type="list" allowBlank="1" showErrorMessage="1" sqref="C8" xr:uid="{41259DFA-3C1F-48FD-BDB0-751113926FDE}">
      <formula1>"Estratégico,Financeiro,Operacional,Legal,Tecnologia,Imagem"</formula1>
    </dataValidation>
    <dataValidation type="list" allowBlank="1" showErrorMessage="1" sqref="C6" xr:uid="{4637A457-604F-4777-87B8-B3B28CD62D9C}">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88299-0B92-41E9-9E80-AA941A5B1771}">
  <dimension ref="B2:E1000"/>
  <sheetViews>
    <sheetView showGridLines="0" topLeftCell="A4" workbookViewId="0">
      <selection activeCell="C10" sqref="C10"/>
    </sheetView>
  </sheetViews>
  <sheetFormatPr defaultColWidth="12.59765625" defaultRowHeight="15" customHeight="1" x14ac:dyDescent="0.25"/>
  <cols>
    <col min="1" max="1" width="7.59765625" customWidth="1"/>
    <col min="2" max="2" width="18" customWidth="1"/>
    <col min="3" max="3" width="46.59765625" customWidth="1"/>
    <col min="4" max="26" width="7.59765625" customWidth="1"/>
  </cols>
  <sheetData>
    <row r="2" spans="2:5" ht="17.399999999999999" x14ac:dyDescent="0.25">
      <c r="B2" s="71" t="s">
        <v>380</v>
      </c>
    </row>
    <row r="3" spans="2:5" ht="16.2" thickBot="1" x14ac:dyDescent="0.3">
      <c r="B3" s="52" t="s">
        <v>289</v>
      </c>
      <c r="C3" s="53" t="s">
        <v>290</v>
      </c>
    </row>
    <row r="4" spans="2:5" ht="15.6" thickTop="1" thickBot="1" x14ac:dyDescent="0.35">
      <c r="B4" s="73" t="s">
        <v>291</v>
      </c>
      <c r="C4" s="24" t="str">
        <f>IF(C12&gt;=75,"ALTO IMPACTO",IF(C12&lt;=50,"BAIXO IMPACTO","MÉDIO IMPACTO"))</f>
        <v>ALTO IMPACTO</v>
      </c>
      <c r="E4" s="9" t="s">
        <v>381</v>
      </c>
    </row>
    <row r="5" spans="2:5" ht="55.8" thickBot="1" x14ac:dyDescent="0.3">
      <c r="B5" s="74" t="s">
        <v>123</v>
      </c>
      <c r="C5" s="75" t="str">
        <f>IFERROR(VLOOKUP(C6,'RESUMO DE PONTOS'!$C$9:$M$58,11,),"")</f>
        <v>•	31/12/2021
•	Recorrente
■	Vorcon Auditoria &amp; Consultoria
■	24/06/2022</v>
      </c>
    </row>
    <row r="6" spans="2:5" thickBot="1" x14ac:dyDescent="0.35">
      <c r="B6" s="76" t="s">
        <v>293</v>
      </c>
      <c r="C6" s="77" t="s">
        <v>376</v>
      </c>
      <c r="E6" s="9" t="s">
        <v>382</v>
      </c>
    </row>
    <row r="7" spans="2:5" ht="14.4" thickBot="1" x14ac:dyDescent="0.3">
      <c r="B7" s="74" t="s">
        <v>295</v>
      </c>
      <c r="C7" s="75" t="str">
        <f>VLOOKUP(C6,'BASE DA MATRIZ DE RISCOS'!$C$78:$D$210,2,)</f>
        <v>Ausência de Inventário dos ativos imobilizados</v>
      </c>
    </row>
    <row r="8" spans="2:5" thickBot="1" x14ac:dyDescent="0.35">
      <c r="B8" s="76" t="s">
        <v>46</v>
      </c>
      <c r="C8" s="78" t="str">
        <f>VLOOKUP(C6,'BASE DA MATRIZ DE RISCOS'!$C$78:$E$210,3,)</f>
        <v>Financeiro</v>
      </c>
      <c r="E8" s="9" t="s">
        <v>382</v>
      </c>
    </row>
    <row r="9" spans="2:5" thickBot="1" x14ac:dyDescent="0.35">
      <c r="B9" s="54" t="s">
        <v>46</v>
      </c>
      <c r="C9" s="79">
        <f>VLOOKUP($C$8,'BASE DA MATRIZ DE RISCOS'!$C$30:$E$35,3)</f>
        <v>5</v>
      </c>
      <c r="E9" s="9" t="s">
        <v>383</v>
      </c>
    </row>
    <row r="10" spans="2:5" thickBot="1" x14ac:dyDescent="0.35">
      <c r="B10" s="80" t="s">
        <v>298</v>
      </c>
      <c r="C10" s="41">
        <f>VLOOKUP(C6,'BASE DA MATRIZ DE RISCOS'!$C$78:$H$210,5,)</f>
        <v>4</v>
      </c>
      <c r="E10" s="9" t="s">
        <v>384</v>
      </c>
    </row>
    <row r="11" spans="2:5" thickBot="1" x14ac:dyDescent="0.35">
      <c r="B11" s="54" t="s">
        <v>291</v>
      </c>
      <c r="C11" s="79">
        <f>VLOOKUP(C6,'BASE DA MATRIZ DE RISCOS'!$C$78:$H$210,6,)</f>
        <v>4</v>
      </c>
      <c r="E11" s="9" t="s">
        <v>384</v>
      </c>
    </row>
    <row r="12" spans="2:5" thickBot="1" x14ac:dyDescent="0.35">
      <c r="B12" s="80" t="s">
        <v>301</v>
      </c>
      <c r="C12" s="81">
        <f>C9*C10*C11</f>
        <v>80</v>
      </c>
      <c r="E12" s="9" t="s">
        <v>385</v>
      </c>
    </row>
    <row r="13" spans="2:5" thickBot="1" x14ac:dyDescent="0.35">
      <c r="B13" s="54" t="s">
        <v>386</v>
      </c>
      <c r="C13" s="79" t="str">
        <f>VLOOKUP(C6,'BASE DA MATRIZ DE RISCOS'!$C$78:$J$210,8,)</f>
        <v>Ativo imobilizado</v>
      </c>
      <c r="E13" s="9" t="s">
        <v>387</v>
      </c>
    </row>
    <row r="14" spans="2:5" ht="28.2" thickBot="1" x14ac:dyDescent="0.3">
      <c r="B14" s="80" t="s">
        <v>290</v>
      </c>
      <c r="C14" s="41" t="str">
        <f>VLOOKUP(C$6,'RESUMO DE PONTOS'!$C$9:$H$58,3,)</f>
        <v>Não foi possível identificar o controle patrimonial dos ativos imobilizados do condomínio.</v>
      </c>
    </row>
    <row r="15" spans="2:5" ht="28.2" thickBot="1" x14ac:dyDescent="0.3">
      <c r="B15" s="54" t="s">
        <v>127</v>
      </c>
      <c r="C15" s="79" t="str">
        <f>IFERROR(VLOOKUP(C$6,'RESUMO DE PONTOS'!$C$9:$H$58,4,),"")</f>
        <v>A ausência do controle patrimonial, o condomínio poderá impactar em possíveis perdas ou desvios do ativo imobilizado.</v>
      </c>
    </row>
    <row r="16" spans="2:5" ht="14.4" thickBot="1" x14ac:dyDescent="0.3">
      <c r="B16" s="80" t="s">
        <v>128</v>
      </c>
      <c r="C16" s="127" t="str">
        <f>IFERROR(VLOOKUP(C$6,'RESUMO DE PONTOS'!$C$9:$H$58,5,),"")</f>
        <v>N/A</v>
      </c>
    </row>
    <row r="17" spans="2:3" ht="28.2" thickBot="1" x14ac:dyDescent="0.3">
      <c r="B17" s="57" t="s">
        <v>129</v>
      </c>
      <c r="C17" s="79" t="str">
        <f>IFERROR(VLOOKUP(C$6,'RESUMO DE PONTOS'!$C$9:$H$58,6,),"")</f>
        <v>Sugerimos à Administração do condomínio que busque realizar o inventário dos ativos imobilizados anualmente.</v>
      </c>
    </row>
    <row r="18" spans="2:3" ht="55.8" thickBot="1" x14ac:dyDescent="0.3">
      <c r="B18" s="82" t="s">
        <v>308</v>
      </c>
      <c r="C18" s="41" t="s">
        <v>388</v>
      </c>
    </row>
    <row r="19" spans="2:3" ht="43.8" thickBot="1" x14ac:dyDescent="0.3">
      <c r="B19" s="57" t="s">
        <v>310</v>
      </c>
      <c r="C19" s="79" t="s">
        <v>389</v>
      </c>
    </row>
    <row r="20" spans="2:3" ht="42" thickBot="1" x14ac:dyDescent="0.3">
      <c r="B20" s="80" t="s">
        <v>312</v>
      </c>
      <c r="C20" s="41" t="s">
        <v>390</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C4">
    <cfRule type="containsText" dxfId="68" priority="1" operator="containsText" text="BAIXO IMPACTO">
      <formula>NOT(ISERROR(SEARCH(("BAIXO IMPACTO"),(C4))))</formula>
    </cfRule>
  </conditionalFormatting>
  <conditionalFormatting sqref="C4">
    <cfRule type="containsText" dxfId="67" priority="2" operator="containsText" text="MÉDIO IMPACTO">
      <formula>NOT(ISERROR(SEARCH(("MÉDIO IMPACTO"),(C4))))</formula>
    </cfRule>
  </conditionalFormatting>
  <conditionalFormatting sqref="C4">
    <cfRule type="containsText" dxfId="66" priority="3" operator="containsText" text="ALTO IMPACTO">
      <formula>NOT(ISERROR(SEARCH(("ALTO IMPACTO"),(C4))))</formula>
    </cfRule>
  </conditionalFormatting>
  <dataValidations count="3">
    <dataValidation type="list" allowBlank="1" showErrorMessage="1" sqref="C6" xr:uid="{865A4EDB-0882-46D6-BC7F-546EF3B93B39}">
      <formula1>"[P1],[P2],[P3],[P4],[P5],[P6],[P7],[P8],[P9],[P10],[P11],[P12],[P13],[P14],[P15],[P16],[P17],[P18],[P19],[P20],[P21],[P22],[P23],[P24],[P25],[P26],[P27],[P28],[P29],[P30],[P31],[P32],[P33],[P34],[P35],[P36],[P37],[P38],[P39],[P40]"</formula1>
    </dataValidation>
    <dataValidation type="list" allowBlank="1" showErrorMessage="1" sqref="C8" xr:uid="{303D9239-3D51-4659-8038-90D4BC000C12}">
      <formula1>"Estratégico,Financeiro,Operacional,Legal,Tecnologia,Imagem"</formula1>
    </dataValidation>
    <dataValidation type="list" allowBlank="1" showErrorMessage="1" sqref="C4" xr:uid="{7A409A14-D242-47D7-BFA3-64093C17C64D}">
      <formula1>"ALTO IMPACTO,MÉDIO IMPACTO,BAIXO IMPACTO"</formula1>
    </dataValidation>
  </dataValidations>
  <pageMargins left="0.511811024" right="0.511811024" top="0.78740157499999996" bottom="0.78740157499999996" header="0" footer="0"/>
  <pageSetup paperSize="9" orientation="portrait"/>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8CA90-FF64-4939-B1DC-C012FAC7D464}">
  <dimension ref="B2:E1000"/>
  <sheetViews>
    <sheetView showGridLines="0" workbookViewId="0">
      <selection activeCell="B3" sqref="B3:C20"/>
    </sheetView>
  </sheetViews>
  <sheetFormatPr defaultColWidth="12.59765625" defaultRowHeight="15" customHeight="1" x14ac:dyDescent="0.25"/>
  <cols>
    <col min="1" max="1" width="7.59765625" customWidth="1"/>
    <col min="2" max="2" width="18" customWidth="1"/>
    <col min="3" max="3" width="46.59765625" customWidth="1"/>
    <col min="4" max="26" width="7.59765625" customWidth="1"/>
  </cols>
  <sheetData>
    <row r="2" spans="2:5" ht="17.399999999999999" x14ac:dyDescent="0.25">
      <c r="B2" s="71" t="s">
        <v>380</v>
      </c>
    </row>
    <row r="3" spans="2:5" ht="16.2" thickBot="1" x14ac:dyDescent="0.3">
      <c r="B3" s="52" t="s">
        <v>289</v>
      </c>
      <c r="C3" s="53" t="s">
        <v>290</v>
      </c>
    </row>
    <row r="4" spans="2:5" ht="15.6" thickTop="1" thickBot="1" x14ac:dyDescent="0.35">
      <c r="B4" s="73" t="s">
        <v>291</v>
      </c>
      <c r="C4" s="24" t="str">
        <f>IF(C12&gt;=75,"ALTO IMPACTO",IF(C12&lt;=50,"BAIXO IMPACTO","MÉDIO IMPACTO"))</f>
        <v>ALTO IMPACTO</v>
      </c>
      <c r="E4" s="9" t="s">
        <v>381</v>
      </c>
    </row>
    <row r="5" spans="2:5" ht="55.8" thickBot="1" x14ac:dyDescent="0.3">
      <c r="B5" s="74" t="s">
        <v>123</v>
      </c>
      <c r="C5" s="75" t="str">
        <f>IFERROR(VLOOKUP(C6,'RESUMO DE PONTOS'!$C$9:$M$58,11,),"")</f>
        <v>•	31/12/2021
•	Recorrente
■	Vorcon Auditoria &amp; Consultoria
■	24/06/2022</v>
      </c>
    </row>
    <row r="6" spans="2:5" thickBot="1" x14ac:dyDescent="0.35">
      <c r="B6" s="76" t="s">
        <v>293</v>
      </c>
      <c r="C6" s="77" t="s">
        <v>377</v>
      </c>
      <c r="E6" s="9" t="s">
        <v>382</v>
      </c>
    </row>
    <row r="7" spans="2:5" ht="28.2" thickBot="1" x14ac:dyDescent="0.3">
      <c r="B7" s="74" t="s">
        <v>295</v>
      </c>
      <c r="C7" s="75" t="str">
        <f>VLOOKUP(C6,'BASE DA MATRIZ DE RISCOS'!$C$78:$D$210,2,)</f>
        <v>Inexistência de informações para emissão da certidão de FGTS na Caixa econômica Federal.</v>
      </c>
    </row>
    <row r="8" spans="2:5" thickBot="1" x14ac:dyDescent="0.35">
      <c r="B8" s="76" t="s">
        <v>46</v>
      </c>
      <c r="C8" s="78" t="str">
        <f>VLOOKUP(C6,'BASE DA MATRIZ DE RISCOS'!$C$78:$E$210,3,)</f>
        <v>Legal</v>
      </c>
      <c r="E8" s="9" t="s">
        <v>382</v>
      </c>
    </row>
    <row r="9" spans="2:5" thickBot="1" x14ac:dyDescent="0.35">
      <c r="B9" s="54" t="s">
        <v>46</v>
      </c>
      <c r="C9" s="79">
        <f>VLOOKUP($C$8,'BASE DA MATRIZ DE RISCOS'!$C$30:$E$35,3)</f>
        <v>5</v>
      </c>
      <c r="E9" s="9" t="s">
        <v>383</v>
      </c>
    </row>
    <row r="10" spans="2:5" thickBot="1" x14ac:dyDescent="0.35">
      <c r="B10" s="80" t="s">
        <v>298</v>
      </c>
      <c r="C10" s="41">
        <f>VLOOKUP(C6,'BASE DA MATRIZ DE RISCOS'!$C$78:$H$210,5,)</f>
        <v>4</v>
      </c>
      <c r="E10" s="9" t="s">
        <v>384</v>
      </c>
    </row>
    <row r="11" spans="2:5" thickBot="1" x14ac:dyDescent="0.35">
      <c r="B11" s="54" t="s">
        <v>291</v>
      </c>
      <c r="C11" s="79">
        <f>VLOOKUP(C6,'BASE DA MATRIZ DE RISCOS'!$C$78:$H$210,6,)</f>
        <v>4</v>
      </c>
      <c r="E11" s="9" t="s">
        <v>384</v>
      </c>
    </row>
    <row r="12" spans="2:5" thickBot="1" x14ac:dyDescent="0.35">
      <c r="B12" s="80" t="s">
        <v>301</v>
      </c>
      <c r="C12" s="81">
        <f>C9*C10*C11</f>
        <v>80</v>
      </c>
      <c r="E12" s="9" t="s">
        <v>385</v>
      </c>
    </row>
    <row r="13" spans="2:5" thickBot="1" x14ac:dyDescent="0.35">
      <c r="B13" s="54" t="s">
        <v>386</v>
      </c>
      <c r="C13" s="79" t="str">
        <f>VLOOKUP(C6,'BASE DA MATRIZ DE RISCOS'!$C$78:$J$210,8,)</f>
        <v>Certidão</v>
      </c>
      <c r="E13" s="9" t="s">
        <v>387</v>
      </c>
    </row>
    <row r="14" spans="2:5" ht="111" thickBot="1" x14ac:dyDescent="0.3">
      <c r="B14" s="80" t="s">
        <v>290</v>
      </c>
      <c r="C14" s="41" t="str">
        <f>VLOOKUP(C$6,'RESUMO DE PONTOS'!$C$9:$H$58,3,)</f>
        <v>Ao realizar a consulta do Certificado de Regularidade Do FGTS, obtivemos a seguinte resposta: "As informações disponíveis não são suficientes para a comprovação automática da regularidade do empregador perante o FGTS. Solicitamos acessar o portal Conectividade Social, mediante certificado ICP, para verificar possíveis impedimentos ou comparecer a uma das Agências da CAIXA". Com esclarecimentos adicionais no endereçamento.</v>
      </c>
    </row>
    <row r="15" spans="2:5" ht="42" thickBot="1" x14ac:dyDescent="0.3">
      <c r="B15" s="54" t="s">
        <v>127</v>
      </c>
      <c r="C15" s="79" t="str">
        <f>IFERROR(VLOOKUP(C$6,'RESUMO DE PONTOS'!$C$9:$H$58,4,),"")</f>
        <v>A inexistência dos dados para emissão da certidão junto ao Caixa, poderá resultar no agravamento do acompanhamento das certidões.</v>
      </c>
    </row>
    <row r="16" spans="2:5" ht="14.4" thickBot="1" x14ac:dyDescent="0.3">
      <c r="B16" s="80" t="s">
        <v>128</v>
      </c>
      <c r="C16" s="127" t="str">
        <f>IFERROR(VLOOKUP(C$6,'RESUMO DE PONTOS'!$C$9:$H$58,5,),"")</f>
        <v>N/A</v>
      </c>
    </row>
    <row r="17" spans="2:3" ht="42" thickBot="1" x14ac:dyDescent="0.3">
      <c r="B17" s="57" t="s">
        <v>129</v>
      </c>
      <c r="C17" s="79" t="str">
        <f>IFERROR(VLOOKUP(C$6,'RESUMO DE PONTOS'!$C$9:$H$58,6,),"")</f>
        <v>Sugerimos que a administração entre no portal Conectividade Social da Caixa e faça o entendimento de quais dados estão faltando para verificar possíveis impedimentos.</v>
      </c>
    </row>
    <row r="18" spans="2:3" ht="55.8" thickBot="1" x14ac:dyDescent="0.3">
      <c r="B18" s="82" t="s">
        <v>308</v>
      </c>
      <c r="C18" s="41" t="s">
        <v>388</v>
      </c>
    </row>
    <row r="19" spans="2:3" ht="43.8" thickBot="1" x14ac:dyDescent="0.3">
      <c r="B19" s="57" t="s">
        <v>310</v>
      </c>
      <c r="C19" s="79" t="s">
        <v>389</v>
      </c>
    </row>
    <row r="20" spans="2:3" ht="42" thickBot="1" x14ac:dyDescent="0.3">
      <c r="B20" s="80" t="s">
        <v>312</v>
      </c>
      <c r="C20" s="41" t="s">
        <v>390</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C4">
    <cfRule type="containsText" dxfId="65" priority="1" operator="containsText" text="BAIXO IMPACTO">
      <formula>NOT(ISERROR(SEARCH(("BAIXO IMPACTO"),(C4))))</formula>
    </cfRule>
  </conditionalFormatting>
  <conditionalFormatting sqref="C4">
    <cfRule type="containsText" dxfId="64" priority="2" operator="containsText" text="MÉDIO IMPACTO">
      <formula>NOT(ISERROR(SEARCH(("MÉDIO IMPACTO"),(C4))))</formula>
    </cfRule>
  </conditionalFormatting>
  <conditionalFormatting sqref="C4">
    <cfRule type="containsText" dxfId="63" priority="3" operator="containsText" text="ALTO IMPACTO">
      <formula>NOT(ISERROR(SEARCH(("ALTO IMPACTO"),(C4))))</formula>
    </cfRule>
  </conditionalFormatting>
  <dataValidations count="3">
    <dataValidation type="list" allowBlank="1" showErrorMessage="1" sqref="C6" xr:uid="{5FECD4E8-F3D5-4897-808F-94A451622345}">
      <formula1>"[P1],[P2],[P3],[P4],[P5],[P6],[P7],[P8],[P9],[P10],[P11],[P12],[P13],[P14],[P15],[P16],[P17],[P18],[P19],[P20],[P21],[P22],[P23],[P24],[P25],[P26],[P27],[P28],[P29],[P30],[P31],[P32],[P33],[P34],[P35],[P36],[P37],[P38],[P39],[P40]"</formula1>
    </dataValidation>
    <dataValidation type="list" allowBlank="1" showErrorMessage="1" sqref="C8" xr:uid="{AA178727-D6B6-4CEE-8005-35C1A5F1C374}">
      <formula1>"Estratégico,Financeiro,Operacional,Legal,Tecnologia,Imagem"</formula1>
    </dataValidation>
    <dataValidation type="list" allowBlank="1" showErrorMessage="1" sqref="C4" xr:uid="{376A3000-ED86-4AE7-8D4B-158D32CAEBB5}">
      <formula1>"ALTO IMPACTO,MÉDIO IMPACTO,BAIXO IMPACTO"</formula1>
    </dataValidation>
  </dataValidations>
  <pageMargins left="0.511811024" right="0.511811024" top="0.78740157499999996" bottom="0.78740157499999996" header="0" footer="0"/>
  <pageSetup paperSize="9" orientation="portrait"/>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96782-BAB8-44A4-815A-4E30DCD287AB}">
  <dimension ref="B2:E1000"/>
  <sheetViews>
    <sheetView showGridLines="0" workbookViewId="0">
      <selection activeCell="B3" sqref="B3:C20"/>
    </sheetView>
  </sheetViews>
  <sheetFormatPr defaultColWidth="12.59765625" defaultRowHeight="15" customHeight="1" x14ac:dyDescent="0.25"/>
  <cols>
    <col min="1" max="1" width="7.59765625" customWidth="1"/>
    <col min="2" max="2" width="18" customWidth="1"/>
    <col min="3" max="3" width="46.59765625" customWidth="1"/>
    <col min="4" max="26" width="7.59765625" customWidth="1"/>
  </cols>
  <sheetData>
    <row r="2" spans="2:5" ht="17.399999999999999" x14ac:dyDescent="0.25">
      <c r="B2" s="71" t="s">
        <v>380</v>
      </c>
    </row>
    <row r="3" spans="2:5" ht="16.2" thickBot="1" x14ac:dyDescent="0.3">
      <c r="B3" s="52" t="s">
        <v>289</v>
      </c>
      <c r="C3" s="53" t="s">
        <v>290</v>
      </c>
    </row>
    <row r="4" spans="2:5" ht="15.6" thickTop="1" thickBot="1" x14ac:dyDescent="0.35">
      <c r="B4" s="73" t="s">
        <v>291</v>
      </c>
      <c r="C4" s="24" t="str">
        <f>IF(C12&gt;=75,"ALTO IMPACTO",IF(C12&lt;=50,"BAIXO IMPACTO","MÉDIO IMPACTO"))</f>
        <v>ALTO IMPACTO</v>
      </c>
      <c r="E4" s="9" t="s">
        <v>381</v>
      </c>
    </row>
    <row r="5" spans="2:5" ht="55.8" thickBot="1" x14ac:dyDescent="0.3">
      <c r="B5" s="74" t="s">
        <v>123</v>
      </c>
      <c r="C5" s="75" t="str">
        <f>IFERROR(VLOOKUP(C6,'RESUMO DE PONTOS'!$C$9:$M$58,11,),"")</f>
        <v>•	31/12/2021
•	Recorrente
■	Vorcon Auditoria &amp; Consultoria
■	24/06/2022</v>
      </c>
    </row>
    <row r="6" spans="2:5" thickBot="1" x14ac:dyDescent="0.35">
      <c r="B6" s="76" t="s">
        <v>293</v>
      </c>
      <c r="C6" s="77" t="s">
        <v>378</v>
      </c>
      <c r="E6" s="9"/>
    </row>
    <row r="7" spans="2:5" ht="14.4" thickBot="1" x14ac:dyDescent="0.3">
      <c r="B7" s="74" t="s">
        <v>295</v>
      </c>
      <c r="C7" s="75" t="str">
        <f>VLOOKUP(C6,'BASE DA MATRIZ DE RISCOS'!$C$78:$D$210,2,)</f>
        <v>Capacidade de arrecadação inferior aos gastos.</v>
      </c>
    </row>
    <row r="8" spans="2:5" thickBot="1" x14ac:dyDescent="0.35">
      <c r="B8" s="76" t="s">
        <v>46</v>
      </c>
      <c r="C8" s="78" t="str">
        <f>VLOOKUP(C6,'BASE DA MATRIZ DE RISCOS'!$C$78:$E$210,3,)</f>
        <v>Estratégico</v>
      </c>
      <c r="E8" s="9" t="s">
        <v>382</v>
      </c>
    </row>
    <row r="9" spans="2:5" thickBot="1" x14ac:dyDescent="0.35">
      <c r="B9" s="54" t="s">
        <v>46</v>
      </c>
      <c r="C9" s="79">
        <f>VLOOKUP($C$8,'BASE DA MATRIZ DE RISCOS'!$C$30:$E$35,3)</f>
        <v>4</v>
      </c>
      <c r="E9" s="9" t="s">
        <v>383</v>
      </c>
    </row>
    <row r="10" spans="2:5" thickBot="1" x14ac:dyDescent="0.35">
      <c r="B10" s="80" t="s">
        <v>298</v>
      </c>
      <c r="C10" s="41">
        <f>VLOOKUP(C6,'BASE DA MATRIZ DE RISCOS'!$C$78:$H$210,5,)</f>
        <v>5</v>
      </c>
      <c r="E10" s="9" t="s">
        <v>384</v>
      </c>
    </row>
    <row r="11" spans="2:5" thickBot="1" x14ac:dyDescent="0.35">
      <c r="B11" s="54" t="s">
        <v>291</v>
      </c>
      <c r="C11" s="79">
        <f>VLOOKUP(C6,'BASE DA MATRIZ DE RISCOS'!$C$78:$H$210,6,)</f>
        <v>5</v>
      </c>
      <c r="E11" s="9" t="s">
        <v>384</v>
      </c>
    </row>
    <row r="12" spans="2:5" thickBot="1" x14ac:dyDescent="0.35">
      <c r="B12" s="80" t="s">
        <v>301</v>
      </c>
      <c r="C12" s="81">
        <f>C9*C10*C11</f>
        <v>100</v>
      </c>
      <c r="E12" s="9" t="s">
        <v>385</v>
      </c>
    </row>
    <row r="13" spans="2:5" thickBot="1" x14ac:dyDescent="0.35">
      <c r="B13" s="54" t="s">
        <v>386</v>
      </c>
      <c r="C13" s="79" t="str">
        <f>VLOOKUP(C6,'BASE DA MATRIZ DE RISCOS'!$C$78:$J$210,8,)</f>
        <v>Demonstrativo de Receita e Despesas</v>
      </c>
      <c r="E13" s="9" t="s">
        <v>387</v>
      </c>
    </row>
    <row r="14" spans="2:5" ht="42" thickBot="1" x14ac:dyDescent="0.3">
      <c r="B14" s="80" t="s">
        <v>290</v>
      </c>
      <c r="C14" s="41" t="str">
        <f>VLOOKUP(C$6,'RESUMO DE PONTOS'!$C$9:$H$58,3,)</f>
        <v>As receitas do meses 02, 04, 07, 09, 10 e 12/2021 não estão sendo suficiente para cobrir as despesas, acarretando em um défict no total nesses meses de - R$ 235.528,38</v>
      </c>
    </row>
    <row r="15" spans="2:5" ht="69.599999999999994" thickBot="1" x14ac:dyDescent="0.3">
      <c r="B15" s="54" t="s">
        <v>127</v>
      </c>
      <c r="C15" s="79" t="str">
        <f>IFERROR(VLOOKUP(C$6,'RESUMO DE PONTOS'!$C$9:$H$58,4,),"")</f>
        <v>Com as despesas elevadas, o condomínio não consegue arcar com 100% das suas obrigações afetando o fluxo de caixa do financeiro, e ao mesmo tempo não consegue atingir um valor médio ou alto para o fundo de reserva para um futuro inesperado.</v>
      </c>
    </row>
    <row r="16" spans="2:5" ht="14.4" thickBot="1" x14ac:dyDescent="0.3">
      <c r="B16" s="80" t="s">
        <v>128</v>
      </c>
      <c r="C16" s="127">
        <f>IFERROR(VLOOKUP(C$6,'RESUMO DE PONTOS'!$C$9:$H$58,5,),"")</f>
        <v>-235528.38</v>
      </c>
    </row>
    <row r="17" spans="2:3" ht="42" thickBot="1" x14ac:dyDescent="0.3">
      <c r="B17" s="57" t="s">
        <v>129</v>
      </c>
      <c r="C17" s="79" t="str">
        <f>IFERROR(VLOOKUP(C$6,'RESUMO DE PONTOS'!$C$9:$H$58,6,),"")</f>
        <v>Recomendamos ao Conselho Fiscal e a Administração condominial que verifique novas ações a realizar para redução das despesas mitigando ou solucionando o problema.</v>
      </c>
    </row>
    <row r="18" spans="2:3" ht="55.8" thickBot="1" x14ac:dyDescent="0.3">
      <c r="B18" s="82" t="s">
        <v>308</v>
      </c>
      <c r="C18" s="41" t="s">
        <v>388</v>
      </c>
    </row>
    <row r="19" spans="2:3" ht="43.8" thickBot="1" x14ac:dyDescent="0.3">
      <c r="B19" s="57" t="s">
        <v>310</v>
      </c>
      <c r="C19" s="79" t="s">
        <v>389</v>
      </c>
    </row>
    <row r="20" spans="2:3" ht="42" thickBot="1" x14ac:dyDescent="0.3">
      <c r="B20" s="80" t="s">
        <v>312</v>
      </c>
      <c r="C20" s="41" t="s">
        <v>390</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C4">
    <cfRule type="containsText" dxfId="62" priority="1" operator="containsText" text="BAIXO IMPACTO">
      <formula>NOT(ISERROR(SEARCH(("BAIXO IMPACTO"),(C4))))</formula>
    </cfRule>
  </conditionalFormatting>
  <conditionalFormatting sqref="C4">
    <cfRule type="containsText" dxfId="61" priority="2" operator="containsText" text="MÉDIO IMPACTO">
      <formula>NOT(ISERROR(SEARCH(("MÉDIO IMPACTO"),(C4))))</formula>
    </cfRule>
  </conditionalFormatting>
  <conditionalFormatting sqref="C4">
    <cfRule type="containsText" dxfId="60" priority="3" operator="containsText" text="ALTO IMPACTO">
      <formula>NOT(ISERROR(SEARCH(("ALTO IMPACTO"),(C4))))</formula>
    </cfRule>
  </conditionalFormatting>
  <dataValidations count="3">
    <dataValidation type="list" allowBlank="1" showErrorMessage="1" sqref="C4" xr:uid="{6B16C121-26D8-476E-99F4-BE97BEE5BF31}">
      <formula1>"ALTO IMPACTO,MÉDIO IMPACTO,BAIXO IMPACTO"</formula1>
    </dataValidation>
    <dataValidation type="list" allowBlank="1" showErrorMessage="1" sqref="C8" xr:uid="{F8B27FE2-7C61-4AFB-B2A2-80F6E582DBC2}">
      <formula1>"Estratégico,Financeiro,Operacional,Legal,Tecnologia,Imagem"</formula1>
    </dataValidation>
    <dataValidation type="list" allowBlank="1" showErrorMessage="1" sqref="C6" xr:uid="{E71EC2A7-AAB8-4DD1-B95D-3D75EDF00576}">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EAB13-333D-4F68-8AA0-589FE28BB006}">
  <dimension ref="B2:E1000"/>
  <sheetViews>
    <sheetView showGridLines="0" workbookViewId="0">
      <selection activeCell="B3" sqref="B3:C20"/>
    </sheetView>
  </sheetViews>
  <sheetFormatPr defaultColWidth="12.59765625" defaultRowHeight="15" customHeight="1" x14ac:dyDescent="0.25"/>
  <cols>
    <col min="1" max="1" width="7.59765625" customWidth="1"/>
    <col min="2" max="2" width="18" customWidth="1"/>
    <col min="3" max="3" width="46.59765625" customWidth="1"/>
    <col min="4" max="26" width="7.59765625" customWidth="1"/>
  </cols>
  <sheetData>
    <row r="2" spans="2:5" ht="17.399999999999999" x14ac:dyDescent="0.25">
      <c r="B2" s="71" t="s">
        <v>380</v>
      </c>
    </row>
    <row r="3" spans="2:5" ht="16.2" thickBot="1" x14ac:dyDescent="0.3">
      <c r="B3" s="52" t="s">
        <v>289</v>
      </c>
      <c r="C3" s="53" t="s">
        <v>290</v>
      </c>
    </row>
    <row r="4" spans="2:5" ht="15.6" thickTop="1" thickBot="1" x14ac:dyDescent="0.35">
      <c r="B4" s="73" t="s">
        <v>291</v>
      </c>
      <c r="C4" s="24" t="str">
        <f>IF(C12&gt;=75,"ALTO IMPACTO",IF(C12&lt;=50,"BAIXO IMPACTO","MÉDIO IMPACTO"))</f>
        <v>BAIXO IMPACTO</v>
      </c>
      <c r="E4" s="9" t="s">
        <v>381</v>
      </c>
    </row>
    <row r="5" spans="2:5" ht="55.8" thickBot="1" x14ac:dyDescent="0.3">
      <c r="B5" s="74" t="s">
        <v>123</v>
      </c>
      <c r="C5" s="75" t="str">
        <f>IFERROR(VLOOKUP(C6,'RESUMO DE PONTOS'!$C$9:$M$58,11,),"")</f>
        <v>•	31/12/2021
•	Novo
■	Vorcon Auditoria &amp; Consultoria
■	24/06/2022</v>
      </c>
    </row>
    <row r="6" spans="2:5" thickBot="1" x14ac:dyDescent="0.35">
      <c r="B6" s="76" t="s">
        <v>293</v>
      </c>
      <c r="C6" s="77" t="s">
        <v>379</v>
      </c>
      <c r="E6" s="9" t="s">
        <v>382</v>
      </c>
    </row>
    <row r="7" spans="2:5" ht="14.4" thickBot="1" x14ac:dyDescent="0.3">
      <c r="B7" s="74" t="s">
        <v>295</v>
      </c>
      <c r="C7" s="75" t="str">
        <f>VLOOKUP(C6,'BASE DA MATRIZ DE RISCOS'!$C$78:$D$210,2,)</f>
        <v>Envio de Boleto Fraudado</v>
      </c>
    </row>
    <row r="8" spans="2:5" thickBot="1" x14ac:dyDescent="0.35">
      <c r="B8" s="76" t="s">
        <v>46</v>
      </c>
      <c r="C8" s="78" t="str">
        <f>VLOOKUP(C6,'BASE DA MATRIZ DE RISCOS'!$C$78:$E$210,3,)</f>
        <v>Operacional</v>
      </c>
      <c r="E8" s="9" t="s">
        <v>382</v>
      </c>
    </row>
    <row r="9" spans="2:5" thickBot="1" x14ac:dyDescent="0.35">
      <c r="B9" s="54" t="s">
        <v>46</v>
      </c>
      <c r="C9" s="79">
        <f>VLOOKUP($C$8,'BASE DA MATRIZ DE RISCOS'!$C$30:$E$35,3)</f>
        <v>4</v>
      </c>
      <c r="E9" s="9" t="s">
        <v>383</v>
      </c>
    </row>
    <row r="10" spans="2:5" thickBot="1" x14ac:dyDescent="0.35">
      <c r="B10" s="80" t="s">
        <v>298</v>
      </c>
      <c r="C10" s="41">
        <f>VLOOKUP(C6,'BASE DA MATRIZ DE RISCOS'!$C$78:$H$210,5,)</f>
        <v>1</v>
      </c>
      <c r="E10" s="9" t="s">
        <v>384</v>
      </c>
    </row>
    <row r="11" spans="2:5" thickBot="1" x14ac:dyDescent="0.35">
      <c r="B11" s="54" t="s">
        <v>291</v>
      </c>
      <c r="C11" s="79">
        <f>VLOOKUP(C6,'BASE DA MATRIZ DE RISCOS'!$C$78:$H$210,6,)</f>
        <v>1</v>
      </c>
      <c r="E11" s="9" t="s">
        <v>384</v>
      </c>
    </row>
    <row r="12" spans="2:5" thickBot="1" x14ac:dyDescent="0.35">
      <c r="B12" s="80" t="s">
        <v>301</v>
      </c>
      <c r="C12" s="81">
        <f>C9*C10*C11</f>
        <v>4</v>
      </c>
      <c r="E12" s="9" t="s">
        <v>385</v>
      </c>
    </row>
    <row r="13" spans="2:5" thickBot="1" x14ac:dyDescent="0.35">
      <c r="B13" s="54" t="s">
        <v>386</v>
      </c>
      <c r="C13" s="79" t="str">
        <f>VLOOKUP(C6,'BASE DA MATRIZ DE RISCOS'!$C$78:$J$210,8,)</f>
        <v>Demonstrativo de Receita e Despesas</v>
      </c>
      <c r="E13" s="9" t="s">
        <v>387</v>
      </c>
    </row>
    <row r="14" spans="2:5" ht="69.599999999999994" thickBot="1" x14ac:dyDescent="0.3">
      <c r="B14" s="80" t="s">
        <v>290</v>
      </c>
      <c r="C14" s="41" t="str">
        <f>VLOOKUP(C$6,'RESUMO DE PONTOS'!$C$9:$H$58,3,)</f>
        <v>Identificamos que o Condomínio enviou um possível boleto fraudado para a Condômina Jussara Barros da Unidade 2801 B no Mês 01/2021 na qual realizou o pagamento. O condomínio necessitou realizar a baixa do valor pago da condômina resultando em prejuízo financeiro de R$ 919,14.</v>
      </c>
    </row>
    <row r="15" spans="2:5" ht="69.599999999999994" thickBot="1" x14ac:dyDescent="0.3">
      <c r="B15" s="54" t="s">
        <v>127</v>
      </c>
      <c r="C15" s="79" t="str">
        <f>IFERROR(VLOOKUP(C$6,'RESUMO DE PONTOS'!$C$9:$H$58,4,),"")</f>
        <v>A falta de processo da análise do controle interno das contas a pagar sobre a verificação dos envios dos boletos recebidos pelo Advogado, poderá acarretar em envios de boletos errôneos e gerar prejuízos ao condomínio e a toda estrutura financeira condominial.</v>
      </c>
    </row>
    <row r="16" spans="2:5" ht="14.4" thickBot="1" x14ac:dyDescent="0.3">
      <c r="B16" s="80" t="s">
        <v>128</v>
      </c>
      <c r="C16" s="127">
        <f>IFERROR(VLOOKUP(C$6,'RESUMO DE PONTOS'!$C$9:$H$58,5,),"")</f>
        <v>919.14</v>
      </c>
    </row>
    <row r="17" spans="2:3" ht="42" thickBot="1" x14ac:dyDescent="0.3">
      <c r="B17" s="57" t="s">
        <v>129</v>
      </c>
      <c r="C17" s="79" t="str">
        <f>IFERROR(VLOOKUP(C$6,'RESUMO DE PONTOS'!$C$9:$H$58,6,),"")</f>
        <v>Recomendamos a Administração do Condomíonio verifique ações de controles internos para verificação dos boletos enviados aos clientes.</v>
      </c>
    </row>
    <row r="18" spans="2:3" ht="55.8" thickBot="1" x14ac:dyDescent="0.3">
      <c r="B18" s="82" t="s">
        <v>308</v>
      </c>
      <c r="C18" s="41" t="s">
        <v>388</v>
      </c>
    </row>
    <row r="19" spans="2:3" ht="43.8" thickBot="1" x14ac:dyDescent="0.3">
      <c r="B19" s="57" t="s">
        <v>310</v>
      </c>
      <c r="C19" s="79" t="s">
        <v>389</v>
      </c>
    </row>
    <row r="20" spans="2:3" ht="42" thickBot="1" x14ac:dyDescent="0.3">
      <c r="B20" s="80" t="s">
        <v>312</v>
      </c>
      <c r="C20" s="41" t="s">
        <v>390</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C4">
    <cfRule type="containsText" dxfId="59" priority="1" operator="containsText" text="BAIXO IMPACTO">
      <formula>NOT(ISERROR(SEARCH(("BAIXO IMPACTO"),(C4))))</formula>
    </cfRule>
  </conditionalFormatting>
  <conditionalFormatting sqref="C4">
    <cfRule type="containsText" dxfId="58" priority="2" operator="containsText" text="MÉDIO IMPACTO">
      <formula>NOT(ISERROR(SEARCH(("MÉDIO IMPACTO"),(C4))))</formula>
    </cfRule>
  </conditionalFormatting>
  <conditionalFormatting sqref="C4">
    <cfRule type="containsText" dxfId="57" priority="3" operator="containsText" text="ALTO IMPACTO">
      <formula>NOT(ISERROR(SEARCH(("ALTO IMPACTO"),(C4))))</formula>
    </cfRule>
  </conditionalFormatting>
  <dataValidations count="3">
    <dataValidation type="list" allowBlank="1" showErrorMessage="1" sqref="C6" xr:uid="{CC551B59-8244-4447-9DDE-998050FA1206}">
      <formula1>"[P1],[P2],[P3],[P4],[P5],[P6],[P7],[P8],[P9],[P10],[P11],[P12],[P13],[P14],[P15],[P16],[P17],[P18],[P19],[P20],[P21],[P22],[P23],[P24],[P25],[P26],[P27],[P28],[P29],[P30],[P31],[P32],[P33],[P34],[P35],[P36],[P37],[P38],[P39],[P40]"</formula1>
    </dataValidation>
    <dataValidation type="list" allowBlank="1" showErrorMessage="1" sqref="C8" xr:uid="{F4D76E79-8433-49F6-8270-B52A23FC9F29}">
      <formula1>"Estratégico,Financeiro,Operacional,Legal,Tecnologia,Imagem"</formula1>
    </dataValidation>
    <dataValidation type="list" allowBlank="1" showErrorMessage="1" sqref="C4" xr:uid="{13AEA429-AAB0-49F3-BC19-09037013A18E}">
      <formula1>"ALTO IMPACTO,MÉDIO IMPACTO,BAIXO IMPACTO"</formula1>
    </dataValidation>
  </dataValidations>
  <pageMargins left="0.511811024" right="0.511811024" top="0.78740157499999996" bottom="0.78740157499999996" header="0" footer="0"/>
  <pageSetup paperSize="9"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63036-1903-4575-9221-57CC5BE1573E}">
  <dimension ref="B2:E1000"/>
  <sheetViews>
    <sheetView showGridLines="0" workbookViewId="0">
      <selection activeCell="B3" sqref="B3:C20"/>
    </sheetView>
  </sheetViews>
  <sheetFormatPr defaultColWidth="12.59765625" defaultRowHeight="15" customHeight="1" x14ac:dyDescent="0.25"/>
  <cols>
    <col min="1" max="1" width="7.59765625" customWidth="1"/>
    <col min="2" max="2" width="18" customWidth="1"/>
    <col min="3" max="3" width="46.59765625" customWidth="1"/>
    <col min="4" max="26" width="7.59765625" customWidth="1"/>
  </cols>
  <sheetData>
    <row r="2" spans="2:5" ht="17.399999999999999" x14ac:dyDescent="0.25">
      <c r="B2" s="71" t="s">
        <v>380</v>
      </c>
    </row>
    <row r="3" spans="2:5" ht="16.2" thickBot="1" x14ac:dyDescent="0.3">
      <c r="B3" s="52" t="s">
        <v>289</v>
      </c>
      <c r="C3" s="53" t="s">
        <v>290</v>
      </c>
    </row>
    <row r="4" spans="2:5" ht="15.6" thickTop="1" thickBot="1" x14ac:dyDescent="0.35">
      <c r="B4" s="73" t="s">
        <v>291</v>
      </c>
      <c r="C4" s="24" t="str">
        <f>IF(C12&gt;=75,"ALTO IMPACTO",IF(C12&lt;=50,"BAIXO IMPACTO","MÉDIO IMPACTO"))</f>
        <v>BAIXO IMPACTO</v>
      </c>
      <c r="E4" s="9" t="s">
        <v>381</v>
      </c>
    </row>
    <row r="5" spans="2:5" ht="55.8" thickBot="1" x14ac:dyDescent="0.3">
      <c r="B5" s="74" t="s">
        <v>123</v>
      </c>
      <c r="C5" s="75" t="str">
        <f>IFERROR(VLOOKUP(C6,'RESUMO DE PONTOS'!$C$9:$M$58,11,),"")</f>
        <v>•	31/12/2021
•	Novo
■	Vorcon Auditoria &amp; Consultoria
■	24/06/2022</v>
      </c>
    </row>
    <row r="6" spans="2:5" thickBot="1" x14ac:dyDescent="0.35">
      <c r="B6" s="76" t="s">
        <v>293</v>
      </c>
      <c r="C6" s="77" t="s">
        <v>636</v>
      </c>
      <c r="E6" s="9" t="s">
        <v>382</v>
      </c>
    </row>
    <row r="7" spans="2:5" ht="14.4" thickBot="1" x14ac:dyDescent="0.3">
      <c r="B7" s="74" t="s">
        <v>295</v>
      </c>
      <c r="C7" s="75" t="str">
        <f>VLOOKUP(C6,'BASE DA MATRIZ DE RISCOS'!$C$78:$D$210,2,)</f>
        <v>Débito automático referente ao bloqueio judicial</v>
      </c>
    </row>
    <row r="8" spans="2:5" thickBot="1" x14ac:dyDescent="0.35">
      <c r="B8" s="76" t="s">
        <v>46</v>
      </c>
      <c r="C8" s="78" t="str">
        <f>VLOOKUP(C6,'BASE DA MATRIZ DE RISCOS'!$C$78:$E$210,3,)</f>
        <v>Legal</v>
      </c>
      <c r="E8" s="9" t="s">
        <v>382</v>
      </c>
    </row>
    <row r="9" spans="2:5" thickBot="1" x14ac:dyDescent="0.35">
      <c r="B9" s="54" t="s">
        <v>46</v>
      </c>
      <c r="C9" s="79">
        <f>VLOOKUP($C$8,'BASE DA MATRIZ DE RISCOS'!$C$30:$E$35,3)</f>
        <v>5</v>
      </c>
      <c r="E9" s="9" t="s">
        <v>383</v>
      </c>
    </row>
    <row r="10" spans="2:5" thickBot="1" x14ac:dyDescent="0.35">
      <c r="B10" s="80" t="s">
        <v>298</v>
      </c>
      <c r="C10" s="41">
        <f>VLOOKUP(C6,'BASE DA MATRIZ DE RISCOS'!$C$78:$H$210,5,)</f>
        <v>3</v>
      </c>
      <c r="E10" s="9" t="s">
        <v>384</v>
      </c>
    </row>
    <row r="11" spans="2:5" thickBot="1" x14ac:dyDescent="0.35">
      <c r="B11" s="54" t="s">
        <v>291</v>
      </c>
      <c r="C11" s="79">
        <f>VLOOKUP(C6,'BASE DA MATRIZ DE RISCOS'!$C$78:$H$210,6,)</f>
        <v>1</v>
      </c>
      <c r="E11" s="9" t="s">
        <v>384</v>
      </c>
    </row>
    <row r="12" spans="2:5" thickBot="1" x14ac:dyDescent="0.35">
      <c r="B12" s="80" t="s">
        <v>301</v>
      </c>
      <c r="C12" s="81">
        <f>C9*C10*C11</f>
        <v>15</v>
      </c>
      <c r="E12" s="9" t="s">
        <v>385</v>
      </c>
    </row>
    <row r="13" spans="2:5" thickBot="1" x14ac:dyDescent="0.35">
      <c r="B13" s="54" t="s">
        <v>386</v>
      </c>
      <c r="C13" s="79" t="str">
        <f>VLOOKUP(C6,'BASE DA MATRIZ DE RISCOS'!$C$78:$J$210,8,)</f>
        <v>Extratos</v>
      </c>
      <c r="E13" s="9" t="s">
        <v>387</v>
      </c>
    </row>
    <row r="14" spans="2:5" ht="55.8" thickBot="1" x14ac:dyDescent="0.3">
      <c r="B14" s="80" t="s">
        <v>290</v>
      </c>
      <c r="C14" s="41" t="str">
        <f>VLOOKUP(C$6,'RESUMO DE PONTOS'!$C$9:$H$58,3,)</f>
        <v>Identificamos nos extratos e nas despesas operacionais que houve o débito automático de de R$ 1.045,19 no mês 8/2021 e de R$ 420,069 no mês 09/2021 referente ao bloqueio judicial.</v>
      </c>
    </row>
    <row r="15" spans="2:5" ht="28.2" thickBot="1" x14ac:dyDescent="0.3">
      <c r="B15" s="54" t="s">
        <v>127</v>
      </c>
      <c r="C15" s="79" t="str">
        <f>IFERROR(VLOOKUP(C$6,'RESUMO DE PONTOS'!$C$9:$H$58,4,),"")</f>
        <v xml:space="preserve">Os gastos com bloqueios judiciais geram possíveis prejuízos ao condomínio e a toda estrutura financeira condominial. </v>
      </c>
    </row>
    <row r="16" spans="2:5" ht="14.4" thickBot="1" x14ac:dyDescent="0.3">
      <c r="B16" s="80" t="s">
        <v>128</v>
      </c>
      <c r="C16" s="127">
        <f>IFERROR(VLOOKUP(C$6,'RESUMO DE PONTOS'!$C$9:$H$58,5,),"")</f>
        <v>1465.259</v>
      </c>
    </row>
    <row r="17" spans="2:3" ht="42" thickBot="1" x14ac:dyDescent="0.3">
      <c r="B17" s="57" t="s">
        <v>129</v>
      </c>
      <c r="C17" s="79" t="str">
        <f>IFERROR(VLOOKUP(C$6,'RESUMO DE PONTOS'!$C$9:$H$58,6,),"")</f>
        <v>Sugerimos a Administração do Condomínio que mantenha o monitoramento constante dos processos financeiros e judicial acompanhando os processos em andamento.</v>
      </c>
    </row>
    <row r="18" spans="2:3" ht="55.8" thickBot="1" x14ac:dyDescent="0.3">
      <c r="B18" s="82" t="s">
        <v>308</v>
      </c>
      <c r="C18" s="41" t="s">
        <v>388</v>
      </c>
    </row>
    <row r="19" spans="2:3" ht="43.8" thickBot="1" x14ac:dyDescent="0.3">
      <c r="B19" s="57" t="s">
        <v>310</v>
      </c>
      <c r="C19" s="79" t="s">
        <v>389</v>
      </c>
    </row>
    <row r="20" spans="2:3" ht="42" thickBot="1" x14ac:dyDescent="0.3">
      <c r="B20" s="80" t="s">
        <v>312</v>
      </c>
      <c r="C20" s="41" t="s">
        <v>390</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C4">
    <cfRule type="containsText" dxfId="56" priority="1" operator="containsText" text="BAIXO IMPACTO">
      <formula>NOT(ISERROR(SEARCH(("BAIXO IMPACTO"),(C4))))</formula>
    </cfRule>
  </conditionalFormatting>
  <conditionalFormatting sqref="C4">
    <cfRule type="containsText" dxfId="55" priority="2" operator="containsText" text="MÉDIO IMPACTO">
      <formula>NOT(ISERROR(SEARCH(("MÉDIO IMPACTO"),(C4))))</formula>
    </cfRule>
  </conditionalFormatting>
  <conditionalFormatting sqref="C4">
    <cfRule type="containsText" dxfId="54" priority="3" operator="containsText" text="ALTO IMPACTO">
      <formula>NOT(ISERROR(SEARCH(("ALTO IMPACTO"),(C4))))</formula>
    </cfRule>
  </conditionalFormatting>
  <dataValidations count="3">
    <dataValidation type="list" allowBlank="1" showErrorMessage="1" sqref="C4" xr:uid="{55F9FCC8-CA5E-4C8F-A39B-D77C0DBCFC74}">
      <formula1>"ALTO IMPACTO,MÉDIO IMPACTO,BAIXO IMPACTO"</formula1>
    </dataValidation>
    <dataValidation type="list" allowBlank="1" showErrorMessage="1" sqref="C8" xr:uid="{5E368F4E-7F29-4132-ABBA-A32C3C555964}">
      <formula1>"Estratégico,Financeiro,Operacional,Legal,Tecnologia,Imagem"</formula1>
    </dataValidation>
    <dataValidation type="list" allowBlank="1" showErrorMessage="1" sqref="C6" xr:uid="{F07F679A-308B-424C-9CB0-E67EDC929C7F}">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E728B-5238-44DD-B8D2-3B2B22B9BA7D}">
  <dimension ref="B2:E1000"/>
  <sheetViews>
    <sheetView showGridLines="0" workbookViewId="0">
      <selection activeCell="C12" sqref="C12"/>
    </sheetView>
  </sheetViews>
  <sheetFormatPr defaultColWidth="12.59765625" defaultRowHeight="15" customHeight="1" x14ac:dyDescent="0.25"/>
  <cols>
    <col min="1" max="1" width="7.59765625" customWidth="1"/>
    <col min="2" max="2" width="18" customWidth="1"/>
    <col min="3" max="3" width="46.59765625" customWidth="1"/>
    <col min="4" max="26" width="7.59765625" customWidth="1"/>
  </cols>
  <sheetData>
    <row r="2" spans="2:5" ht="17.399999999999999" x14ac:dyDescent="0.25">
      <c r="B2" s="71" t="s">
        <v>380</v>
      </c>
    </row>
    <row r="3" spans="2:5" ht="16.2" thickBot="1" x14ac:dyDescent="0.3">
      <c r="B3" s="52" t="s">
        <v>289</v>
      </c>
      <c r="C3" s="53" t="s">
        <v>290</v>
      </c>
    </row>
    <row r="4" spans="2:5" ht="15.6" thickTop="1" thickBot="1" x14ac:dyDescent="0.35">
      <c r="B4" s="73" t="s">
        <v>291</v>
      </c>
      <c r="C4" s="24" t="str">
        <f>IF(C12&gt;=75,"ALTO IMPACTO",IF(C12&lt;=50,"BAIXO IMPACTO","MÉDIO IMPACTO"))</f>
        <v>BAIXO IMPACTO</v>
      </c>
      <c r="E4" s="9" t="s">
        <v>381</v>
      </c>
    </row>
    <row r="5" spans="2:5" ht="55.8" thickBot="1" x14ac:dyDescent="0.3">
      <c r="B5" s="74" t="s">
        <v>123</v>
      </c>
      <c r="C5" s="75" t="str">
        <f>IFERROR(VLOOKUP(C6,'RESUMO DE PONTOS'!$C$9:$M$58,11,),"")</f>
        <v>•	31/12/2021
•	Novo
■	Vorcon Auditoria &amp; Consultoria
■	24/06/2022</v>
      </c>
    </row>
    <row r="6" spans="2:5" thickBot="1" x14ac:dyDescent="0.35">
      <c r="B6" s="76" t="s">
        <v>293</v>
      </c>
      <c r="C6" s="77" t="s">
        <v>637</v>
      </c>
      <c r="E6" s="9" t="s">
        <v>382</v>
      </c>
    </row>
    <row r="7" spans="2:5" ht="14.4" thickBot="1" x14ac:dyDescent="0.3">
      <c r="B7" s="74" t="s">
        <v>295</v>
      </c>
      <c r="C7" s="75" t="str">
        <f>VLOOKUP(C6,'BASE DA MATRIZ DE RISCOS'!$C$78:$D$210,2,)</f>
        <v>Saldo bloqueado Custódia de Caução.</v>
      </c>
    </row>
    <row r="8" spans="2:5" thickBot="1" x14ac:dyDescent="0.35">
      <c r="B8" s="76" t="s">
        <v>46</v>
      </c>
      <c r="C8" s="78" t="str">
        <f>VLOOKUP(C6,'BASE DA MATRIZ DE RISCOS'!$C$78:$E$210,3,)</f>
        <v>Financeiro</v>
      </c>
      <c r="E8" s="9" t="s">
        <v>382</v>
      </c>
    </row>
    <row r="9" spans="2:5" thickBot="1" x14ac:dyDescent="0.35">
      <c r="B9" s="54" t="s">
        <v>46</v>
      </c>
      <c r="C9" s="79">
        <f>VLOOKUP($C$8,'BASE DA MATRIZ DE RISCOS'!$C$30:$E$35,3)</f>
        <v>5</v>
      </c>
      <c r="E9" s="9" t="s">
        <v>383</v>
      </c>
    </row>
    <row r="10" spans="2:5" thickBot="1" x14ac:dyDescent="0.35">
      <c r="B10" s="80" t="s">
        <v>298</v>
      </c>
      <c r="C10" s="41">
        <f>VLOOKUP(C6,'BASE DA MATRIZ DE RISCOS'!$C$78:$H$210,5,)</f>
        <v>5</v>
      </c>
      <c r="E10" s="9" t="s">
        <v>384</v>
      </c>
    </row>
    <row r="11" spans="2:5" thickBot="1" x14ac:dyDescent="0.35">
      <c r="B11" s="54" t="s">
        <v>291</v>
      </c>
      <c r="C11" s="79">
        <f>VLOOKUP(C6,'BASE DA MATRIZ DE RISCOS'!$C$78:$H$210,6,)</f>
        <v>1</v>
      </c>
      <c r="E11" s="9" t="s">
        <v>384</v>
      </c>
    </row>
    <row r="12" spans="2:5" thickBot="1" x14ac:dyDescent="0.35">
      <c r="B12" s="80" t="s">
        <v>301</v>
      </c>
      <c r="C12" s="81">
        <f>C9*C10*C11</f>
        <v>25</v>
      </c>
      <c r="E12" s="9" t="s">
        <v>385</v>
      </c>
    </row>
    <row r="13" spans="2:5" thickBot="1" x14ac:dyDescent="0.35">
      <c r="B13" s="54" t="s">
        <v>386</v>
      </c>
      <c r="C13" s="79" t="str">
        <f>VLOOKUP(C6,'BASE DA MATRIZ DE RISCOS'!$C$78:$J$210,8,)</f>
        <v>Demonstrativo de Receita e Despesas</v>
      </c>
      <c r="E13" s="9" t="s">
        <v>387</v>
      </c>
    </row>
    <row r="14" spans="2:5" ht="33" customHeight="1" thickBot="1" x14ac:dyDescent="0.3">
      <c r="B14" s="80" t="s">
        <v>290</v>
      </c>
      <c r="C14" s="41" t="str">
        <f>VLOOKUP(C$6,'RESUMO DE PONTOS'!$C$9:$H$58,3,)</f>
        <v>Identificamos que durante os meses 09, 10, 11 e 12/2021 o condomínio  está em opção custodia caução no valor R$ 4.889,37 nas contas, Bradesco e Caixa Econômica devido a cancelamento do acesso ao conta CEF não foi possível atualizar o saldo das contas.</v>
      </c>
    </row>
    <row r="15" spans="2:5" ht="55.8" thickBot="1" x14ac:dyDescent="0.3">
      <c r="B15" s="54" t="s">
        <v>127</v>
      </c>
      <c r="C15" s="79" t="str">
        <f>IFERROR(VLOOKUP(C$6,'RESUMO DE PONTOS'!$C$9:$H$58,4,),"")</f>
        <v>Devido ao bloqueio do saldo da conta CEF, não foi possível atualizar o saldo das contas nos meses 09, 10, 11 e 12/2021 podendo afetar diretamente o fluxo de caixa e o controle do financeiro do condomínio.</v>
      </c>
    </row>
    <row r="16" spans="2:5" ht="14.4" thickBot="1" x14ac:dyDescent="0.3">
      <c r="B16" s="80" t="s">
        <v>128</v>
      </c>
      <c r="C16" s="127">
        <f>IFERROR(VLOOKUP(C$6,'RESUMO DE PONTOS'!$C$9:$H$58,5,),"")</f>
        <v>4889.37</v>
      </c>
    </row>
    <row r="17" spans="2:3" ht="28.2" thickBot="1" x14ac:dyDescent="0.3">
      <c r="B17" s="57" t="s">
        <v>129</v>
      </c>
      <c r="C17" s="79" t="str">
        <f>IFERROR(VLOOKUP(C$6,'RESUMO DE PONTOS'!$C$9:$H$58,6,),"")</f>
        <v>Sugerimos que a administração entre em contato com a Caixa Econômica Federal e verificar os possíveis impedimentos.</v>
      </c>
    </row>
    <row r="18" spans="2:3" ht="55.8" thickBot="1" x14ac:dyDescent="0.3">
      <c r="B18" s="82" t="s">
        <v>308</v>
      </c>
      <c r="C18" s="41" t="s">
        <v>388</v>
      </c>
    </row>
    <row r="19" spans="2:3" ht="43.8" thickBot="1" x14ac:dyDescent="0.3">
      <c r="B19" s="57" t="s">
        <v>310</v>
      </c>
      <c r="C19" s="79" t="s">
        <v>389</v>
      </c>
    </row>
    <row r="20" spans="2:3" ht="42" thickBot="1" x14ac:dyDescent="0.3">
      <c r="B20" s="80" t="s">
        <v>312</v>
      </c>
      <c r="C20" s="41" t="s">
        <v>390</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C4">
    <cfRule type="containsText" dxfId="53" priority="1" operator="containsText" text="BAIXO IMPACTO">
      <formula>NOT(ISERROR(SEARCH(("BAIXO IMPACTO"),(C4))))</formula>
    </cfRule>
  </conditionalFormatting>
  <conditionalFormatting sqref="C4">
    <cfRule type="containsText" dxfId="52" priority="2" operator="containsText" text="MÉDIO IMPACTO">
      <formula>NOT(ISERROR(SEARCH(("MÉDIO IMPACTO"),(C4))))</formula>
    </cfRule>
  </conditionalFormatting>
  <conditionalFormatting sqref="C4">
    <cfRule type="containsText" dxfId="51" priority="3" operator="containsText" text="ALTO IMPACTO">
      <formula>NOT(ISERROR(SEARCH(("ALTO IMPACTO"),(C4))))</formula>
    </cfRule>
  </conditionalFormatting>
  <dataValidations count="3">
    <dataValidation type="list" allowBlank="1" showErrorMessage="1" sqref="C4" xr:uid="{05ECF68C-BD1A-46B6-8CDE-00886EDFCEF3}">
      <formula1>"ALTO IMPACTO,MÉDIO IMPACTO,BAIXO IMPACTO"</formula1>
    </dataValidation>
    <dataValidation type="list" allowBlank="1" showErrorMessage="1" sqref="C8" xr:uid="{48C61C62-6CAC-4052-8FED-87FE0B37CE7D}">
      <formula1>"Estratégico,Financeiro,Operacional,Legal,Tecnologia,Imagem"</formula1>
    </dataValidation>
    <dataValidation type="list" allowBlank="1" showErrorMessage="1" sqref="C6" xr:uid="{B4006F70-8C83-4D2B-B042-E749EA6BF645}">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B6FD5-1D47-4D08-B5A0-9BBAA221BB31}">
  <dimension ref="B2:E1000"/>
  <sheetViews>
    <sheetView showGridLines="0" workbookViewId="0">
      <selection activeCell="K19" sqref="K19"/>
    </sheetView>
  </sheetViews>
  <sheetFormatPr defaultColWidth="12.59765625" defaultRowHeight="15" customHeight="1" x14ac:dyDescent="0.25"/>
  <cols>
    <col min="1" max="1" width="7.59765625" customWidth="1"/>
    <col min="2" max="2" width="18" customWidth="1"/>
    <col min="3" max="3" width="46.59765625" customWidth="1"/>
    <col min="4" max="26" width="7.59765625" customWidth="1"/>
  </cols>
  <sheetData>
    <row r="2" spans="2:5" ht="17.399999999999999" x14ac:dyDescent="0.25">
      <c r="B2" s="71" t="s">
        <v>380</v>
      </c>
    </row>
    <row r="3" spans="2:5" ht="16.2" thickBot="1" x14ac:dyDescent="0.3">
      <c r="B3" s="52" t="s">
        <v>289</v>
      </c>
      <c r="C3" s="53" t="s">
        <v>290</v>
      </c>
    </row>
    <row r="4" spans="2:5" ht="15.6" thickTop="1" thickBot="1" x14ac:dyDescent="0.35">
      <c r="B4" s="73" t="s">
        <v>291</v>
      </c>
      <c r="C4" s="24" t="str">
        <f>IF(C12&gt;=75,"ALTO IMPACTO",IF(C12&lt;=50,"BAIXO IMPACTO","MÉDIO IMPACTO"))</f>
        <v>BAIXO IMPACTO</v>
      </c>
      <c r="E4" s="9" t="s">
        <v>381</v>
      </c>
    </row>
    <row r="5" spans="2:5" ht="55.8" thickBot="1" x14ac:dyDescent="0.3">
      <c r="B5" s="74" t="s">
        <v>123</v>
      </c>
      <c r="C5" s="75" t="str">
        <f>IFERROR(VLOOKUP(C6,'RESUMO DE PONTOS'!$C$9:$M$58,11,),"")</f>
        <v>•	31/12/2021
•	Novo
■	Vorcon Auditoria &amp; Consultoria
■	24/06/2022</v>
      </c>
    </row>
    <row r="6" spans="2:5" thickBot="1" x14ac:dyDescent="0.35">
      <c r="B6" s="76" t="s">
        <v>293</v>
      </c>
      <c r="C6" s="77" t="s">
        <v>638</v>
      </c>
      <c r="E6" s="9" t="s">
        <v>382</v>
      </c>
    </row>
    <row r="7" spans="2:5" ht="28.2" thickBot="1" x14ac:dyDescent="0.3">
      <c r="B7" s="74" t="s">
        <v>295</v>
      </c>
      <c r="C7" s="75" t="str">
        <f>VLOOKUP(C6,'BASE DA MATRIZ DE RISCOS'!$C$78:$D$210,2,)</f>
        <v>Não há classificação de expectativa de ganho para algumas causas ativas e de perda para as passivas.</v>
      </c>
    </row>
    <row r="8" spans="2:5" thickBot="1" x14ac:dyDescent="0.35">
      <c r="B8" s="76" t="s">
        <v>46</v>
      </c>
      <c r="C8" s="78" t="str">
        <f>VLOOKUP(C6,'BASE DA MATRIZ DE RISCOS'!$C$78:$E$210,3,)</f>
        <v>Legal</v>
      </c>
      <c r="E8" s="9" t="s">
        <v>382</v>
      </c>
    </row>
    <row r="9" spans="2:5" thickBot="1" x14ac:dyDescent="0.35">
      <c r="B9" s="54" t="s">
        <v>46</v>
      </c>
      <c r="C9" s="79">
        <f>VLOOKUP($C$8,'BASE DA MATRIZ DE RISCOS'!$C$30:$E$35,3)</f>
        <v>5</v>
      </c>
      <c r="E9" s="9" t="s">
        <v>383</v>
      </c>
    </row>
    <row r="10" spans="2:5" thickBot="1" x14ac:dyDescent="0.35">
      <c r="B10" s="80" t="s">
        <v>298</v>
      </c>
      <c r="C10" s="41">
        <f>VLOOKUP(C6,'BASE DA MATRIZ DE RISCOS'!$C$78:$H$210,5,)</f>
        <v>3</v>
      </c>
      <c r="E10" s="9" t="s">
        <v>384</v>
      </c>
    </row>
    <row r="11" spans="2:5" thickBot="1" x14ac:dyDescent="0.35">
      <c r="B11" s="54" t="s">
        <v>291</v>
      </c>
      <c r="C11" s="79">
        <f>VLOOKUP(C6,'BASE DA MATRIZ DE RISCOS'!$C$78:$H$210,6,)</f>
        <v>2</v>
      </c>
      <c r="E11" s="9" t="s">
        <v>384</v>
      </c>
    </row>
    <row r="12" spans="2:5" thickBot="1" x14ac:dyDescent="0.35">
      <c r="B12" s="80" t="s">
        <v>301</v>
      </c>
      <c r="C12" s="81">
        <f>C9*C10*C11</f>
        <v>30</v>
      </c>
      <c r="E12" s="9" t="s">
        <v>385</v>
      </c>
    </row>
    <row r="13" spans="2:5" thickBot="1" x14ac:dyDescent="0.35">
      <c r="B13" s="54" t="s">
        <v>386</v>
      </c>
      <c r="C13" s="79" t="str">
        <f>VLOOKUP(C6,'BASE DA MATRIZ DE RISCOS'!$C$78:$J$210,8,)</f>
        <v>Contigência</v>
      </c>
      <c r="E13" s="9" t="s">
        <v>387</v>
      </c>
    </row>
    <row r="14" spans="2:5" ht="28.2" thickBot="1" x14ac:dyDescent="0.3">
      <c r="B14" s="80" t="s">
        <v>290</v>
      </c>
      <c r="C14" s="41" t="str">
        <f>VLOOKUP(C$6,'RESUMO DE PONTOS'!$C$9:$H$58,3,)</f>
        <v>Não há classificação de expectativa de ganho para algumas causas ativas e de perda para as passivas.</v>
      </c>
    </row>
    <row r="15" spans="2:5" ht="55.8" thickBot="1" x14ac:dyDescent="0.3">
      <c r="B15" s="54" t="s">
        <v>127</v>
      </c>
      <c r="C15" s="79" t="str">
        <f>IFERROR(VLOOKUP(C$6,'RESUMO DE PONTOS'!$C$9:$H$58,4,),"")</f>
        <v>Verificamos os relatórios de contingências de 2021 e não identificamos quais expectativas de ganho ou perda no contrato.
• Passivas – montante de R$ 22.000,00</v>
      </c>
    </row>
    <row r="16" spans="2:5" ht="14.4" thickBot="1" x14ac:dyDescent="0.3">
      <c r="B16" s="80" t="s">
        <v>128</v>
      </c>
      <c r="C16" s="127">
        <f>IFERROR(VLOOKUP(C$6,'RESUMO DE PONTOS'!$C$9:$H$58,5,),"")</f>
        <v>22000</v>
      </c>
    </row>
    <row r="17" spans="2:3" ht="42" thickBot="1" x14ac:dyDescent="0.3">
      <c r="B17" s="57" t="s">
        <v>129</v>
      </c>
      <c r="C17" s="79" t="str">
        <f>IFERROR(VLOOKUP(C$6,'RESUMO DE PONTOS'!$C$9:$H$58,6,),"")</f>
        <v>Recomendamos que o jurídico do condomínio forneça informações relativa a estimativa de perda ou ganhos dos processos ativos.</v>
      </c>
    </row>
    <row r="18" spans="2:3" ht="55.8" thickBot="1" x14ac:dyDescent="0.3">
      <c r="B18" s="82" t="s">
        <v>308</v>
      </c>
      <c r="C18" s="41" t="s">
        <v>388</v>
      </c>
    </row>
    <row r="19" spans="2:3" ht="43.8" thickBot="1" x14ac:dyDescent="0.3">
      <c r="B19" s="57" t="s">
        <v>310</v>
      </c>
      <c r="C19" s="79" t="s">
        <v>389</v>
      </c>
    </row>
    <row r="20" spans="2:3" ht="42" thickBot="1" x14ac:dyDescent="0.3">
      <c r="B20" s="80" t="s">
        <v>312</v>
      </c>
      <c r="C20" s="41" t="s">
        <v>390</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C4">
    <cfRule type="containsText" dxfId="50" priority="1" operator="containsText" text="BAIXO IMPACTO">
      <formula>NOT(ISERROR(SEARCH(("BAIXO IMPACTO"),(C4))))</formula>
    </cfRule>
  </conditionalFormatting>
  <conditionalFormatting sqref="C4">
    <cfRule type="containsText" dxfId="49" priority="2" operator="containsText" text="MÉDIO IMPACTO">
      <formula>NOT(ISERROR(SEARCH(("MÉDIO IMPACTO"),(C4))))</formula>
    </cfRule>
  </conditionalFormatting>
  <conditionalFormatting sqref="C4">
    <cfRule type="containsText" dxfId="48" priority="3" operator="containsText" text="ALTO IMPACTO">
      <formula>NOT(ISERROR(SEARCH(("ALTO IMPACTO"),(C4))))</formula>
    </cfRule>
  </conditionalFormatting>
  <dataValidations count="3">
    <dataValidation type="list" allowBlank="1" showErrorMessage="1" sqref="C4" xr:uid="{4C614907-7ADF-48B1-9D47-4B559C8D25FC}">
      <formula1>"ALTO IMPACTO,MÉDIO IMPACTO,BAIXO IMPACTO"</formula1>
    </dataValidation>
    <dataValidation type="list" allowBlank="1" showErrorMessage="1" sqref="C8" xr:uid="{44FA8387-BEAD-4CBD-A24E-45EBA3B98835}">
      <formula1>"Estratégico,Financeiro,Operacional,Legal,Tecnologia,Imagem"</formula1>
    </dataValidation>
    <dataValidation type="list" allowBlank="1" showErrorMessage="1" sqref="C6" xr:uid="{A6E62FA3-D93B-4D0B-BAC5-A219FDAC8973}">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BF2F7-CBA9-4447-813D-7DAC705A9063}">
  <dimension ref="B2:E1000"/>
  <sheetViews>
    <sheetView showGridLines="0" topLeftCell="A3" workbookViewId="0">
      <selection activeCell="B3" sqref="B3:C20"/>
    </sheetView>
  </sheetViews>
  <sheetFormatPr defaultColWidth="12.59765625" defaultRowHeight="15" customHeight="1" x14ac:dyDescent="0.25"/>
  <cols>
    <col min="1" max="1" width="7.59765625" customWidth="1"/>
    <col min="2" max="2" width="18" customWidth="1"/>
    <col min="3" max="3" width="46.59765625" customWidth="1"/>
    <col min="4" max="26" width="7.59765625" customWidth="1"/>
  </cols>
  <sheetData>
    <row r="2" spans="2:5" ht="17.399999999999999" x14ac:dyDescent="0.25">
      <c r="B2" s="71" t="s">
        <v>380</v>
      </c>
    </row>
    <row r="3" spans="2:5" ht="16.2" thickBot="1" x14ac:dyDescent="0.3">
      <c r="B3" s="52" t="s">
        <v>289</v>
      </c>
      <c r="C3" s="53" t="s">
        <v>290</v>
      </c>
    </row>
    <row r="4" spans="2:5" ht="15.6" thickTop="1" thickBot="1" x14ac:dyDescent="0.35">
      <c r="B4" s="73" t="s">
        <v>291</v>
      </c>
      <c r="C4" s="24" t="str">
        <f>IF(C12&gt;=75,"ALTO IMPACTO",IF(C12&lt;=50,"BAIXO IMPACTO","MÉDIO IMPACTO"))</f>
        <v>BAIXO IMPACTO</v>
      </c>
      <c r="E4" s="9" t="s">
        <v>381</v>
      </c>
    </row>
    <row r="5" spans="2:5" ht="14.4" thickBot="1" x14ac:dyDescent="0.3">
      <c r="B5" s="74" t="s">
        <v>123</v>
      </c>
      <c r="C5" s="75" t="str">
        <f>IFERROR(VLOOKUP(C6,'RESUMO DE PONTOS'!$C$9:$M$58,10,),"")</f>
        <v>Alto Impacto</v>
      </c>
    </row>
    <row r="6" spans="2:5" thickBot="1" x14ac:dyDescent="0.35">
      <c r="B6" s="76" t="s">
        <v>293</v>
      </c>
      <c r="C6" s="77" t="s">
        <v>639</v>
      </c>
      <c r="E6" s="9" t="s">
        <v>382</v>
      </c>
    </row>
    <row r="7" spans="2:5" ht="14.4" thickBot="1" x14ac:dyDescent="0.3">
      <c r="B7" s="74" t="s">
        <v>295</v>
      </c>
      <c r="C7" s="75" t="str">
        <f>VLOOKUP(C6,'BASE DA MATRIZ DE RISCOS'!$C$78:$D$210,2,)</f>
        <v>Perda de Causa Judicial</v>
      </c>
    </row>
    <row r="8" spans="2:5" thickBot="1" x14ac:dyDescent="0.35">
      <c r="B8" s="76" t="s">
        <v>46</v>
      </c>
      <c r="C8" s="78" t="str">
        <f>VLOOKUP(C6,'BASE DA MATRIZ DE RISCOS'!$C$78:$E$210,3,)</f>
        <v>Legal</v>
      </c>
      <c r="E8" s="9" t="s">
        <v>382</v>
      </c>
    </row>
    <row r="9" spans="2:5" thickBot="1" x14ac:dyDescent="0.35">
      <c r="B9" s="54" t="s">
        <v>46</v>
      </c>
      <c r="C9" s="79">
        <f>VLOOKUP($C$8,'BASE DA MATRIZ DE RISCOS'!$C$30:$E$35,3)</f>
        <v>5</v>
      </c>
      <c r="E9" s="9" t="s">
        <v>383</v>
      </c>
    </row>
    <row r="10" spans="2:5" thickBot="1" x14ac:dyDescent="0.35">
      <c r="B10" s="80" t="s">
        <v>298</v>
      </c>
      <c r="C10" s="41">
        <f>VLOOKUP(C6,'BASE DA MATRIZ DE RISCOS'!$C$78:$H$210,5,)</f>
        <v>4</v>
      </c>
      <c r="E10" s="9" t="s">
        <v>384</v>
      </c>
    </row>
    <row r="11" spans="2:5" thickBot="1" x14ac:dyDescent="0.35">
      <c r="B11" s="54" t="s">
        <v>291</v>
      </c>
      <c r="C11" s="79">
        <f>VLOOKUP(C6,'BASE DA MATRIZ DE RISCOS'!$C$78:$H$210,6,)</f>
        <v>2</v>
      </c>
      <c r="E11" s="9" t="s">
        <v>384</v>
      </c>
    </row>
    <row r="12" spans="2:5" thickBot="1" x14ac:dyDescent="0.35">
      <c r="B12" s="80" t="s">
        <v>301</v>
      </c>
      <c r="C12" s="81">
        <f>C9*C10*C11</f>
        <v>40</v>
      </c>
      <c r="E12" s="9" t="s">
        <v>385</v>
      </c>
    </row>
    <row r="13" spans="2:5" thickBot="1" x14ac:dyDescent="0.35">
      <c r="B13" s="54" t="s">
        <v>386</v>
      </c>
      <c r="C13" s="79" t="str">
        <f>VLOOKUP(C6,'BASE DA MATRIZ DE RISCOS'!$C$78:$J$210,8,)</f>
        <v>Contigência</v>
      </c>
      <c r="E13" s="9" t="s">
        <v>387</v>
      </c>
    </row>
    <row r="14" spans="2:5" ht="97.2" thickBot="1" x14ac:dyDescent="0.3">
      <c r="B14" s="80" t="s">
        <v>290</v>
      </c>
      <c r="C14" s="41" t="str">
        <f>VLOOKUP(C$6,'RESUMO DE PONTOS'!$C$9:$H$58,3,)</f>
        <v xml:space="preserve">Indentificamos que durante o período de 2021 que há perda de causa judicial de R$ 10.477,17 referente ao n° 0101419-55.2017.8.05.0001 de TICIANA CARNEIRO DA ROCHA PRATA 
MONTEIRO X TRIBECA, e R$ 29.000,00 referente ao n° 0164073-44.2018.8.05.0001 de RAFAEL CALDAS LOPES X TRIBECA, totalizando em uma perda de R$ 39.477,17 </v>
      </c>
    </row>
    <row r="15" spans="2:5" ht="42" thickBot="1" x14ac:dyDescent="0.3">
      <c r="B15" s="54" t="s">
        <v>127</v>
      </c>
      <c r="C15" s="79" t="str">
        <f>IFERROR(VLOOKUP(C$6,'RESUMO DE PONTOS'!$C$9:$H$58,4,),"")</f>
        <v>Devido a perda das causas judicais podendo afetar diretamente o fluxo de caixa e o controle do financeiro do condomínio.</v>
      </c>
    </row>
    <row r="16" spans="2:5" ht="14.4" thickBot="1" x14ac:dyDescent="0.3">
      <c r="B16" s="80" t="s">
        <v>128</v>
      </c>
      <c r="C16" s="127">
        <f>IFERROR(VLOOKUP(C$6,'RESUMO DE PONTOS'!$C$9:$H$58,5,),"")</f>
        <v>39477.17</v>
      </c>
    </row>
    <row r="17" spans="2:3" ht="42" thickBot="1" x14ac:dyDescent="0.3">
      <c r="B17" s="57" t="s">
        <v>129</v>
      </c>
      <c r="C17" s="79" t="str">
        <f>IFERROR(VLOOKUP(C$6,'RESUMO DE PONTOS'!$C$9:$H$58,6,),"")</f>
        <v xml:space="preserve">Recomendamos ações preventivas nas melhorias no controle interno para que as causas judiciais não sejam abertas contra o condomínio. </v>
      </c>
    </row>
    <row r="18" spans="2:3" ht="55.8" thickBot="1" x14ac:dyDescent="0.3">
      <c r="B18" s="82" t="s">
        <v>308</v>
      </c>
      <c r="C18" s="41" t="s">
        <v>388</v>
      </c>
    </row>
    <row r="19" spans="2:3" ht="43.8" thickBot="1" x14ac:dyDescent="0.3">
      <c r="B19" s="57" t="s">
        <v>310</v>
      </c>
      <c r="C19" s="79" t="s">
        <v>389</v>
      </c>
    </row>
    <row r="20" spans="2:3" ht="42" thickBot="1" x14ac:dyDescent="0.3">
      <c r="B20" s="80" t="s">
        <v>312</v>
      </c>
      <c r="C20" s="41" t="s">
        <v>390</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C4">
    <cfRule type="containsText" dxfId="47" priority="1" operator="containsText" text="BAIXO IMPACTO">
      <formula>NOT(ISERROR(SEARCH(("BAIXO IMPACTO"),(C4))))</formula>
    </cfRule>
  </conditionalFormatting>
  <conditionalFormatting sqref="C4">
    <cfRule type="containsText" dxfId="46" priority="2" operator="containsText" text="MÉDIO IMPACTO">
      <formula>NOT(ISERROR(SEARCH(("MÉDIO IMPACTO"),(C4))))</formula>
    </cfRule>
  </conditionalFormatting>
  <conditionalFormatting sqref="C4">
    <cfRule type="containsText" dxfId="45" priority="3" operator="containsText" text="ALTO IMPACTO">
      <formula>NOT(ISERROR(SEARCH(("ALTO IMPACTO"),(C4))))</formula>
    </cfRule>
  </conditionalFormatting>
  <dataValidations count="3">
    <dataValidation type="list" allowBlank="1" showErrorMessage="1" sqref="C6" xr:uid="{2A1F12C4-2DA5-45DB-AFE3-C6B3541F667B}">
      <formula1>"[P1],[P2],[P3],[P4],[P5],[P6],[P7],[P8],[P9],[P10],[P11],[P12],[P13],[P14],[P15],[P16],[P17],[P18],[P19],[P20],[P21],[P22],[P23],[P24],[P25],[P26],[P27],[P28],[P29],[P30],[P31],[P32],[P33],[P34],[P35],[P36],[P37],[P38],[P39],[P40]"</formula1>
    </dataValidation>
    <dataValidation type="list" allowBlank="1" showErrorMessage="1" sqref="C8" xr:uid="{CC4243F7-1664-45BC-A8E6-D921DDA56AB7}">
      <formula1>"Estratégico,Financeiro,Operacional,Legal,Tecnologia,Imagem"</formula1>
    </dataValidation>
    <dataValidation type="list" allowBlank="1" showErrorMessage="1" sqref="C4" xr:uid="{B684EFEC-A2C7-4618-B17A-159929A6958B}">
      <formula1>"ALTO IMPACTO,MÉDIO IMPACTO,BAIXO IMPACTO"</formula1>
    </dataValidation>
  </dataValidations>
  <pageMargins left="0.511811024" right="0.511811024" top="0.78740157499999996" bottom="0.78740157499999996" header="0" footer="0"/>
  <pageSetup paperSize="9" orientation="portrait"/>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EB1F1-8450-4C81-9F06-8D8E97130EF6}">
  <dimension ref="B2:E1000"/>
  <sheetViews>
    <sheetView showGridLines="0" workbookViewId="0">
      <selection activeCell="C14" sqref="C14"/>
    </sheetView>
  </sheetViews>
  <sheetFormatPr defaultColWidth="12.59765625" defaultRowHeight="15" customHeight="1" x14ac:dyDescent="0.25"/>
  <cols>
    <col min="1" max="1" width="7.59765625" customWidth="1"/>
    <col min="2" max="2" width="18" customWidth="1"/>
    <col min="3" max="3" width="46.59765625" customWidth="1"/>
    <col min="4" max="26" width="7.59765625" customWidth="1"/>
  </cols>
  <sheetData>
    <row r="2" spans="2:5" ht="17.399999999999999" x14ac:dyDescent="0.25">
      <c r="B2" s="71" t="s">
        <v>380</v>
      </c>
    </row>
    <row r="3" spans="2:5" ht="16.2" thickBot="1" x14ac:dyDescent="0.3">
      <c r="B3" s="52" t="s">
        <v>289</v>
      </c>
      <c r="C3" s="53" t="s">
        <v>290</v>
      </c>
    </row>
    <row r="4" spans="2:5" ht="15.6" thickTop="1" thickBot="1" x14ac:dyDescent="0.35">
      <c r="B4" s="73" t="s">
        <v>291</v>
      </c>
      <c r="C4" s="24" t="e">
        <f>IF(C12&gt;=75,"ALTO IMPACTO",IF(C12&lt;=50,"BAIXO IMPACTO","MÉDIO IMPACTO"))</f>
        <v>#N/A</v>
      </c>
      <c r="E4" s="9" t="s">
        <v>381</v>
      </c>
    </row>
    <row r="5" spans="2:5" ht="14.4" thickBot="1" x14ac:dyDescent="0.3">
      <c r="B5" s="74" t="s">
        <v>123</v>
      </c>
      <c r="C5" s="75">
        <f>IFERROR(VLOOKUP(C6,'RESUMO DE PONTOS'!$C$9:$M$58,10,),"")</f>
        <v>0</v>
      </c>
    </row>
    <row r="6" spans="2:5" thickBot="1" x14ac:dyDescent="0.35">
      <c r="B6" s="76" t="s">
        <v>293</v>
      </c>
      <c r="C6" s="77" t="s">
        <v>640</v>
      </c>
      <c r="E6" s="9" t="s">
        <v>382</v>
      </c>
    </row>
    <row r="7" spans="2:5" ht="14.4" thickBot="1" x14ac:dyDescent="0.3">
      <c r="B7" s="74" t="s">
        <v>295</v>
      </c>
      <c r="C7" s="75" t="e">
        <f>VLOOKUP(C6,'BASE DA MATRIZ DE RISCOS'!$C$78:$D$210,2,)</f>
        <v>#N/A</v>
      </c>
    </row>
    <row r="8" spans="2:5" thickBot="1" x14ac:dyDescent="0.35">
      <c r="B8" s="76" t="s">
        <v>46</v>
      </c>
      <c r="C8" s="78" t="e">
        <f>VLOOKUP(C6,'BASE DA MATRIZ DE RISCOS'!$C$78:$E$210,3,)</f>
        <v>#N/A</v>
      </c>
      <c r="E8" s="9" t="s">
        <v>382</v>
      </c>
    </row>
    <row r="9" spans="2:5" thickBot="1" x14ac:dyDescent="0.35">
      <c r="B9" s="54" t="s">
        <v>46</v>
      </c>
      <c r="C9" s="79" t="e">
        <f>VLOOKUP($C$8,'BASE DA MATRIZ DE RISCOS'!$C$30:$E$35,3)</f>
        <v>#N/A</v>
      </c>
      <c r="E9" s="9" t="s">
        <v>383</v>
      </c>
    </row>
    <row r="10" spans="2:5" thickBot="1" x14ac:dyDescent="0.35">
      <c r="B10" s="80" t="s">
        <v>298</v>
      </c>
      <c r="C10" s="41" t="e">
        <f>VLOOKUP(C6,'BASE DA MATRIZ DE RISCOS'!$C$78:$H$210,5,)</f>
        <v>#N/A</v>
      </c>
      <c r="E10" s="9" t="s">
        <v>384</v>
      </c>
    </row>
    <row r="11" spans="2:5" thickBot="1" x14ac:dyDescent="0.35">
      <c r="B11" s="54" t="s">
        <v>291</v>
      </c>
      <c r="C11" s="79" t="e">
        <f>VLOOKUP(C6,'BASE DA MATRIZ DE RISCOS'!$C$78:$H$210,6,)</f>
        <v>#N/A</v>
      </c>
      <c r="E11" s="9" t="s">
        <v>384</v>
      </c>
    </row>
    <row r="12" spans="2:5" thickBot="1" x14ac:dyDescent="0.35">
      <c r="B12" s="80" t="s">
        <v>301</v>
      </c>
      <c r="C12" s="81" t="e">
        <f>C9*C10*C11</f>
        <v>#N/A</v>
      </c>
      <c r="E12" s="9" t="s">
        <v>385</v>
      </c>
    </row>
    <row r="13" spans="2:5" thickBot="1" x14ac:dyDescent="0.35">
      <c r="B13" s="54" t="s">
        <v>386</v>
      </c>
      <c r="C13" s="79" t="e">
        <f>VLOOKUP(C6,'BASE DA MATRIZ DE RISCOS'!$C$78:$J$210,8,)</f>
        <v>#N/A</v>
      </c>
      <c r="E13" s="9" t="s">
        <v>387</v>
      </c>
    </row>
    <row r="14" spans="2:5" ht="14.4" thickBot="1" x14ac:dyDescent="0.3">
      <c r="B14" s="80" t="s">
        <v>290</v>
      </c>
      <c r="C14" s="41">
        <f>VLOOKUP(C$6,'RESUMO DE PONTOS'!$C$9:$H$58,3,)</f>
        <v>0</v>
      </c>
    </row>
    <row r="15" spans="2:5" ht="14.4" thickBot="1" x14ac:dyDescent="0.3">
      <c r="B15" s="54" t="s">
        <v>127</v>
      </c>
      <c r="C15" s="79">
        <f>IFERROR(VLOOKUP(C$6,'RESUMO DE PONTOS'!$C$9:$H$58,4,),"")</f>
        <v>0</v>
      </c>
    </row>
    <row r="16" spans="2:5" ht="14.4" thickBot="1" x14ac:dyDescent="0.3">
      <c r="B16" s="80" t="s">
        <v>128</v>
      </c>
      <c r="C16" s="127">
        <f>IFERROR(VLOOKUP(C$6,'RESUMO DE PONTOS'!$C$9:$H$58,5,),"")</f>
        <v>0</v>
      </c>
    </row>
    <row r="17" spans="2:3" thickBot="1" x14ac:dyDescent="0.3">
      <c r="B17" s="57" t="s">
        <v>129</v>
      </c>
      <c r="C17" s="79">
        <f>IFERROR(VLOOKUP(C$6,'RESUMO DE PONTOS'!$C$9:$H$58,6,),"")</f>
        <v>0</v>
      </c>
    </row>
    <row r="18" spans="2:3" ht="55.8" thickBot="1" x14ac:dyDescent="0.3">
      <c r="B18" s="82" t="s">
        <v>308</v>
      </c>
      <c r="C18" s="41" t="s">
        <v>388</v>
      </c>
    </row>
    <row r="19" spans="2:3" ht="43.8" thickBot="1" x14ac:dyDescent="0.3">
      <c r="B19" s="57" t="s">
        <v>310</v>
      </c>
      <c r="C19" s="79" t="s">
        <v>389</v>
      </c>
    </row>
    <row r="20" spans="2:3" ht="42" thickBot="1" x14ac:dyDescent="0.3">
      <c r="B20" s="80" t="s">
        <v>312</v>
      </c>
      <c r="C20" s="41" t="s">
        <v>390</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C4">
    <cfRule type="containsText" dxfId="44" priority="1" operator="containsText" text="BAIXO IMPACTO">
      <formula>NOT(ISERROR(SEARCH(("BAIXO IMPACTO"),(C4))))</formula>
    </cfRule>
  </conditionalFormatting>
  <conditionalFormatting sqref="C4">
    <cfRule type="containsText" dxfId="43" priority="2" operator="containsText" text="MÉDIO IMPACTO">
      <formula>NOT(ISERROR(SEARCH(("MÉDIO IMPACTO"),(C4))))</formula>
    </cfRule>
  </conditionalFormatting>
  <conditionalFormatting sqref="C4">
    <cfRule type="containsText" dxfId="42" priority="3" operator="containsText" text="ALTO IMPACTO">
      <formula>NOT(ISERROR(SEARCH(("ALTO IMPACTO"),(C4))))</formula>
    </cfRule>
  </conditionalFormatting>
  <dataValidations count="3">
    <dataValidation type="list" allowBlank="1" showErrorMessage="1" sqref="C6" xr:uid="{F31BD15E-4BA4-422C-9F05-B9BC454DC826}">
      <formula1>"[P1],[P2],[P3],[P4],[P5],[P6],[P7],[P8],[P9],[P10],[P11],[P12],[P13],[P14],[P15],[P16],[P17],[P18],[P19],[P20],[P21],[P22],[P23],[P24],[P25],[P26],[P27],[P28],[P29],[P30],[P31],[P32],[P33],[P34],[P35],[P36],[P37],[P38],[P39],[P40]"</formula1>
    </dataValidation>
    <dataValidation type="list" allowBlank="1" showErrorMessage="1" sqref="C8" xr:uid="{D4BA3BF8-347B-4D30-86B6-3EFBF2AA5C03}">
      <formula1>"Estratégico,Financeiro,Operacional,Legal,Tecnologia,Imagem"</formula1>
    </dataValidation>
    <dataValidation type="list" allowBlank="1" showErrorMessage="1" sqref="C4" xr:uid="{FA9783A2-D175-42E6-A24E-197199F8CF5A}">
      <formula1>"ALTO IMPACTO,MÉDIO IMPACTO,BAIXO IMPACTO"</formula1>
    </dataValidation>
  </dataValidations>
  <pageMargins left="0.511811024" right="0.511811024" top="0.78740157499999996" bottom="0.78740157499999996" header="0" footer="0"/>
  <pageSetup paperSize="9" orientation="portrait"/>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A690F-CC1B-40D7-BB95-4D6B972D1EAE}">
  <dimension ref="B2:E1000"/>
  <sheetViews>
    <sheetView showGridLines="0" workbookViewId="0">
      <selection activeCell="B3" sqref="B3:C20"/>
    </sheetView>
  </sheetViews>
  <sheetFormatPr defaultColWidth="12.59765625" defaultRowHeight="15" customHeight="1" x14ac:dyDescent="0.25"/>
  <cols>
    <col min="1" max="1" width="7.59765625" customWidth="1"/>
    <col min="2" max="2" width="18" customWidth="1"/>
    <col min="3" max="3" width="46.59765625" customWidth="1"/>
    <col min="4" max="26" width="7.59765625" customWidth="1"/>
  </cols>
  <sheetData>
    <row r="2" spans="2:5" ht="17.399999999999999" x14ac:dyDescent="0.25">
      <c r="B2" s="71" t="s">
        <v>380</v>
      </c>
    </row>
    <row r="3" spans="2:5" ht="16.2" thickBot="1" x14ac:dyDescent="0.3">
      <c r="B3" s="52" t="s">
        <v>289</v>
      </c>
      <c r="C3" s="53" t="s">
        <v>290</v>
      </c>
    </row>
    <row r="4" spans="2:5" ht="15.6" thickTop="1" thickBot="1" x14ac:dyDescent="0.35">
      <c r="B4" s="73" t="s">
        <v>291</v>
      </c>
      <c r="C4" s="24" t="e">
        <f>IF(C12&gt;=75,"ALTO IMPACTO",IF(C12&lt;=50,"BAIXO IMPACTO","MÉDIO IMPACTO"))</f>
        <v>#N/A</v>
      </c>
      <c r="E4" s="9" t="s">
        <v>381</v>
      </c>
    </row>
    <row r="5" spans="2:5" ht="14.4" thickBot="1" x14ac:dyDescent="0.3">
      <c r="B5" s="74" t="s">
        <v>123</v>
      </c>
      <c r="C5" s="75">
        <f>IFERROR(VLOOKUP(C6,'RESUMO DE PONTOS'!$C$9:$M$58,10,),"")</f>
        <v>0</v>
      </c>
    </row>
    <row r="6" spans="2:5" thickBot="1" x14ac:dyDescent="0.35">
      <c r="B6" s="76" t="s">
        <v>293</v>
      </c>
      <c r="C6" s="77" t="s">
        <v>641</v>
      </c>
      <c r="E6" s="9" t="s">
        <v>382</v>
      </c>
    </row>
    <row r="7" spans="2:5" ht="14.4" thickBot="1" x14ac:dyDescent="0.3">
      <c r="B7" s="74" t="s">
        <v>295</v>
      </c>
      <c r="C7" s="75" t="e">
        <f>VLOOKUP(C6,'BASE DA MATRIZ DE RISCOS'!$C$78:$D$210,2,)</f>
        <v>#N/A</v>
      </c>
    </row>
    <row r="8" spans="2:5" thickBot="1" x14ac:dyDescent="0.35">
      <c r="B8" s="76" t="s">
        <v>46</v>
      </c>
      <c r="C8" s="78" t="e">
        <f>VLOOKUP(C6,'BASE DA MATRIZ DE RISCOS'!$C$78:$E$210,3,)</f>
        <v>#N/A</v>
      </c>
      <c r="E8" s="9" t="s">
        <v>382</v>
      </c>
    </row>
    <row r="9" spans="2:5" thickBot="1" x14ac:dyDescent="0.35">
      <c r="B9" s="54" t="s">
        <v>46</v>
      </c>
      <c r="C9" s="79" t="e">
        <f>VLOOKUP($C$8,'BASE DA MATRIZ DE RISCOS'!$C$30:$E$36,3)</f>
        <v>#N/A</v>
      </c>
      <c r="E9" s="9" t="s">
        <v>383</v>
      </c>
    </row>
    <row r="10" spans="2:5" thickBot="1" x14ac:dyDescent="0.35">
      <c r="B10" s="80" t="s">
        <v>298</v>
      </c>
      <c r="C10" s="41" t="e">
        <f>VLOOKUP(C6,'BASE DA MATRIZ DE RISCOS'!$C$78:$H$210,5,)</f>
        <v>#N/A</v>
      </c>
      <c r="E10" s="9" t="s">
        <v>384</v>
      </c>
    </row>
    <row r="11" spans="2:5" thickBot="1" x14ac:dyDescent="0.35">
      <c r="B11" s="54" t="s">
        <v>291</v>
      </c>
      <c r="C11" s="79" t="e">
        <f>VLOOKUP(C6,'BASE DA MATRIZ DE RISCOS'!$C$78:$H$210,6,)</f>
        <v>#N/A</v>
      </c>
      <c r="E11" s="9" t="s">
        <v>384</v>
      </c>
    </row>
    <row r="12" spans="2:5" thickBot="1" x14ac:dyDescent="0.35">
      <c r="B12" s="80" t="s">
        <v>301</v>
      </c>
      <c r="C12" s="81" t="e">
        <f>C9*C10*C11</f>
        <v>#N/A</v>
      </c>
      <c r="E12" s="9" t="s">
        <v>385</v>
      </c>
    </row>
    <row r="13" spans="2:5" thickBot="1" x14ac:dyDescent="0.35">
      <c r="B13" s="54" t="s">
        <v>386</v>
      </c>
      <c r="C13" s="79" t="e">
        <f>VLOOKUP(C6,'BASE DA MATRIZ DE RISCOS'!$C$78:$J$210,8,)</f>
        <v>#N/A</v>
      </c>
      <c r="E13" s="9" t="s">
        <v>387</v>
      </c>
    </row>
    <row r="14" spans="2:5" ht="14.4" thickBot="1" x14ac:dyDescent="0.3">
      <c r="B14" s="80" t="s">
        <v>290</v>
      </c>
      <c r="C14" s="41">
        <f>VLOOKUP(C$6,'RESUMO DE PONTOS'!$C$9:$H$58,3,)</f>
        <v>0</v>
      </c>
    </row>
    <row r="15" spans="2:5" ht="14.4" thickBot="1" x14ac:dyDescent="0.3">
      <c r="B15" s="54" t="s">
        <v>127</v>
      </c>
      <c r="C15" s="79">
        <f>IFERROR(VLOOKUP(C$6,'RESUMO DE PONTOS'!$C$9:$H$58,4,),"")</f>
        <v>0</v>
      </c>
    </row>
    <row r="16" spans="2:5" ht="14.4" thickBot="1" x14ac:dyDescent="0.3">
      <c r="B16" s="80" t="s">
        <v>128</v>
      </c>
      <c r="C16" s="127">
        <f>IFERROR(VLOOKUP(C$6,'RESUMO DE PONTOS'!$C$9:$H$58,5,),"")</f>
        <v>0</v>
      </c>
    </row>
    <row r="17" spans="2:3" thickBot="1" x14ac:dyDescent="0.3">
      <c r="B17" s="57" t="s">
        <v>129</v>
      </c>
      <c r="C17" s="79">
        <f>IFERROR(VLOOKUP(C$6,'RESUMO DE PONTOS'!$C$9:$H$58,6,),"")</f>
        <v>0</v>
      </c>
    </row>
    <row r="18" spans="2:3" ht="55.8" thickBot="1" x14ac:dyDescent="0.3">
      <c r="B18" s="82" t="s">
        <v>308</v>
      </c>
      <c r="C18" s="41" t="s">
        <v>388</v>
      </c>
    </row>
    <row r="19" spans="2:3" ht="43.8" thickBot="1" x14ac:dyDescent="0.3">
      <c r="B19" s="57" t="s">
        <v>310</v>
      </c>
      <c r="C19" s="79" t="s">
        <v>389</v>
      </c>
    </row>
    <row r="20" spans="2:3" ht="42" thickBot="1" x14ac:dyDescent="0.3">
      <c r="B20" s="80" t="s">
        <v>312</v>
      </c>
      <c r="C20" s="41" t="s">
        <v>390</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C4">
    <cfRule type="containsText" dxfId="41" priority="1" operator="containsText" text="BAIXO IMPACTO">
      <formula>NOT(ISERROR(SEARCH(("BAIXO IMPACTO"),(C4))))</formula>
    </cfRule>
  </conditionalFormatting>
  <conditionalFormatting sqref="C4">
    <cfRule type="containsText" dxfId="40" priority="2" operator="containsText" text="MÉDIO IMPACTO">
      <formula>NOT(ISERROR(SEARCH(("MÉDIO IMPACTO"),(C4))))</formula>
    </cfRule>
  </conditionalFormatting>
  <conditionalFormatting sqref="C4">
    <cfRule type="containsText" dxfId="39" priority="3" operator="containsText" text="ALTO IMPACTO">
      <formula>NOT(ISERROR(SEARCH(("ALTO IMPACTO"),(C4))))</formula>
    </cfRule>
  </conditionalFormatting>
  <dataValidations count="3">
    <dataValidation type="list" allowBlank="1" showErrorMessage="1" sqref="C4" xr:uid="{4529D817-7FB4-4144-821F-512B30C5FEEF}">
      <formula1>"ALTO IMPACTO,MÉDIO IMPACTO,BAIXO IMPACTO"</formula1>
    </dataValidation>
    <dataValidation type="list" allowBlank="1" showErrorMessage="1" sqref="C8" xr:uid="{25271CBF-E81D-4705-80FF-AFB38B159074}">
      <formula1>"Estratégico,Financeiro,Operacional,Legal,Tecnologia,Imagem"</formula1>
    </dataValidation>
    <dataValidation type="list" allowBlank="1" showErrorMessage="1" sqref="C6" xr:uid="{BD903BA4-0DD4-4842-8E8B-3F4AD54A2F88}">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4255F-BFEC-435B-A9DB-1B6D254BBB3A}">
  <dimension ref="B2:E1000"/>
  <sheetViews>
    <sheetView showGridLines="0" workbookViewId="0">
      <selection activeCell="B3" sqref="B3:C20"/>
    </sheetView>
  </sheetViews>
  <sheetFormatPr defaultColWidth="12.59765625" defaultRowHeight="15" customHeight="1" x14ac:dyDescent="0.25"/>
  <cols>
    <col min="1" max="1" width="7.59765625" customWidth="1"/>
    <col min="2" max="2" width="18" customWidth="1"/>
    <col min="3" max="3" width="46.59765625" customWidth="1"/>
    <col min="4" max="26" width="7.59765625" customWidth="1"/>
  </cols>
  <sheetData>
    <row r="2" spans="2:5" ht="17.399999999999999" x14ac:dyDescent="0.25">
      <c r="B2" s="71" t="s">
        <v>380</v>
      </c>
    </row>
    <row r="3" spans="2:5" ht="16.2" thickBot="1" x14ac:dyDescent="0.3">
      <c r="B3" s="52" t="s">
        <v>289</v>
      </c>
      <c r="C3" s="53" t="s">
        <v>290</v>
      </c>
    </row>
    <row r="4" spans="2:5" ht="15.6" thickTop="1" thickBot="1" x14ac:dyDescent="0.35">
      <c r="B4" s="73" t="s">
        <v>291</v>
      </c>
      <c r="C4" s="24" t="e">
        <f>IF(C12&gt;=75,"ALTO IMPACTO",IF(C12&lt;=50,"BAIXO IMPACTO","MÉDIO IMPACTO"))</f>
        <v>#N/A</v>
      </c>
      <c r="E4" s="9" t="s">
        <v>381</v>
      </c>
    </row>
    <row r="5" spans="2:5" ht="14.4" thickBot="1" x14ac:dyDescent="0.3">
      <c r="B5" s="74" t="s">
        <v>123</v>
      </c>
      <c r="C5" s="75">
        <f>IFERROR(VLOOKUP(C6,'RESUMO DE PONTOS'!$C$9:$M$58,10,),"")</f>
        <v>0</v>
      </c>
    </row>
    <row r="6" spans="2:5" thickBot="1" x14ac:dyDescent="0.35">
      <c r="B6" s="76" t="s">
        <v>293</v>
      </c>
      <c r="C6" s="77" t="s">
        <v>642</v>
      </c>
      <c r="E6" s="9" t="s">
        <v>382</v>
      </c>
    </row>
    <row r="7" spans="2:5" ht="14.4" thickBot="1" x14ac:dyDescent="0.3">
      <c r="B7" s="74" t="s">
        <v>295</v>
      </c>
      <c r="C7" s="75" t="e">
        <f>VLOOKUP(C6,'BASE DA MATRIZ DE RISCOS'!$C$78:$D$210,2,)</f>
        <v>#N/A</v>
      </c>
    </row>
    <row r="8" spans="2:5" thickBot="1" x14ac:dyDescent="0.35">
      <c r="B8" s="76" t="s">
        <v>46</v>
      </c>
      <c r="C8" s="78" t="e">
        <f>VLOOKUP(C6,'BASE DA MATRIZ DE RISCOS'!$C$78:$E$210,3,)</f>
        <v>#N/A</v>
      </c>
      <c r="E8" s="9" t="s">
        <v>382</v>
      </c>
    </row>
    <row r="9" spans="2:5" thickBot="1" x14ac:dyDescent="0.35">
      <c r="B9" s="54" t="s">
        <v>46</v>
      </c>
      <c r="C9" s="79" t="e">
        <f>VLOOKUP($C$8,'BASE DA MATRIZ DE RISCOS'!$C$30:$E$36,3)</f>
        <v>#N/A</v>
      </c>
      <c r="E9" s="9" t="s">
        <v>383</v>
      </c>
    </row>
    <row r="10" spans="2:5" thickBot="1" x14ac:dyDescent="0.35">
      <c r="B10" s="80" t="s">
        <v>298</v>
      </c>
      <c r="C10" s="41" t="e">
        <f>VLOOKUP(C6,'BASE DA MATRIZ DE RISCOS'!$C$78:$H$210,5,)</f>
        <v>#N/A</v>
      </c>
      <c r="E10" s="9" t="s">
        <v>384</v>
      </c>
    </row>
    <row r="11" spans="2:5" thickBot="1" x14ac:dyDescent="0.35">
      <c r="B11" s="54" t="s">
        <v>291</v>
      </c>
      <c r="C11" s="79" t="e">
        <f>VLOOKUP(C6,'BASE DA MATRIZ DE RISCOS'!$C$78:$H$210,6,)</f>
        <v>#N/A</v>
      </c>
      <c r="E11" s="9" t="s">
        <v>384</v>
      </c>
    </row>
    <row r="12" spans="2:5" thickBot="1" x14ac:dyDescent="0.35">
      <c r="B12" s="80" t="s">
        <v>301</v>
      </c>
      <c r="C12" s="81" t="e">
        <f>C9*C10*C11</f>
        <v>#N/A</v>
      </c>
      <c r="E12" s="9" t="s">
        <v>385</v>
      </c>
    </row>
    <row r="13" spans="2:5" thickBot="1" x14ac:dyDescent="0.35">
      <c r="B13" s="54" t="s">
        <v>386</v>
      </c>
      <c r="C13" s="79" t="e">
        <f>VLOOKUP(C6,'BASE DA MATRIZ DE RISCOS'!$C$78:$J$210,8,)</f>
        <v>#N/A</v>
      </c>
      <c r="E13" s="9" t="s">
        <v>387</v>
      </c>
    </row>
    <row r="14" spans="2:5" ht="14.4" thickBot="1" x14ac:dyDescent="0.3">
      <c r="B14" s="80" t="s">
        <v>290</v>
      </c>
      <c r="C14" s="41">
        <f>VLOOKUP(C$6,'RESUMO DE PONTOS'!$C$9:$H$58,3,)</f>
        <v>0</v>
      </c>
    </row>
    <row r="15" spans="2:5" ht="14.4" thickBot="1" x14ac:dyDescent="0.3">
      <c r="B15" s="54" t="s">
        <v>127</v>
      </c>
      <c r="C15" s="79">
        <f>IFERROR(VLOOKUP(C$6,'RESUMO DE PONTOS'!$C$9:$H$58,4,),"")</f>
        <v>0</v>
      </c>
    </row>
    <row r="16" spans="2:5" ht="14.4" thickBot="1" x14ac:dyDescent="0.3">
      <c r="B16" s="80" t="s">
        <v>128</v>
      </c>
      <c r="C16" s="127">
        <f>IFERROR(VLOOKUP(C$6,'RESUMO DE PONTOS'!$C$9:$H$58,5,),"")</f>
        <v>0</v>
      </c>
    </row>
    <row r="17" spans="2:3" thickBot="1" x14ac:dyDescent="0.3">
      <c r="B17" s="57" t="s">
        <v>129</v>
      </c>
      <c r="C17" s="79">
        <f>IFERROR(VLOOKUP(C$6,'RESUMO DE PONTOS'!$C$9:$H$58,6,),"")</f>
        <v>0</v>
      </c>
    </row>
    <row r="18" spans="2:3" ht="55.8" thickBot="1" x14ac:dyDescent="0.3">
      <c r="B18" s="82" t="s">
        <v>308</v>
      </c>
      <c r="C18" s="41" t="s">
        <v>388</v>
      </c>
    </row>
    <row r="19" spans="2:3" ht="43.8" thickBot="1" x14ac:dyDescent="0.3">
      <c r="B19" s="57" t="s">
        <v>310</v>
      </c>
      <c r="C19" s="79" t="s">
        <v>389</v>
      </c>
    </row>
    <row r="20" spans="2:3" ht="42" thickBot="1" x14ac:dyDescent="0.3">
      <c r="B20" s="80" t="s">
        <v>312</v>
      </c>
      <c r="C20" s="41" t="s">
        <v>390</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C4">
    <cfRule type="containsText" dxfId="38" priority="1" operator="containsText" text="BAIXO IMPACTO">
      <formula>NOT(ISERROR(SEARCH(("BAIXO IMPACTO"),(C4))))</formula>
    </cfRule>
  </conditionalFormatting>
  <conditionalFormatting sqref="C4">
    <cfRule type="containsText" dxfId="37" priority="2" operator="containsText" text="MÉDIO IMPACTO">
      <formula>NOT(ISERROR(SEARCH(("MÉDIO IMPACTO"),(C4))))</formula>
    </cfRule>
  </conditionalFormatting>
  <conditionalFormatting sqref="C4">
    <cfRule type="containsText" dxfId="36" priority="3" operator="containsText" text="ALTO IMPACTO">
      <formula>NOT(ISERROR(SEARCH(("ALTO IMPACTO"),(C4))))</formula>
    </cfRule>
  </conditionalFormatting>
  <dataValidations count="3">
    <dataValidation type="list" allowBlank="1" showErrorMessage="1" sqref="C6" xr:uid="{74056292-94D0-4878-9298-10324B610F23}">
      <formula1>"[P1],[P2],[P3],[P4],[P5],[P6],[P7],[P8],[P9],[P10],[P11],[P12],[P13],[P14],[P15],[P16],[P17],[P18],[P19],[P20],[P21],[P22],[P23],[P24],[P25],[P26],[P27],[P28],[P29],[P30],[P31],[P32],[P33],[P34],[P35],[P36],[P37],[P38],[P39],[P40]"</formula1>
    </dataValidation>
    <dataValidation type="list" allowBlank="1" showErrorMessage="1" sqref="C8" xr:uid="{45AF853C-BFEF-4AF7-A163-422DDB4E13E9}">
      <formula1>"Estratégico,Financeiro,Operacional,Legal,Tecnologia,Imagem"</formula1>
    </dataValidation>
    <dataValidation type="list" allowBlank="1" showErrorMessage="1" sqref="C4" xr:uid="{FCCB380E-5F21-45EA-9878-2F02CF8D9D80}">
      <formula1>"ALTO IMPACTO,MÉDIO IMPACTO,BAIXO IMPACTO"</formula1>
    </dataValidation>
  </dataValidations>
  <pageMargins left="0.511811024" right="0.511811024" top="0.78740157499999996" bottom="0.78740157499999996" header="0" footer="0"/>
  <pageSetup paperSize="9"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207C0-AC17-4D0A-9248-5010AFCB9EEE}">
  <dimension ref="B2:E1000"/>
  <sheetViews>
    <sheetView showGridLines="0" workbookViewId="0">
      <selection activeCell="B3" sqref="B3:C20"/>
    </sheetView>
  </sheetViews>
  <sheetFormatPr defaultColWidth="12.59765625" defaultRowHeight="15" customHeight="1" x14ac:dyDescent="0.25"/>
  <cols>
    <col min="1" max="1" width="7.59765625" customWidth="1"/>
    <col min="2" max="2" width="18" customWidth="1"/>
    <col min="3" max="3" width="46.59765625" customWidth="1"/>
    <col min="4" max="26" width="7.59765625" customWidth="1"/>
  </cols>
  <sheetData>
    <row r="2" spans="2:5" ht="17.399999999999999" x14ac:dyDescent="0.25">
      <c r="B2" s="71" t="s">
        <v>380</v>
      </c>
    </row>
    <row r="3" spans="2:5" ht="16.2" thickBot="1" x14ac:dyDescent="0.3">
      <c r="B3" s="52" t="s">
        <v>289</v>
      </c>
      <c r="C3" s="53" t="s">
        <v>290</v>
      </c>
    </row>
    <row r="4" spans="2:5" ht="15.6" thickTop="1" thickBot="1" x14ac:dyDescent="0.35">
      <c r="B4" s="73" t="s">
        <v>291</v>
      </c>
      <c r="C4" s="24" t="e">
        <f>IF(C12&gt;=75,"ALTO IMPACTO",IF(C12&lt;=50,"BAIXO IMPACTO","MÉDIO IMPACTO"))</f>
        <v>#N/A</v>
      </c>
      <c r="E4" s="9" t="s">
        <v>381</v>
      </c>
    </row>
    <row r="5" spans="2:5" ht="14.4" thickBot="1" x14ac:dyDescent="0.3">
      <c r="B5" s="74" t="s">
        <v>123</v>
      </c>
      <c r="C5" s="75">
        <f>IFERROR(VLOOKUP(C6,'RESUMO DE PONTOS'!$C$9:$M$58,10,),"")</f>
        <v>0</v>
      </c>
    </row>
    <row r="6" spans="2:5" thickBot="1" x14ac:dyDescent="0.35">
      <c r="B6" s="76" t="s">
        <v>293</v>
      </c>
      <c r="C6" s="77" t="s">
        <v>218</v>
      </c>
      <c r="E6" s="9" t="s">
        <v>382</v>
      </c>
    </row>
    <row r="7" spans="2:5" ht="14.4" thickBot="1" x14ac:dyDescent="0.3">
      <c r="B7" s="74" t="s">
        <v>295</v>
      </c>
      <c r="C7" s="75" t="e">
        <f>VLOOKUP(C6,'BASE DA MATRIZ DE RISCOS'!$C$78:$D$210,2,)</f>
        <v>#N/A</v>
      </c>
    </row>
    <row r="8" spans="2:5" thickBot="1" x14ac:dyDescent="0.35">
      <c r="B8" s="76" t="s">
        <v>46</v>
      </c>
      <c r="C8" s="78" t="e">
        <f>VLOOKUP(C6,'BASE DA MATRIZ DE RISCOS'!$C$78:$E$210,3,)</f>
        <v>#N/A</v>
      </c>
      <c r="E8" s="9" t="s">
        <v>382</v>
      </c>
    </row>
    <row r="9" spans="2:5" thickBot="1" x14ac:dyDescent="0.35">
      <c r="B9" s="54" t="s">
        <v>46</v>
      </c>
      <c r="C9" s="79" t="e">
        <f>VLOOKUP($C$8,'BASE DA MATRIZ DE RISCOS'!$C$30:$E$36,3)</f>
        <v>#N/A</v>
      </c>
      <c r="E9" s="9" t="s">
        <v>383</v>
      </c>
    </row>
    <row r="10" spans="2:5" thickBot="1" x14ac:dyDescent="0.35">
      <c r="B10" s="80" t="s">
        <v>298</v>
      </c>
      <c r="C10" s="41" t="e">
        <f>VLOOKUP(C6,'BASE DA MATRIZ DE RISCOS'!$C$78:$H$210,5,)</f>
        <v>#N/A</v>
      </c>
      <c r="E10" s="9" t="s">
        <v>384</v>
      </c>
    </row>
    <row r="11" spans="2:5" thickBot="1" x14ac:dyDescent="0.35">
      <c r="B11" s="54" t="s">
        <v>291</v>
      </c>
      <c r="C11" s="79" t="e">
        <f>VLOOKUP(C6,'BASE DA MATRIZ DE RISCOS'!$C$78:$H$210,6,)</f>
        <v>#N/A</v>
      </c>
      <c r="E11" s="9" t="s">
        <v>384</v>
      </c>
    </row>
    <row r="12" spans="2:5" thickBot="1" x14ac:dyDescent="0.35">
      <c r="B12" s="80" t="s">
        <v>301</v>
      </c>
      <c r="C12" s="81" t="e">
        <f>C9*C10*C11</f>
        <v>#N/A</v>
      </c>
      <c r="E12" s="9" t="s">
        <v>385</v>
      </c>
    </row>
    <row r="13" spans="2:5" thickBot="1" x14ac:dyDescent="0.35">
      <c r="B13" s="54" t="s">
        <v>386</v>
      </c>
      <c r="C13" s="79" t="e">
        <f>VLOOKUP(C6,'BASE DA MATRIZ DE RISCOS'!$C$78:$J$210,8,)</f>
        <v>#N/A</v>
      </c>
      <c r="E13" s="9" t="s">
        <v>387</v>
      </c>
    </row>
    <row r="14" spans="2:5" ht="14.4" thickBot="1" x14ac:dyDescent="0.3">
      <c r="B14" s="80" t="s">
        <v>290</v>
      </c>
      <c r="C14" s="41">
        <f>VLOOKUP(C$6,'RESUMO DE PONTOS'!$C$9:$H$58,3,)</f>
        <v>0</v>
      </c>
    </row>
    <row r="15" spans="2:5" ht="14.4" thickBot="1" x14ac:dyDescent="0.3">
      <c r="B15" s="54" t="s">
        <v>127</v>
      </c>
      <c r="C15" s="79">
        <f>IFERROR(VLOOKUP(C$6,'RESUMO DE PONTOS'!$C$9:$H$58,4,),"")</f>
        <v>0</v>
      </c>
    </row>
    <row r="16" spans="2:5" ht="14.4" thickBot="1" x14ac:dyDescent="0.3">
      <c r="B16" s="80" t="s">
        <v>128</v>
      </c>
      <c r="C16" s="127">
        <f>IFERROR(VLOOKUP(C$6,'RESUMO DE PONTOS'!$C$9:$H$58,5,),"")</f>
        <v>0</v>
      </c>
    </row>
    <row r="17" spans="2:3" thickBot="1" x14ac:dyDescent="0.3">
      <c r="B17" s="57" t="s">
        <v>129</v>
      </c>
      <c r="C17" s="79">
        <f>IFERROR(VLOOKUP(C$6,'RESUMO DE PONTOS'!$C$9:$H$58,6,),"")</f>
        <v>0</v>
      </c>
    </row>
    <row r="18" spans="2:3" ht="55.8" thickBot="1" x14ac:dyDescent="0.3">
      <c r="B18" s="82" t="s">
        <v>308</v>
      </c>
      <c r="C18" s="41" t="s">
        <v>388</v>
      </c>
    </row>
    <row r="19" spans="2:3" ht="43.8" thickBot="1" x14ac:dyDescent="0.3">
      <c r="B19" s="57" t="s">
        <v>310</v>
      </c>
      <c r="C19" s="79" t="s">
        <v>389</v>
      </c>
    </row>
    <row r="20" spans="2:3" ht="42" thickBot="1" x14ac:dyDescent="0.3">
      <c r="B20" s="80" t="s">
        <v>312</v>
      </c>
      <c r="C20" s="41" t="s">
        <v>390</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C4">
    <cfRule type="containsText" dxfId="35" priority="1" operator="containsText" text="BAIXO IMPACTO">
      <formula>NOT(ISERROR(SEARCH(("BAIXO IMPACTO"),(C4))))</formula>
    </cfRule>
  </conditionalFormatting>
  <conditionalFormatting sqref="C4">
    <cfRule type="containsText" dxfId="34" priority="2" operator="containsText" text="MÉDIO IMPACTO">
      <formula>NOT(ISERROR(SEARCH(("MÉDIO IMPACTO"),(C4))))</formula>
    </cfRule>
  </conditionalFormatting>
  <conditionalFormatting sqref="C4">
    <cfRule type="containsText" dxfId="33" priority="3" operator="containsText" text="ALTO IMPACTO">
      <formula>NOT(ISERROR(SEARCH(("ALTO IMPACTO"),(C4))))</formula>
    </cfRule>
  </conditionalFormatting>
  <dataValidations count="3">
    <dataValidation type="list" allowBlank="1" showErrorMessage="1" sqref="C4" xr:uid="{B7702B87-D1B8-4A01-8921-62002EA2129C}">
      <formula1>"ALTO IMPACTO,MÉDIO IMPACTO,BAIXO IMPACTO"</formula1>
    </dataValidation>
    <dataValidation type="list" allowBlank="1" showErrorMessage="1" sqref="C8" xr:uid="{20843D19-B2ED-4058-A4D6-9FBB48CDDEE2}">
      <formula1>"Estratégico,Financeiro,Operacional,Legal,Tecnologia,Imagem"</formula1>
    </dataValidation>
    <dataValidation type="list" allowBlank="1" showErrorMessage="1" sqref="C6" xr:uid="{2DA0E345-AB9B-41E5-957B-39AF5CD23CC1}">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2B145-B007-40C2-9B6E-8113D5E322F0}">
  <dimension ref="B2:E1000"/>
  <sheetViews>
    <sheetView showGridLines="0" topLeftCell="A4" workbookViewId="0">
      <selection activeCell="B3" sqref="B3:C20"/>
    </sheetView>
  </sheetViews>
  <sheetFormatPr defaultColWidth="12.59765625" defaultRowHeight="15" customHeight="1" x14ac:dyDescent="0.25"/>
  <cols>
    <col min="1" max="1" width="7.59765625" customWidth="1"/>
    <col min="2" max="2" width="18" customWidth="1"/>
    <col min="3" max="3" width="46.59765625" customWidth="1"/>
    <col min="4" max="26" width="7.59765625" customWidth="1"/>
  </cols>
  <sheetData>
    <row r="2" spans="2:5" ht="17.399999999999999" x14ac:dyDescent="0.25">
      <c r="B2" s="71" t="s">
        <v>380</v>
      </c>
    </row>
    <row r="3" spans="2:5" ht="16.2" thickBot="1" x14ac:dyDescent="0.3">
      <c r="B3" s="52" t="s">
        <v>289</v>
      </c>
      <c r="C3" s="53" t="s">
        <v>290</v>
      </c>
    </row>
    <row r="4" spans="2:5" ht="15.6" thickTop="1" thickBot="1" x14ac:dyDescent="0.35">
      <c r="B4" s="73" t="s">
        <v>291</v>
      </c>
      <c r="C4" s="24" t="e">
        <f>IF(C12&gt;=75,"ALTO IMPACTO",IF(C12&lt;=50,"BAIXO IMPACTO","MÉDIO IMPACTO"))</f>
        <v>#N/A</v>
      </c>
      <c r="E4" s="9" t="s">
        <v>381</v>
      </c>
    </row>
    <row r="5" spans="2:5" ht="14.4" thickBot="1" x14ac:dyDescent="0.3">
      <c r="B5" s="74" t="s">
        <v>123</v>
      </c>
      <c r="C5" s="75">
        <f>IFERROR(VLOOKUP(C6,'RESUMO DE PONTOS'!$C$9:$M$58,10,),"")</f>
        <v>0</v>
      </c>
    </row>
    <row r="6" spans="2:5" thickBot="1" x14ac:dyDescent="0.35">
      <c r="B6" s="76" t="s">
        <v>293</v>
      </c>
      <c r="C6" s="77" t="s">
        <v>223</v>
      </c>
      <c r="E6" s="9" t="s">
        <v>382</v>
      </c>
    </row>
    <row r="7" spans="2:5" ht="14.4" thickBot="1" x14ac:dyDescent="0.3">
      <c r="B7" s="74" t="s">
        <v>295</v>
      </c>
      <c r="C7" s="75" t="e">
        <f>VLOOKUP(C6,'BASE DA MATRIZ DE RISCOS'!$C$78:$D$210,2,)</f>
        <v>#N/A</v>
      </c>
    </row>
    <row r="8" spans="2:5" thickBot="1" x14ac:dyDescent="0.35">
      <c r="B8" s="76" t="s">
        <v>46</v>
      </c>
      <c r="C8" s="78" t="e">
        <f>VLOOKUP(C6,'BASE DA MATRIZ DE RISCOS'!$C$78:$E$210,3,)</f>
        <v>#N/A</v>
      </c>
      <c r="E8" s="9" t="s">
        <v>382</v>
      </c>
    </row>
    <row r="9" spans="2:5" thickBot="1" x14ac:dyDescent="0.35">
      <c r="B9" s="54" t="s">
        <v>46</v>
      </c>
      <c r="C9" s="79" t="e">
        <f>VLOOKUP($C$8,'BASE DA MATRIZ DE RISCOS'!$C$30:$E$35,3)</f>
        <v>#N/A</v>
      </c>
      <c r="E9" s="9" t="s">
        <v>383</v>
      </c>
    </row>
    <row r="10" spans="2:5" thickBot="1" x14ac:dyDescent="0.35">
      <c r="B10" s="80" t="s">
        <v>298</v>
      </c>
      <c r="C10" s="41" t="e">
        <f>VLOOKUP(C6,'BASE DA MATRIZ DE RISCOS'!$C$78:$H$210,5,)</f>
        <v>#N/A</v>
      </c>
      <c r="E10" s="9" t="s">
        <v>384</v>
      </c>
    </row>
    <row r="11" spans="2:5" thickBot="1" x14ac:dyDescent="0.35">
      <c r="B11" s="54" t="s">
        <v>291</v>
      </c>
      <c r="C11" s="79" t="e">
        <f>VLOOKUP(C6,'BASE DA MATRIZ DE RISCOS'!$C$78:$H$210,6,)</f>
        <v>#N/A</v>
      </c>
      <c r="E11" s="9" t="s">
        <v>384</v>
      </c>
    </row>
    <row r="12" spans="2:5" thickBot="1" x14ac:dyDescent="0.35">
      <c r="B12" s="80" t="s">
        <v>301</v>
      </c>
      <c r="C12" s="81" t="e">
        <f>C9*C10*C11</f>
        <v>#N/A</v>
      </c>
      <c r="E12" s="9" t="s">
        <v>385</v>
      </c>
    </row>
    <row r="13" spans="2:5" thickBot="1" x14ac:dyDescent="0.35">
      <c r="B13" s="54" t="s">
        <v>386</v>
      </c>
      <c r="C13" s="79" t="e">
        <f>VLOOKUP(C6,'BASE DA MATRIZ DE RISCOS'!$C$78:$J$210,8,)</f>
        <v>#N/A</v>
      </c>
      <c r="E13" s="9" t="s">
        <v>387</v>
      </c>
    </row>
    <row r="14" spans="2:5" ht="14.4" thickBot="1" x14ac:dyDescent="0.3">
      <c r="B14" s="80" t="s">
        <v>290</v>
      </c>
      <c r="C14" s="41">
        <f>VLOOKUP(C$6,'RESUMO DE PONTOS'!$C$9:$H$58,3,)</f>
        <v>0</v>
      </c>
    </row>
    <row r="15" spans="2:5" ht="14.4" thickBot="1" x14ac:dyDescent="0.3">
      <c r="B15" s="54" t="s">
        <v>127</v>
      </c>
      <c r="C15" s="79">
        <f>IFERROR(VLOOKUP(C$6,'RESUMO DE PONTOS'!$C$9:$H$58,4,),"")</f>
        <v>0</v>
      </c>
    </row>
    <row r="16" spans="2:5" ht="14.4" thickBot="1" x14ac:dyDescent="0.3">
      <c r="B16" s="80" t="s">
        <v>128</v>
      </c>
      <c r="C16" s="127">
        <f>IFERROR(VLOOKUP(C$6,'RESUMO DE PONTOS'!$C$9:$H$58,5,),"")</f>
        <v>0</v>
      </c>
    </row>
    <row r="17" spans="2:3" thickBot="1" x14ac:dyDescent="0.3">
      <c r="B17" s="57" t="s">
        <v>129</v>
      </c>
      <c r="C17" s="79">
        <f>IFERROR(VLOOKUP(C$6,'RESUMO DE PONTOS'!$C$9:$H$58,6,),"")</f>
        <v>0</v>
      </c>
    </row>
    <row r="18" spans="2:3" ht="55.8" thickBot="1" x14ac:dyDescent="0.3">
      <c r="B18" s="82" t="s">
        <v>308</v>
      </c>
      <c r="C18" s="41" t="s">
        <v>388</v>
      </c>
    </row>
    <row r="19" spans="2:3" ht="43.8" thickBot="1" x14ac:dyDescent="0.3">
      <c r="B19" s="57" t="s">
        <v>310</v>
      </c>
      <c r="C19" s="79" t="s">
        <v>389</v>
      </c>
    </row>
    <row r="20" spans="2:3" ht="42" thickBot="1" x14ac:dyDescent="0.3">
      <c r="B20" s="80" t="s">
        <v>312</v>
      </c>
      <c r="C20" s="41" t="s">
        <v>390</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C4">
    <cfRule type="containsText" dxfId="32" priority="1" operator="containsText" text="BAIXO IMPACTO">
      <formula>NOT(ISERROR(SEARCH(("BAIXO IMPACTO"),(C4))))</formula>
    </cfRule>
  </conditionalFormatting>
  <conditionalFormatting sqref="C4">
    <cfRule type="containsText" dxfId="31" priority="2" operator="containsText" text="MÉDIO IMPACTO">
      <formula>NOT(ISERROR(SEARCH(("MÉDIO IMPACTO"),(C4))))</formula>
    </cfRule>
  </conditionalFormatting>
  <conditionalFormatting sqref="C4">
    <cfRule type="containsText" dxfId="30" priority="3" operator="containsText" text="ALTO IMPACTO">
      <formula>NOT(ISERROR(SEARCH(("ALTO IMPACTO"),(C4))))</formula>
    </cfRule>
  </conditionalFormatting>
  <dataValidations count="3">
    <dataValidation type="list" allowBlank="1" showErrorMessage="1" sqref="C4" xr:uid="{B6029DF5-CB2D-49DD-A808-C3A7A7C57A9E}">
      <formula1>"ALTO IMPACTO,MÉDIO IMPACTO,BAIXO IMPACTO"</formula1>
    </dataValidation>
    <dataValidation type="list" allowBlank="1" showErrorMessage="1" sqref="C8" xr:uid="{639272BC-58A6-4732-A750-21945B448C0E}">
      <formula1>"Estratégico,Financeiro,Operacional,Legal,Tecnologia,Imagem"</formula1>
    </dataValidation>
    <dataValidation type="list" allowBlank="1" showErrorMessage="1" sqref="C6" xr:uid="{99411222-80BF-4114-B8C7-F7454B87971E}">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DC7E2-295B-495B-9E9F-D745C192EEE6}">
  <dimension ref="B2:E1000"/>
  <sheetViews>
    <sheetView showGridLines="0" topLeftCell="A10" zoomScale="80" zoomScaleNormal="80" workbookViewId="0">
      <selection activeCell="B3" sqref="B3:C20"/>
    </sheetView>
  </sheetViews>
  <sheetFormatPr defaultColWidth="12.59765625" defaultRowHeight="15" customHeight="1" x14ac:dyDescent="0.25"/>
  <cols>
    <col min="1" max="1" width="7.59765625" customWidth="1"/>
    <col min="2" max="2" width="18" customWidth="1"/>
    <col min="3" max="3" width="46.59765625" customWidth="1"/>
    <col min="4" max="26" width="7.59765625" customWidth="1"/>
  </cols>
  <sheetData>
    <row r="2" spans="2:5" ht="17.399999999999999" x14ac:dyDescent="0.25">
      <c r="B2" s="71" t="s">
        <v>380</v>
      </c>
    </row>
    <row r="3" spans="2:5" ht="16.2" thickBot="1" x14ac:dyDescent="0.3">
      <c r="B3" s="52" t="s">
        <v>289</v>
      </c>
      <c r="C3" s="53" t="s">
        <v>290</v>
      </c>
    </row>
    <row r="4" spans="2:5" ht="15.6" thickTop="1" thickBot="1" x14ac:dyDescent="0.35">
      <c r="B4" s="73" t="s">
        <v>291</v>
      </c>
      <c r="C4" s="24" t="e">
        <f>IF(C12&gt;=75,"ALTO IMPACTO",IF(C12&lt;=50,"BAIXO IMPACTO","MÉDIO IMPACTO"))</f>
        <v>#N/A</v>
      </c>
      <c r="E4" s="9" t="s">
        <v>381</v>
      </c>
    </row>
    <row r="5" spans="2:5" ht="14.4" thickBot="1" x14ac:dyDescent="0.3">
      <c r="B5" s="74" t="s">
        <v>123</v>
      </c>
      <c r="C5" s="75">
        <f>IFERROR(VLOOKUP(C6,'RESUMO DE PONTOS'!$C$9:$M$58,10,),"")</f>
        <v>0</v>
      </c>
    </row>
    <row r="6" spans="2:5" thickBot="1" x14ac:dyDescent="0.35">
      <c r="B6" s="76" t="s">
        <v>293</v>
      </c>
      <c r="C6" s="77" t="s">
        <v>228</v>
      </c>
      <c r="E6" s="9" t="s">
        <v>382</v>
      </c>
    </row>
    <row r="7" spans="2:5" ht="14.4" thickBot="1" x14ac:dyDescent="0.3">
      <c r="B7" s="74" t="s">
        <v>295</v>
      </c>
      <c r="C7" s="75" t="e">
        <f>VLOOKUP(C6,'BASE DA MATRIZ DE RISCOS'!$C$78:$D$210,2,)</f>
        <v>#N/A</v>
      </c>
    </row>
    <row r="8" spans="2:5" thickBot="1" x14ac:dyDescent="0.35">
      <c r="B8" s="76" t="s">
        <v>46</v>
      </c>
      <c r="C8" s="78" t="e">
        <f>VLOOKUP(C6,'BASE DA MATRIZ DE RISCOS'!$C$78:$E$210,3,)</f>
        <v>#N/A</v>
      </c>
      <c r="E8" s="9" t="s">
        <v>382</v>
      </c>
    </row>
    <row r="9" spans="2:5" thickBot="1" x14ac:dyDescent="0.35">
      <c r="B9" s="54" t="s">
        <v>46</v>
      </c>
      <c r="C9" s="79" t="e">
        <f>VLOOKUP($C$8,'BASE DA MATRIZ DE RISCOS'!$C$30:$E$35,3)</f>
        <v>#N/A</v>
      </c>
      <c r="E9" s="9" t="s">
        <v>383</v>
      </c>
    </row>
    <row r="10" spans="2:5" thickBot="1" x14ac:dyDescent="0.35">
      <c r="B10" s="80" t="s">
        <v>298</v>
      </c>
      <c r="C10" s="41" t="e">
        <f>VLOOKUP(C6,'BASE DA MATRIZ DE RISCOS'!$C$78:$H$210,5,)</f>
        <v>#N/A</v>
      </c>
      <c r="E10" s="9" t="s">
        <v>384</v>
      </c>
    </row>
    <row r="11" spans="2:5" thickBot="1" x14ac:dyDescent="0.35">
      <c r="B11" s="54" t="s">
        <v>291</v>
      </c>
      <c r="C11" s="79" t="e">
        <f>VLOOKUP(C6,'BASE DA MATRIZ DE RISCOS'!$C$78:$H$210,6,)</f>
        <v>#N/A</v>
      </c>
      <c r="E11" s="9" t="s">
        <v>384</v>
      </c>
    </row>
    <row r="12" spans="2:5" thickBot="1" x14ac:dyDescent="0.35">
      <c r="B12" s="80" t="s">
        <v>301</v>
      </c>
      <c r="C12" s="81" t="e">
        <f>C9*C10*C11</f>
        <v>#N/A</v>
      </c>
      <c r="E12" s="9" t="s">
        <v>385</v>
      </c>
    </row>
    <row r="13" spans="2:5" thickBot="1" x14ac:dyDescent="0.35">
      <c r="B13" s="54" t="s">
        <v>386</v>
      </c>
      <c r="C13" s="79" t="e">
        <f>VLOOKUP(C6,'BASE DA MATRIZ DE RISCOS'!$C$78:$J$210,8,)</f>
        <v>#N/A</v>
      </c>
      <c r="E13" s="9" t="s">
        <v>387</v>
      </c>
    </row>
    <row r="14" spans="2:5" ht="14.4" thickBot="1" x14ac:dyDescent="0.3">
      <c r="B14" s="80" t="s">
        <v>290</v>
      </c>
      <c r="C14" s="41">
        <f>VLOOKUP(C$6,'RESUMO DE PONTOS'!$C$9:$H$58,3,)</f>
        <v>0</v>
      </c>
    </row>
    <row r="15" spans="2:5" ht="14.4" thickBot="1" x14ac:dyDescent="0.3">
      <c r="B15" s="54" t="s">
        <v>127</v>
      </c>
      <c r="C15" s="79">
        <f>IFERROR(VLOOKUP(C$6,'RESUMO DE PONTOS'!$C$9:$H$58,4,),"")</f>
        <v>0</v>
      </c>
    </row>
    <row r="16" spans="2:5" ht="14.4" thickBot="1" x14ac:dyDescent="0.3">
      <c r="B16" s="80" t="s">
        <v>128</v>
      </c>
      <c r="C16" s="127">
        <f>IFERROR(VLOOKUP(C$6,'RESUMO DE PONTOS'!$C$9:$H$58,5,),"")</f>
        <v>0</v>
      </c>
    </row>
    <row r="17" spans="2:3" thickBot="1" x14ac:dyDescent="0.3">
      <c r="B17" s="57" t="s">
        <v>129</v>
      </c>
      <c r="C17" s="79">
        <f>IFERROR(VLOOKUP(C$6,'RESUMO DE PONTOS'!$C$9:$H$58,6,),"")</f>
        <v>0</v>
      </c>
    </row>
    <row r="18" spans="2:3" ht="55.8" thickBot="1" x14ac:dyDescent="0.3">
      <c r="B18" s="82" t="s">
        <v>308</v>
      </c>
      <c r="C18" s="41" t="s">
        <v>388</v>
      </c>
    </row>
    <row r="19" spans="2:3" ht="43.8" thickBot="1" x14ac:dyDescent="0.3">
      <c r="B19" s="57" t="s">
        <v>310</v>
      </c>
      <c r="C19" s="79" t="s">
        <v>389</v>
      </c>
    </row>
    <row r="20" spans="2:3" ht="42" thickBot="1" x14ac:dyDescent="0.3">
      <c r="B20" s="80" t="s">
        <v>312</v>
      </c>
      <c r="C20" s="41" t="s">
        <v>390</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C4">
    <cfRule type="containsText" dxfId="29" priority="1" operator="containsText" text="BAIXO IMPACTO">
      <formula>NOT(ISERROR(SEARCH(("BAIXO IMPACTO"),(C4))))</formula>
    </cfRule>
  </conditionalFormatting>
  <conditionalFormatting sqref="C4">
    <cfRule type="containsText" dxfId="28" priority="2" operator="containsText" text="MÉDIO IMPACTO">
      <formula>NOT(ISERROR(SEARCH(("MÉDIO IMPACTO"),(C4))))</formula>
    </cfRule>
  </conditionalFormatting>
  <conditionalFormatting sqref="C4">
    <cfRule type="containsText" dxfId="27" priority="3" operator="containsText" text="ALTO IMPACTO">
      <formula>NOT(ISERROR(SEARCH(("ALTO IMPACTO"),(C4))))</formula>
    </cfRule>
  </conditionalFormatting>
  <dataValidations count="3">
    <dataValidation type="list" allowBlank="1" showErrorMessage="1" sqref="C6" xr:uid="{C0C9E77A-F1ED-4610-8F78-FA7DC6BC9DE3}">
      <formula1>"[P1],[P2],[P3],[P4],[P5],[P6],[P7],[P8],[P9],[P10],[P11],[P12],[P13],[P14],[P15],[P16],[P17],[P18],[P19],[P20],[P21],[P22],[P23],[P24],[P25],[P26],[P27],[P28],[P29],[P30],[P31],[P32],[P33],[P34],[P35],[P36],[P37],[P38],[P39],[P40]"</formula1>
    </dataValidation>
    <dataValidation type="list" allowBlank="1" showErrorMessage="1" sqref="C8" xr:uid="{25304224-9263-420C-BCEB-5B9C6EDBC6B0}">
      <formula1>"Estratégico,Financeiro,Operacional,Legal,Tecnologia,Imagem"</formula1>
    </dataValidation>
    <dataValidation type="list" allowBlank="1" showErrorMessage="1" sqref="C4" xr:uid="{D18DCF22-DEA5-446D-AE3D-2A4455F162D4}">
      <formula1>"ALTO IMPACTO,MÉDIO IMPACTO,BAIXO IMPACTO"</formula1>
    </dataValidation>
  </dataValidations>
  <pageMargins left="0.511811024" right="0.511811024" top="0.78740157499999996" bottom="0.78740157499999996" header="0" footer="0"/>
  <pageSetup paperSize="9" orientation="portrait"/>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CFEDA-DAAA-4B2F-B8B5-0D0B5FFEE5C2}">
  <dimension ref="B2:E1000"/>
  <sheetViews>
    <sheetView showGridLines="0" workbookViewId="0">
      <selection activeCell="B3" sqref="B3:C20"/>
    </sheetView>
  </sheetViews>
  <sheetFormatPr defaultColWidth="12.59765625" defaultRowHeight="15" customHeight="1" x14ac:dyDescent="0.25"/>
  <cols>
    <col min="1" max="1" width="7.59765625" customWidth="1"/>
    <col min="2" max="2" width="18" customWidth="1"/>
    <col min="3" max="3" width="46.59765625" customWidth="1"/>
    <col min="4" max="26" width="7.59765625" customWidth="1"/>
  </cols>
  <sheetData>
    <row r="2" spans="2:5" ht="17.399999999999999" x14ac:dyDescent="0.25">
      <c r="B2" s="71" t="s">
        <v>380</v>
      </c>
    </row>
    <row r="3" spans="2:5" ht="16.2" thickBot="1" x14ac:dyDescent="0.3">
      <c r="B3" s="52" t="s">
        <v>289</v>
      </c>
      <c r="C3" s="53" t="s">
        <v>290</v>
      </c>
    </row>
    <row r="4" spans="2:5" ht="15.6" thickTop="1" thickBot="1" x14ac:dyDescent="0.35">
      <c r="B4" s="73" t="s">
        <v>291</v>
      </c>
      <c r="C4" s="24" t="e">
        <f>IF(C12&gt;=75,"ALTO IMPACTO",IF(C12&lt;=50,"BAIXO IMPACTO","MÉDIO IMPACTO"))</f>
        <v>#N/A</v>
      </c>
      <c r="E4" s="9" t="s">
        <v>381</v>
      </c>
    </row>
    <row r="5" spans="2:5" ht="14.4" thickBot="1" x14ac:dyDescent="0.3">
      <c r="B5" s="74" t="s">
        <v>123</v>
      </c>
      <c r="C5" s="75">
        <f>IFERROR(VLOOKUP(C6,'RESUMO DE PONTOS'!$C$9:$M$58,10,),"")</f>
        <v>0</v>
      </c>
    </row>
    <row r="6" spans="2:5" thickBot="1" x14ac:dyDescent="0.35">
      <c r="B6" s="76" t="s">
        <v>293</v>
      </c>
      <c r="C6" s="77" t="s">
        <v>233</v>
      </c>
      <c r="E6" s="9" t="s">
        <v>382</v>
      </c>
    </row>
    <row r="7" spans="2:5" ht="14.4" thickBot="1" x14ac:dyDescent="0.3">
      <c r="B7" s="74" t="s">
        <v>295</v>
      </c>
      <c r="C7" s="75" t="e">
        <f>VLOOKUP(C6,'BASE DA MATRIZ DE RISCOS'!$C$78:$D$210,2,)</f>
        <v>#N/A</v>
      </c>
    </row>
    <row r="8" spans="2:5" thickBot="1" x14ac:dyDescent="0.35">
      <c r="B8" s="76" t="s">
        <v>46</v>
      </c>
      <c r="C8" s="78" t="e">
        <f>VLOOKUP(C6,'BASE DA MATRIZ DE RISCOS'!$C$78:$E$210,3,)</f>
        <v>#N/A</v>
      </c>
      <c r="E8" s="9" t="s">
        <v>382</v>
      </c>
    </row>
    <row r="9" spans="2:5" thickBot="1" x14ac:dyDescent="0.35">
      <c r="B9" s="54" t="s">
        <v>46</v>
      </c>
      <c r="C9" s="79" t="e">
        <f>VLOOKUP($C$8,'BASE DA MATRIZ DE RISCOS'!$C$30:$E$36,3)</f>
        <v>#N/A</v>
      </c>
      <c r="E9" s="9" t="s">
        <v>383</v>
      </c>
    </row>
    <row r="10" spans="2:5" thickBot="1" x14ac:dyDescent="0.35">
      <c r="B10" s="80" t="s">
        <v>298</v>
      </c>
      <c r="C10" s="41" t="e">
        <f>VLOOKUP(C6,'BASE DA MATRIZ DE RISCOS'!$C$78:$H$210,5,)</f>
        <v>#N/A</v>
      </c>
      <c r="E10" s="9" t="s">
        <v>384</v>
      </c>
    </row>
    <row r="11" spans="2:5" thickBot="1" x14ac:dyDescent="0.35">
      <c r="B11" s="54" t="s">
        <v>291</v>
      </c>
      <c r="C11" s="79" t="e">
        <f>VLOOKUP(C6,'BASE DA MATRIZ DE RISCOS'!$C$78:$H$210,6,)</f>
        <v>#N/A</v>
      </c>
      <c r="E11" s="9" t="s">
        <v>384</v>
      </c>
    </row>
    <row r="12" spans="2:5" thickBot="1" x14ac:dyDescent="0.35">
      <c r="B12" s="80" t="s">
        <v>301</v>
      </c>
      <c r="C12" s="81" t="e">
        <f>C9*C10*C11</f>
        <v>#N/A</v>
      </c>
      <c r="E12" s="9" t="s">
        <v>385</v>
      </c>
    </row>
    <row r="13" spans="2:5" thickBot="1" x14ac:dyDescent="0.35">
      <c r="B13" s="54" t="s">
        <v>386</v>
      </c>
      <c r="C13" s="79" t="e">
        <f>VLOOKUP(C6,'BASE DA MATRIZ DE RISCOS'!$C$78:$J$210,8,)</f>
        <v>#N/A</v>
      </c>
      <c r="E13" s="9" t="s">
        <v>387</v>
      </c>
    </row>
    <row r="14" spans="2:5" ht="14.4" thickBot="1" x14ac:dyDescent="0.3">
      <c r="B14" s="80" t="s">
        <v>290</v>
      </c>
      <c r="C14" s="41">
        <f>VLOOKUP(C$6,'RESUMO DE PONTOS'!$C$9:$H$58,3,)</f>
        <v>0</v>
      </c>
    </row>
    <row r="15" spans="2:5" ht="14.4" thickBot="1" x14ac:dyDescent="0.3">
      <c r="B15" s="54" t="s">
        <v>127</v>
      </c>
      <c r="C15" s="79">
        <f>IFERROR(VLOOKUP(C$6,'RESUMO DE PONTOS'!$C$9:$H$58,4,),"")</f>
        <v>0</v>
      </c>
    </row>
    <row r="16" spans="2:5" ht="14.4" thickBot="1" x14ac:dyDescent="0.3">
      <c r="B16" s="80" t="s">
        <v>128</v>
      </c>
      <c r="C16" s="127">
        <f>IFERROR(VLOOKUP(C$6,'RESUMO DE PONTOS'!$C$9:$H$58,5,),"")</f>
        <v>0</v>
      </c>
    </row>
    <row r="17" spans="2:3" thickBot="1" x14ac:dyDescent="0.3">
      <c r="B17" s="57" t="s">
        <v>129</v>
      </c>
      <c r="C17" s="79">
        <f>IFERROR(VLOOKUP(C$6,'RESUMO DE PONTOS'!$C$9:$H$58,6,),"")</f>
        <v>0</v>
      </c>
    </row>
    <row r="18" spans="2:3" ht="55.8" thickBot="1" x14ac:dyDescent="0.3">
      <c r="B18" s="82" t="s">
        <v>308</v>
      </c>
      <c r="C18" s="41" t="s">
        <v>388</v>
      </c>
    </row>
    <row r="19" spans="2:3" ht="43.8" thickBot="1" x14ac:dyDescent="0.3">
      <c r="B19" s="57" t="s">
        <v>310</v>
      </c>
      <c r="C19" s="79" t="s">
        <v>389</v>
      </c>
    </row>
    <row r="20" spans="2:3" ht="42" thickBot="1" x14ac:dyDescent="0.3">
      <c r="B20" s="80" t="s">
        <v>312</v>
      </c>
      <c r="C20" s="41" t="s">
        <v>390</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C4">
    <cfRule type="containsText" dxfId="26" priority="1" operator="containsText" text="BAIXO IMPACTO">
      <formula>NOT(ISERROR(SEARCH(("BAIXO IMPACTO"),(C4))))</formula>
    </cfRule>
  </conditionalFormatting>
  <conditionalFormatting sqref="C4">
    <cfRule type="containsText" dxfId="25" priority="2" operator="containsText" text="MÉDIO IMPACTO">
      <formula>NOT(ISERROR(SEARCH(("MÉDIO IMPACTO"),(C4))))</formula>
    </cfRule>
  </conditionalFormatting>
  <conditionalFormatting sqref="C4">
    <cfRule type="containsText" dxfId="24" priority="3" operator="containsText" text="ALTO IMPACTO">
      <formula>NOT(ISERROR(SEARCH(("ALTO IMPACTO"),(C4))))</formula>
    </cfRule>
  </conditionalFormatting>
  <dataValidations count="3">
    <dataValidation type="list" allowBlank="1" showErrorMessage="1" sqref="C4" xr:uid="{09CDB4AA-EB76-423A-8A79-EF4805FBA628}">
      <formula1>"ALTO IMPACTO,MÉDIO IMPACTO,BAIXO IMPACTO"</formula1>
    </dataValidation>
    <dataValidation type="list" allowBlank="1" showErrorMessage="1" sqref="C8" xr:uid="{9BF6705F-55A4-4CD9-8357-8FB88845AE4B}">
      <formula1>"Estratégico,Financeiro,Operacional,Legal,Tecnologia,Imagem"</formula1>
    </dataValidation>
    <dataValidation type="list" allowBlank="1" showErrorMessage="1" sqref="C6" xr:uid="{C37178B7-1FF0-4A09-8DF7-E69002C6020B}">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8D952-FDF2-4AE0-9F80-A667C652015B}">
  <dimension ref="B2:E1000"/>
  <sheetViews>
    <sheetView showGridLines="0" topLeftCell="C1" workbookViewId="0">
      <selection activeCell="B3" sqref="B3:C20"/>
    </sheetView>
  </sheetViews>
  <sheetFormatPr defaultColWidth="12.59765625" defaultRowHeight="15" customHeight="1" x14ac:dyDescent="0.25"/>
  <cols>
    <col min="1" max="1" width="7.59765625" customWidth="1"/>
    <col min="2" max="2" width="18" customWidth="1"/>
    <col min="3" max="3" width="46.59765625" customWidth="1"/>
    <col min="4" max="26" width="7.59765625" customWidth="1"/>
  </cols>
  <sheetData>
    <row r="2" spans="2:5" ht="17.399999999999999" x14ac:dyDescent="0.25">
      <c r="B2" s="71" t="s">
        <v>380</v>
      </c>
    </row>
    <row r="3" spans="2:5" ht="16.2" thickBot="1" x14ac:dyDescent="0.3">
      <c r="B3" s="52" t="s">
        <v>289</v>
      </c>
      <c r="C3" s="53" t="s">
        <v>290</v>
      </c>
    </row>
    <row r="4" spans="2:5" ht="15.6" thickTop="1" thickBot="1" x14ac:dyDescent="0.35">
      <c r="B4" s="73" t="s">
        <v>291</v>
      </c>
      <c r="C4" s="24" t="e">
        <f>IF(C12&gt;=75,"ALTO IMPACTO",IF(C12&lt;=50,"BAIXO IMPACTO","MÉDIO IMPACTO"))</f>
        <v>#N/A</v>
      </c>
      <c r="E4" s="9" t="s">
        <v>381</v>
      </c>
    </row>
    <row r="5" spans="2:5" ht="14.4" thickBot="1" x14ac:dyDescent="0.3">
      <c r="B5" s="74" t="s">
        <v>123</v>
      </c>
      <c r="C5" s="75">
        <f>IFERROR(VLOOKUP(C6,'RESUMO DE PONTOS'!$C$9:$M$47,10,),"")</f>
        <v>0</v>
      </c>
    </row>
    <row r="6" spans="2:5" thickBot="1" x14ac:dyDescent="0.35">
      <c r="B6" s="76" t="s">
        <v>293</v>
      </c>
      <c r="C6" s="77" t="s">
        <v>238</v>
      </c>
      <c r="E6" s="9" t="s">
        <v>382</v>
      </c>
    </row>
    <row r="7" spans="2:5" ht="14.4" thickBot="1" x14ac:dyDescent="0.3">
      <c r="B7" s="74" t="s">
        <v>295</v>
      </c>
      <c r="C7" s="75" t="e">
        <f>VLOOKUP(C6,'BASE DA MATRIZ DE RISCOS'!$C$78:$D$109,2,)</f>
        <v>#N/A</v>
      </c>
    </row>
    <row r="8" spans="2:5" thickBot="1" x14ac:dyDescent="0.35">
      <c r="B8" s="76" t="s">
        <v>46</v>
      </c>
      <c r="C8" s="78" t="e">
        <f>VLOOKUP(C6,'BASE DA MATRIZ DE RISCOS'!$C$78:$E$109,3,)</f>
        <v>#N/A</v>
      </c>
      <c r="E8" s="9" t="s">
        <v>382</v>
      </c>
    </row>
    <row r="9" spans="2:5" thickBot="1" x14ac:dyDescent="0.35">
      <c r="B9" s="54" t="s">
        <v>46</v>
      </c>
      <c r="C9" s="79" t="e">
        <f>VLOOKUP($C$8,'BASE DA MATRIZ DE RISCOS'!$C$30:$E$36,3)</f>
        <v>#N/A</v>
      </c>
      <c r="E9" s="9" t="s">
        <v>383</v>
      </c>
    </row>
    <row r="10" spans="2:5" thickBot="1" x14ac:dyDescent="0.35">
      <c r="B10" s="80" t="s">
        <v>298</v>
      </c>
      <c r="C10" s="41" t="e">
        <f>VLOOKUP(C6,'BASE DA MATRIZ DE RISCOS'!$C$78:$H$109,5,)</f>
        <v>#N/A</v>
      </c>
      <c r="E10" s="9" t="s">
        <v>384</v>
      </c>
    </row>
    <row r="11" spans="2:5" thickBot="1" x14ac:dyDescent="0.35">
      <c r="B11" s="54" t="s">
        <v>291</v>
      </c>
      <c r="C11" s="79" t="e">
        <f>VLOOKUP(C6,'BASE DA MATRIZ DE RISCOS'!$C$78:$H$109,6,)</f>
        <v>#N/A</v>
      </c>
      <c r="E11" s="9" t="s">
        <v>384</v>
      </c>
    </row>
    <row r="12" spans="2:5" thickBot="1" x14ac:dyDescent="0.35">
      <c r="B12" s="80" t="s">
        <v>301</v>
      </c>
      <c r="C12" s="81" t="e">
        <f>C9*C10*C11</f>
        <v>#N/A</v>
      </c>
      <c r="E12" s="9" t="s">
        <v>385</v>
      </c>
    </row>
    <row r="13" spans="2:5" thickBot="1" x14ac:dyDescent="0.35">
      <c r="B13" s="54" t="s">
        <v>386</v>
      </c>
      <c r="C13" s="79" t="e">
        <f>VLOOKUP(C6,'BASE DA MATRIZ DE RISCOS'!$C$78:$J$109,8,)</f>
        <v>#N/A</v>
      </c>
      <c r="E13" s="9" t="s">
        <v>387</v>
      </c>
    </row>
    <row r="14" spans="2:5" ht="14.4" thickBot="1" x14ac:dyDescent="0.3">
      <c r="B14" s="80" t="s">
        <v>290</v>
      </c>
      <c r="C14" s="41">
        <f>VLOOKUP(C$6,'RESUMO DE PONTOS'!$C$9:$H$47,3,)</f>
        <v>0</v>
      </c>
    </row>
    <row r="15" spans="2:5" ht="14.4" thickBot="1" x14ac:dyDescent="0.3">
      <c r="B15" s="54" t="s">
        <v>127</v>
      </c>
      <c r="C15" s="79">
        <f>IFERROR(VLOOKUP(C$6,'RESUMO DE PONTOS'!$C$9:$H$47,4,),"")</f>
        <v>0</v>
      </c>
    </row>
    <row r="16" spans="2:5" ht="14.4" thickBot="1" x14ac:dyDescent="0.3">
      <c r="B16" s="80" t="s">
        <v>128</v>
      </c>
      <c r="C16" s="127">
        <f>IFERROR(VLOOKUP(C$6,'RESUMO DE PONTOS'!$C$9:$H$47,5,),"")</f>
        <v>0</v>
      </c>
    </row>
    <row r="17" spans="2:3" thickBot="1" x14ac:dyDescent="0.3">
      <c r="B17" s="57" t="s">
        <v>129</v>
      </c>
      <c r="C17" s="79">
        <f>IFERROR(VLOOKUP(C$6,'RESUMO DE PONTOS'!$C$9:$H$47,6,),"")</f>
        <v>0</v>
      </c>
    </row>
    <row r="18" spans="2:3" ht="55.8" thickBot="1" x14ac:dyDescent="0.3">
      <c r="B18" s="82" t="s">
        <v>308</v>
      </c>
      <c r="C18" s="41" t="s">
        <v>388</v>
      </c>
    </row>
    <row r="19" spans="2:3" ht="43.8" thickBot="1" x14ac:dyDescent="0.3">
      <c r="B19" s="57" t="s">
        <v>310</v>
      </c>
      <c r="C19" s="79" t="s">
        <v>389</v>
      </c>
    </row>
    <row r="20" spans="2:3" ht="42" thickBot="1" x14ac:dyDescent="0.3">
      <c r="B20" s="80" t="s">
        <v>312</v>
      </c>
      <c r="C20" s="41" t="s">
        <v>390</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C4">
    <cfRule type="containsText" dxfId="23" priority="1" operator="containsText" text="BAIXO IMPACTO">
      <formula>NOT(ISERROR(SEARCH(("BAIXO IMPACTO"),(C4))))</formula>
    </cfRule>
  </conditionalFormatting>
  <conditionalFormatting sqref="C4">
    <cfRule type="containsText" dxfId="22" priority="2" operator="containsText" text="MÉDIO IMPACTO">
      <formula>NOT(ISERROR(SEARCH(("MÉDIO IMPACTO"),(C4))))</formula>
    </cfRule>
  </conditionalFormatting>
  <conditionalFormatting sqref="C4">
    <cfRule type="containsText" dxfId="21" priority="3" operator="containsText" text="ALTO IMPACTO">
      <formula>NOT(ISERROR(SEARCH(("ALTO IMPACTO"),(C4))))</formula>
    </cfRule>
  </conditionalFormatting>
  <dataValidations count="3">
    <dataValidation type="list" allowBlank="1" showErrorMessage="1" sqref="C4" xr:uid="{331F8C5F-AC13-4F66-9CA0-FD1E4870275C}">
      <formula1>"ALTO IMPACTO,MÉDIO IMPACTO,BAIXO IMPACTO"</formula1>
    </dataValidation>
    <dataValidation type="list" allowBlank="1" showErrorMessage="1" sqref="C8" xr:uid="{DD7B5F0C-9CE0-493D-BD12-0C912BF00880}">
      <formula1>"Estratégico,Financeiro,Operacional,Legal,Tecnologia,Imagem"</formula1>
    </dataValidation>
    <dataValidation type="list" allowBlank="1" showErrorMessage="1" sqref="C6" xr:uid="{5C3598F1-56B3-495D-A83F-A99584B679AB}">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0D2C9-7515-498F-A827-FBE21ED764E8}">
  <dimension ref="B2:E1000"/>
  <sheetViews>
    <sheetView showGridLines="0" workbookViewId="0">
      <selection activeCell="B3" sqref="B3:C20"/>
    </sheetView>
  </sheetViews>
  <sheetFormatPr defaultColWidth="12.59765625" defaultRowHeight="15" customHeight="1" x14ac:dyDescent="0.25"/>
  <cols>
    <col min="1" max="1" width="7.59765625" customWidth="1"/>
    <col min="2" max="2" width="18" customWidth="1"/>
    <col min="3" max="3" width="46.59765625" customWidth="1"/>
    <col min="4" max="26" width="7.59765625" customWidth="1"/>
  </cols>
  <sheetData>
    <row r="2" spans="2:5" ht="17.399999999999999" x14ac:dyDescent="0.25">
      <c r="B2" s="71" t="s">
        <v>380</v>
      </c>
    </row>
    <row r="3" spans="2:5" ht="16.2" thickBot="1" x14ac:dyDescent="0.3">
      <c r="B3" s="52" t="s">
        <v>289</v>
      </c>
      <c r="C3" s="53" t="s">
        <v>290</v>
      </c>
    </row>
    <row r="4" spans="2:5" ht="15.6" thickTop="1" thickBot="1" x14ac:dyDescent="0.35">
      <c r="B4" s="73" t="s">
        <v>291</v>
      </c>
      <c r="C4" s="24" t="e">
        <f>IF(C12&gt;=75,"ALTO IMPACTO",IF(C12&lt;=50,"BAIXO IMPACTO","MÉDIO IMPACTO"))</f>
        <v>#N/A</v>
      </c>
      <c r="E4" s="9" t="s">
        <v>381</v>
      </c>
    </row>
    <row r="5" spans="2:5" ht="14.4" thickBot="1" x14ac:dyDescent="0.3">
      <c r="B5" s="74" t="s">
        <v>123</v>
      </c>
      <c r="C5" s="75">
        <f>IFERROR(VLOOKUP(C6,'RESUMO DE PONTOS'!$C$9:$M$47,10,),"")</f>
        <v>0</v>
      </c>
    </row>
    <row r="6" spans="2:5" thickBot="1" x14ac:dyDescent="0.35">
      <c r="B6" s="76" t="s">
        <v>293</v>
      </c>
      <c r="C6" s="77" t="s">
        <v>243</v>
      </c>
      <c r="E6" s="9" t="s">
        <v>382</v>
      </c>
    </row>
    <row r="7" spans="2:5" ht="14.4" thickBot="1" x14ac:dyDescent="0.3">
      <c r="B7" s="74" t="s">
        <v>295</v>
      </c>
      <c r="C7" s="75" t="e">
        <f>VLOOKUP(C6,'BASE DA MATRIZ DE RISCOS'!$C$78:$D$109,2,)</f>
        <v>#N/A</v>
      </c>
    </row>
    <row r="8" spans="2:5" thickBot="1" x14ac:dyDescent="0.35">
      <c r="B8" s="76" t="s">
        <v>46</v>
      </c>
      <c r="C8" s="78" t="s">
        <v>283</v>
      </c>
      <c r="E8" s="9" t="s">
        <v>382</v>
      </c>
    </row>
    <row r="9" spans="2:5" thickBot="1" x14ac:dyDescent="0.35">
      <c r="B9" s="54" t="s">
        <v>46</v>
      </c>
      <c r="C9" s="79">
        <f>VLOOKUP($C$8,'BASE DA MATRIZ DE RISCOS'!$C$30:$E$36,3)</f>
        <v>3</v>
      </c>
      <c r="E9" s="9" t="s">
        <v>383</v>
      </c>
    </row>
    <row r="10" spans="2:5" thickBot="1" x14ac:dyDescent="0.35">
      <c r="B10" s="80" t="s">
        <v>298</v>
      </c>
      <c r="C10" s="41" t="e">
        <f>VLOOKUP(C6,'BASE DA MATRIZ DE RISCOS'!$C$78:$H$109,5,)</f>
        <v>#N/A</v>
      </c>
      <c r="E10" s="9" t="s">
        <v>384</v>
      </c>
    </row>
    <row r="11" spans="2:5" thickBot="1" x14ac:dyDescent="0.35">
      <c r="B11" s="54" t="s">
        <v>291</v>
      </c>
      <c r="C11" s="79" t="e">
        <f>VLOOKUP(C6,'BASE DA MATRIZ DE RISCOS'!$C$78:$H$109,6,)</f>
        <v>#N/A</v>
      </c>
      <c r="E11" s="9" t="s">
        <v>384</v>
      </c>
    </row>
    <row r="12" spans="2:5" thickBot="1" x14ac:dyDescent="0.35">
      <c r="B12" s="80" t="s">
        <v>301</v>
      </c>
      <c r="C12" s="81" t="e">
        <f>C9*C10*C11</f>
        <v>#N/A</v>
      </c>
      <c r="E12" s="9" t="s">
        <v>385</v>
      </c>
    </row>
    <row r="13" spans="2:5" thickBot="1" x14ac:dyDescent="0.35">
      <c r="B13" s="54" t="s">
        <v>386</v>
      </c>
      <c r="C13" s="79" t="e">
        <f>VLOOKUP(C6,'BASE DA MATRIZ DE RISCOS'!$C$78:$J$109,8,)</f>
        <v>#N/A</v>
      </c>
      <c r="E13" s="9" t="s">
        <v>387</v>
      </c>
    </row>
    <row r="14" spans="2:5" ht="14.4" thickBot="1" x14ac:dyDescent="0.3">
      <c r="B14" s="80" t="s">
        <v>290</v>
      </c>
      <c r="C14" s="41">
        <f>VLOOKUP(C$6,'RESUMO DE PONTOS'!$C$9:$H$47,3,)</f>
        <v>0</v>
      </c>
    </row>
    <row r="15" spans="2:5" ht="14.4" thickBot="1" x14ac:dyDescent="0.3">
      <c r="B15" s="54" t="s">
        <v>127</v>
      </c>
      <c r="C15" s="79">
        <f>IFERROR(VLOOKUP(C$6,'RESUMO DE PONTOS'!$C$9:$H$47,4,),"")</f>
        <v>0</v>
      </c>
    </row>
    <row r="16" spans="2:5" ht="14.4" thickBot="1" x14ac:dyDescent="0.3">
      <c r="B16" s="80" t="s">
        <v>128</v>
      </c>
      <c r="C16" s="127">
        <f>IFERROR(VLOOKUP(C$6,'RESUMO DE PONTOS'!$C$9:$H$47,5,),"")</f>
        <v>0</v>
      </c>
    </row>
    <row r="17" spans="2:3" thickBot="1" x14ac:dyDescent="0.3">
      <c r="B17" s="57" t="s">
        <v>129</v>
      </c>
      <c r="C17" s="79">
        <f>IFERROR(VLOOKUP(C$6,'RESUMO DE PONTOS'!$C$9:$H$47,6,),"")</f>
        <v>0</v>
      </c>
    </row>
    <row r="18" spans="2:3" ht="55.8" thickBot="1" x14ac:dyDescent="0.3">
      <c r="B18" s="82" t="s">
        <v>308</v>
      </c>
      <c r="C18" s="41" t="s">
        <v>388</v>
      </c>
    </row>
    <row r="19" spans="2:3" ht="43.8" thickBot="1" x14ac:dyDescent="0.3">
      <c r="B19" s="57" t="s">
        <v>310</v>
      </c>
      <c r="C19" s="79" t="s">
        <v>389</v>
      </c>
    </row>
    <row r="20" spans="2:3" ht="42" thickBot="1" x14ac:dyDescent="0.3">
      <c r="B20" s="80" t="s">
        <v>312</v>
      </c>
      <c r="C20" s="41" t="s">
        <v>390</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C4">
    <cfRule type="containsText" dxfId="20" priority="1" operator="containsText" text="BAIXO IMPACTO">
      <formula>NOT(ISERROR(SEARCH(("BAIXO IMPACTO"),(C4))))</formula>
    </cfRule>
  </conditionalFormatting>
  <conditionalFormatting sqref="C4">
    <cfRule type="containsText" dxfId="19" priority="2" operator="containsText" text="MÉDIO IMPACTO">
      <formula>NOT(ISERROR(SEARCH(("MÉDIO IMPACTO"),(C4))))</formula>
    </cfRule>
  </conditionalFormatting>
  <conditionalFormatting sqref="C4">
    <cfRule type="containsText" dxfId="18" priority="3" operator="containsText" text="ALTO IMPACTO">
      <formula>NOT(ISERROR(SEARCH(("ALTO IMPACTO"),(C4))))</formula>
    </cfRule>
  </conditionalFormatting>
  <dataValidations count="3">
    <dataValidation type="list" allowBlank="1" showErrorMessage="1" sqref="C6" xr:uid="{2282A055-F222-437B-8678-7DBBDB489636}">
      <formula1>"[P1],[P2],[P3],[P4],[P5],[P6],[P7],[P8],[P9],[P10],[P11],[P12],[P13],[P14],[P15],[P16],[P17],[P18],[P19],[P20],[P21],[P22],[P23],[P24],[P25],[P26],[P27],[P28],[P29],[P30],[P31],[P32],[P33],[P34],[P35],[P36],[P37],[P38],[P39],[P40]"</formula1>
    </dataValidation>
    <dataValidation type="list" allowBlank="1" showErrorMessage="1" sqref="C8" xr:uid="{5140015E-EAD1-432C-8B00-238CCDD729B2}">
      <formula1>"Estratégico,Financeiro,Operacional,Legal,Tecnologia,Imagem"</formula1>
    </dataValidation>
    <dataValidation type="list" allowBlank="1" showErrorMessage="1" sqref="C4" xr:uid="{8932C7C5-0F96-4C13-BC34-225586439FF7}">
      <formula1>"ALTO IMPACTO,MÉDIO IMPACTO,BAIXO IMPACTO"</formula1>
    </dataValidation>
  </dataValidations>
  <pageMargins left="0.511811024" right="0.511811024" top="0.78740157499999996" bottom="0.78740157499999996" header="0" footer="0"/>
  <pageSetup paperSize="9" orientation="portrait"/>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4CA1C-7FAB-4C4D-96F4-B3C6D11608FE}">
  <dimension ref="B2:E1000"/>
  <sheetViews>
    <sheetView showGridLines="0" workbookViewId="0">
      <selection activeCell="B3" sqref="B3:C20"/>
    </sheetView>
  </sheetViews>
  <sheetFormatPr defaultColWidth="12.59765625" defaultRowHeight="15" customHeight="1" x14ac:dyDescent="0.25"/>
  <cols>
    <col min="1" max="1" width="7.59765625" customWidth="1"/>
    <col min="2" max="2" width="18" customWidth="1"/>
    <col min="3" max="3" width="46.59765625" customWidth="1"/>
    <col min="4" max="26" width="7.59765625" customWidth="1"/>
  </cols>
  <sheetData>
    <row r="2" spans="2:5" ht="17.399999999999999" x14ac:dyDescent="0.25">
      <c r="B2" s="71" t="s">
        <v>380</v>
      </c>
    </row>
    <row r="3" spans="2:5" ht="16.2" thickBot="1" x14ac:dyDescent="0.3">
      <c r="B3" s="52" t="s">
        <v>289</v>
      </c>
      <c r="C3" s="53" t="s">
        <v>290</v>
      </c>
    </row>
    <row r="4" spans="2:5" ht="15.6" thickTop="1" thickBot="1" x14ac:dyDescent="0.35">
      <c r="B4" s="73" t="s">
        <v>291</v>
      </c>
      <c r="C4" s="24" t="e">
        <f>IF(C12&gt;=75,"ALTO IMPACTO",IF(C12&lt;=50,"BAIXO IMPACTO","MÉDIO IMPACTO"))</f>
        <v>#N/A</v>
      </c>
      <c r="E4" s="9" t="s">
        <v>381</v>
      </c>
    </row>
    <row r="5" spans="2:5" ht="14.4" thickBot="1" x14ac:dyDescent="0.3">
      <c r="B5" s="74" t="s">
        <v>123</v>
      </c>
      <c r="C5" s="75">
        <f>IFERROR(VLOOKUP(C6,'RESUMO DE PONTOS'!$C$9:$M$47,10,),"")</f>
        <v>0</v>
      </c>
    </row>
    <row r="6" spans="2:5" thickBot="1" x14ac:dyDescent="0.35">
      <c r="B6" s="76" t="s">
        <v>293</v>
      </c>
      <c r="C6" s="77" t="s">
        <v>248</v>
      </c>
      <c r="E6" s="9" t="s">
        <v>382</v>
      </c>
    </row>
    <row r="7" spans="2:5" ht="14.4" thickBot="1" x14ac:dyDescent="0.3">
      <c r="B7" s="74" t="s">
        <v>295</v>
      </c>
      <c r="C7" s="75" t="e">
        <f>VLOOKUP(C6,'BASE DA MATRIZ DE RISCOS'!$C$78:$D$109,2,)</f>
        <v>#N/A</v>
      </c>
    </row>
    <row r="8" spans="2:5" thickBot="1" x14ac:dyDescent="0.35">
      <c r="B8" s="76" t="s">
        <v>46</v>
      </c>
      <c r="C8" s="78" t="e">
        <f>VLOOKUP(C6,'BASE DA MATRIZ DE RISCOS'!$C$78:$E$109,3,)</f>
        <v>#N/A</v>
      </c>
      <c r="E8" s="9" t="s">
        <v>382</v>
      </c>
    </row>
    <row r="9" spans="2:5" thickBot="1" x14ac:dyDescent="0.35">
      <c r="B9" s="54" t="s">
        <v>46</v>
      </c>
      <c r="C9" s="79" t="e">
        <f>VLOOKUP($C$8,'BASE DA MATRIZ DE RISCOS'!$C$30:$E$36,3)</f>
        <v>#N/A</v>
      </c>
      <c r="E9" s="9" t="s">
        <v>383</v>
      </c>
    </row>
    <row r="10" spans="2:5" thickBot="1" x14ac:dyDescent="0.35">
      <c r="B10" s="80" t="s">
        <v>298</v>
      </c>
      <c r="C10" s="41" t="e">
        <f>VLOOKUP(C6,'BASE DA MATRIZ DE RISCOS'!$C$78:$H$109,5,)</f>
        <v>#N/A</v>
      </c>
      <c r="E10" s="9" t="s">
        <v>384</v>
      </c>
    </row>
    <row r="11" spans="2:5" thickBot="1" x14ac:dyDescent="0.35">
      <c r="B11" s="54" t="s">
        <v>291</v>
      </c>
      <c r="C11" s="79" t="e">
        <f>VLOOKUP(C6,'BASE DA MATRIZ DE RISCOS'!$C$78:$H$109,6,)</f>
        <v>#N/A</v>
      </c>
      <c r="E11" s="9" t="s">
        <v>384</v>
      </c>
    </row>
    <row r="12" spans="2:5" thickBot="1" x14ac:dyDescent="0.35">
      <c r="B12" s="80" t="s">
        <v>301</v>
      </c>
      <c r="C12" s="81" t="e">
        <f>C9*C10*C11</f>
        <v>#N/A</v>
      </c>
      <c r="E12" s="9" t="s">
        <v>385</v>
      </c>
    </row>
    <row r="13" spans="2:5" thickBot="1" x14ac:dyDescent="0.35">
      <c r="B13" s="54" t="s">
        <v>386</v>
      </c>
      <c r="C13" s="79" t="e">
        <f>VLOOKUP(C6,'BASE DA MATRIZ DE RISCOS'!$C$78:$J$109,8,)</f>
        <v>#N/A</v>
      </c>
      <c r="E13" s="9" t="s">
        <v>387</v>
      </c>
    </row>
    <row r="14" spans="2:5" ht="14.4" thickBot="1" x14ac:dyDescent="0.3">
      <c r="B14" s="80" t="s">
        <v>290</v>
      </c>
      <c r="C14" s="41">
        <f>VLOOKUP(C$6,'RESUMO DE PONTOS'!$C$9:$H$47,3,)</f>
        <v>0</v>
      </c>
    </row>
    <row r="15" spans="2:5" ht="14.4" thickBot="1" x14ac:dyDescent="0.3">
      <c r="B15" s="54" t="s">
        <v>127</v>
      </c>
      <c r="C15" s="79">
        <f>IFERROR(VLOOKUP(C$6,'RESUMO DE PONTOS'!$C$9:$H$47,4,),"")</f>
        <v>0</v>
      </c>
    </row>
    <row r="16" spans="2:5" ht="14.4" thickBot="1" x14ac:dyDescent="0.3">
      <c r="B16" s="80" t="s">
        <v>128</v>
      </c>
      <c r="C16" s="127">
        <f>IFERROR(VLOOKUP(C$6,'RESUMO DE PONTOS'!$C$9:$H$47,5,),"")</f>
        <v>0</v>
      </c>
    </row>
    <row r="17" spans="2:3" thickBot="1" x14ac:dyDescent="0.3">
      <c r="B17" s="57" t="s">
        <v>129</v>
      </c>
      <c r="C17" s="79">
        <f>IFERROR(VLOOKUP(C$6,'RESUMO DE PONTOS'!$C$9:$H$47,6,),"")</f>
        <v>0</v>
      </c>
    </row>
    <row r="18" spans="2:3" ht="55.8" thickBot="1" x14ac:dyDescent="0.3">
      <c r="B18" s="82" t="s">
        <v>308</v>
      </c>
      <c r="C18" s="41" t="s">
        <v>388</v>
      </c>
    </row>
    <row r="19" spans="2:3" ht="43.8" thickBot="1" x14ac:dyDescent="0.3">
      <c r="B19" s="57" t="s">
        <v>310</v>
      </c>
      <c r="C19" s="79" t="s">
        <v>389</v>
      </c>
    </row>
    <row r="20" spans="2:3" ht="42" thickBot="1" x14ac:dyDescent="0.3">
      <c r="B20" s="80" t="s">
        <v>312</v>
      </c>
      <c r="C20" s="41" t="s">
        <v>390</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C4">
    <cfRule type="containsText" dxfId="17" priority="1" operator="containsText" text="BAIXO IMPACTO">
      <formula>NOT(ISERROR(SEARCH(("BAIXO IMPACTO"),(C4))))</formula>
    </cfRule>
  </conditionalFormatting>
  <conditionalFormatting sqref="C4">
    <cfRule type="containsText" dxfId="16" priority="2" operator="containsText" text="MÉDIO IMPACTO">
      <formula>NOT(ISERROR(SEARCH(("MÉDIO IMPACTO"),(C4))))</formula>
    </cfRule>
  </conditionalFormatting>
  <conditionalFormatting sqref="C4">
    <cfRule type="containsText" dxfId="15" priority="3" operator="containsText" text="ALTO IMPACTO">
      <formula>NOT(ISERROR(SEARCH(("ALTO IMPACTO"),(C4))))</formula>
    </cfRule>
  </conditionalFormatting>
  <dataValidations count="3">
    <dataValidation type="list" allowBlank="1" showErrorMessage="1" sqref="C4" xr:uid="{140E2695-FBCC-4D4E-920D-9A5FA21CB731}">
      <formula1>"ALTO IMPACTO,MÉDIO IMPACTO,BAIXO IMPACTO"</formula1>
    </dataValidation>
    <dataValidation type="list" allowBlank="1" showErrorMessage="1" sqref="C8" xr:uid="{DCF9FB9E-9B9E-4FF7-932B-8DECED8EC27C}">
      <formula1>"Estratégico,Financeiro,Operacional,Legal,Tecnologia,Imagem"</formula1>
    </dataValidation>
    <dataValidation type="list" allowBlank="1" showErrorMessage="1" sqref="C6" xr:uid="{62F1AA12-3560-4377-83FF-50E7331047BC}">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0FADE-6E4B-456C-ADB6-952AC106F3DF}">
  <dimension ref="B2:E1000"/>
  <sheetViews>
    <sheetView showGridLines="0" topLeftCell="A11" workbookViewId="0">
      <selection activeCell="B3" sqref="B3:C20"/>
    </sheetView>
  </sheetViews>
  <sheetFormatPr defaultColWidth="12.59765625" defaultRowHeight="15" customHeight="1" x14ac:dyDescent="0.25"/>
  <cols>
    <col min="1" max="1" width="7.59765625" customWidth="1"/>
    <col min="2" max="2" width="18" customWidth="1"/>
    <col min="3" max="3" width="46.59765625" customWidth="1"/>
    <col min="4" max="26" width="7.59765625" customWidth="1"/>
  </cols>
  <sheetData>
    <row r="2" spans="2:5" ht="17.399999999999999" x14ac:dyDescent="0.25">
      <c r="B2" s="71" t="s">
        <v>380</v>
      </c>
    </row>
    <row r="3" spans="2:5" ht="16.2" thickBot="1" x14ac:dyDescent="0.3">
      <c r="B3" s="52" t="s">
        <v>289</v>
      </c>
      <c r="C3" s="53" t="s">
        <v>290</v>
      </c>
    </row>
    <row r="4" spans="2:5" ht="15.6" thickTop="1" thickBot="1" x14ac:dyDescent="0.35">
      <c r="B4" s="73" t="s">
        <v>291</v>
      </c>
      <c r="C4" s="24" t="e">
        <f>IF(C12&gt;=75,"ALTO IMPACTO",IF(C12&lt;=50,"BAIXO IMPACTO","MÉDIO IMPACTO"))</f>
        <v>#N/A</v>
      </c>
      <c r="E4" s="9" t="s">
        <v>381</v>
      </c>
    </row>
    <row r="5" spans="2:5" ht="14.4" thickBot="1" x14ac:dyDescent="0.3">
      <c r="B5" s="74" t="s">
        <v>123</v>
      </c>
      <c r="C5" s="75">
        <f>IFERROR(VLOOKUP(C6,'RESUMO DE PONTOS'!$C$9:$M$47,10,),"")</f>
        <v>0</v>
      </c>
    </row>
    <row r="6" spans="2:5" thickBot="1" x14ac:dyDescent="0.35">
      <c r="B6" s="76" t="s">
        <v>293</v>
      </c>
      <c r="C6" s="77" t="s">
        <v>253</v>
      </c>
      <c r="E6" s="9" t="s">
        <v>382</v>
      </c>
    </row>
    <row r="7" spans="2:5" ht="14.4" thickBot="1" x14ac:dyDescent="0.3">
      <c r="B7" s="74" t="s">
        <v>295</v>
      </c>
      <c r="C7" s="75" t="e">
        <f>VLOOKUP(C6,'BASE DA MATRIZ DE RISCOS'!$C$78:$D$109,2,)</f>
        <v>#N/A</v>
      </c>
    </row>
    <row r="8" spans="2:5" thickBot="1" x14ac:dyDescent="0.35">
      <c r="B8" s="76" t="s">
        <v>46</v>
      </c>
      <c r="C8" s="78" t="s">
        <v>283</v>
      </c>
      <c r="E8" s="9" t="s">
        <v>382</v>
      </c>
    </row>
    <row r="9" spans="2:5" thickBot="1" x14ac:dyDescent="0.35">
      <c r="B9" s="54" t="s">
        <v>46</v>
      </c>
      <c r="C9" s="79">
        <f>VLOOKUP($C$8,'BASE DA MATRIZ DE RISCOS'!$C$30:$E$36,3)</f>
        <v>3</v>
      </c>
      <c r="E9" s="9" t="s">
        <v>383</v>
      </c>
    </row>
    <row r="10" spans="2:5" thickBot="1" x14ac:dyDescent="0.35">
      <c r="B10" s="80" t="s">
        <v>298</v>
      </c>
      <c r="C10" s="41" t="e">
        <f>VLOOKUP(C6,'BASE DA MATRIZ DE RISCOS'!$C$78:$H$109,5,)</f>
        <v>#N/A</v>
      </c>
      <c r="E10" s="9" t="s">
        <v>384</v>
      </c>
    </row>
    <row r="11" spans="2:5" thickBot="1" x14ac:dyDescent="0.35">
      <c r="B11" s="54" t="s">
        <v>291</v>
      </c>
      <c r="C11" s="79" t="e">
        <f>VLOOKUP(C6,'BASE DA MATRIZ DE RISCOS'!$C$78:$H$109,6,)</f>
        <v>#N/A</v>
      </c>
      <c r="E11" s="9" t="s">
        <v>384</v>
      </c>
    </row>
    <row r="12" spans="2:5" thickBot="1" x14ac:dyDescent="0.35">
      <c r="B12" s="80" t="s">
        <v>301</v>
      </c>
      <c r="C12" s="81" t="e">
        <f>C9*C10*C11</f>
        <v>#N/A</v>
      </c>
      <c r="E12" s="9" t="s">
        <v>385</v>
      </c>
    </row>
    <row r="13" spans="2:5" thickBot="1" x14ac:dyDescent="0.35">
      <c r="B13" s="54" t="s">
        <v>386</v>
      </c>
      <c r="C13" s="79" t="e">
        <f>VLOOKUP(C6,'BASE DA MATRIZ DE RISCOS'!$C$78:$J$109,8,)</f>
        <v>#N/A</v>
      </c>
      <c r="E13" s="9" t="s">
        <v>387</v>
      </c>
    </row>
    <row r="14" spans="2:5" ht="14.4" thickBot="1" x14ac:dyDescent="0.3">
      <c r="B14" s="80" t="s">
        <v>290</v>
      </c>
      <c r="C14" s="41">
        <f>VLOOKUP(C$6,'RESUMO DE PONTOS'!$C$9:$H$47,3,)</f>
        <v>0</v>
      </c>
    </row>
    <row r="15" spans="2:5" ht="14.4" thickBot="1" x14ac:dyDescent="0.3">
      <c r="B15" s="54" t="s">
        <v>127</v>
      </c>
      <c r="C15" s="79">
        <f>IFERROR(VLOOKUP(C$6,'RESUMO DE PONTOS'!$C$9:$H$47,4,),"")</f>
        <v>0</v>
      </c>
    </row>
    <row r="16" spans="2:5" ht="14.4" thickBot="1" x14ac:dyDescent="0.3">
      <c r="B16" s="80" t="s">
        <v>128</v>
      </c>
      <c r="C16" s="127">
        <f>IFERROR(VLOOKUP(C$6,'RESUMO DE PONTOS'!$C$9:$H$47,5,),"")</f>
        <v>0</v>
      </c>
    </row>
    <row r="17" spans="2:3" thickBot="1" x14ac:dyDescent="0.3">
      <c r="B17" s="57" t="s">
        <v>129</v>
      </c>
      <c r="C17" s="79">
        <f>IFERROR(VLOOKUP(C$6,'RESUMO DE PONTOS'!$C$9:$H$47,6,),"")</f>
        <v>0</v>
      </c>
    </row>
    <row r="18" spans="2:3" ht="55.8" thickBot="1" x14ac:dyDescent="0.3">
      <c r="B18" s="82" t="s">
        <v>308</v>
      </c>
      <c r="C18" s="41" t="s">
        <v>388</v>
      </c>
    </row>
    <row r="19" spans="2:3" ht="43.8" thickBot="1" x14ac:dyDescent="0.3">
      <c r="B19" s="57" t="s">
        <v>310</v>
      </c>
      <c r="C19" s="79" t="s">
        <v>389</v>
      </c>
    </row>
    <row r="20" spans="2:3" ht="42" thickBot="1" x14ac:dyDescent="0.3">
      <c r="B20" s="80" t="s">
        <v>312</v>
      </c>
      <c r="C20" s="41" t="s">
        <v>390</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C4">
    <cfRule type="containsText" dxfId="14" priority="1" operator="containsText" text="BAIXO IMPACTO">
      <formula>NOT(ISERROR(SEARCH(("BAIXO IMPACTO"),(C4))))</formula>
    </cfRule>
  </conditionalFormatting>
  <conditionalFormatting sqref="C4">
    <cfRule type="containsText" dxfId="13" priority="2" operator="containsText" text="MÉDIO IMPACTO">
      <formula>NOT(ISERROR(SEARCH(("MÉDIO IMPACTO"),(C4))))</formula>
    </cfRule>
  </conditionalFormatting>
  <conditionalFormatting sqref="C4">
    <cfRule type="containsText" dxfId="12" priority="3" operator="containsText" text="ALTO IMPACTO">
      <formula>NOT(ISERROR(SEARCH(("ALTO IMPACTO"),(C4))))</formula>
    </cfRule>
  </conditionalFormatting>
  <dataValidations count="3">
    <dataValidation type="list" allowBlank="1" showErrorMessage="1" sqref="C6" xr:uid="{CB791AB8-F21A-4178-8206-F98101AEDCF0}">
      <formula1>"[P1],[P2],[P3],[P4],[P5],[P6],[P7],[P8],[P9],[P10],[P11],[P12],[P13],[P14],[P15],[P16],[P17],[P18],[P19],[P20],[P21],[P22],[P23],[P24],[P25],[P26],[P27],[P28],[P29],[P30],[P31],[P32],[P33],[P34],[P35],[P36],[P37],[P38],[P39],[P40]"</formula1>
    </dataValidation>
    <dataValidation type="list" allowBlank="1" showErrorMessage="1" sqref="C8" xr:uid="{6D4F7BA1-7B54-4AC7-93A8-08536B402CC0}">
      <formula1>"Estratégico,Financeiro,Operacional,Legal,Tecnologia,Imagem"</formula1>
    </dataValidation>
    <dataValidation type="list" allowBlank="1" showErrorMessage="1" sqref="C4" xr:uid="{7EB62D2F-1150-4351-8B87-EBD86D2CAA50}">
      <formula1>"ALTO IMPACTO,MÉDIO IMPACTO,BAIXO IMPACTO"</formula1>
    </dataValidation>
  </dataValidations>
  <pageMargins left="0.511811024" right="0.511811024" top="0.78740157499999996" bottom="0.78740157499999996" header="0" footer="0"/>
  <pageSetup paperSize="9" orientation="portrait"/>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2D39A-563B-474C-9938-6CD0E16DA65D}">
  <dimension ref="B2:E1000"/>
  <sheetViews>
    <sheetView showGridLines="0" topLeftCell="A7" workbookViewId="0">
      <selection activeCell="C19" sqref="C19"/>
    </sheetView>
  </sheetViews>
  <sheetFormatPr defaultColWidth="12.59765625" defaultRowHeight="15" customHeight="1" x14ac:dyDescent="0.25"/>
  <cols>
    <col min="1" max="1" width="7.59765625" customWidth="1"/>
    <col min="2" max="2" width="18" customWidth="1"/>
    <col min="3" max="3" width="46.59765625" customWidth="1"/>
    <col min="4" max="26" width="7.59765625" customWidth="1"/>
  </cols>
  <sheetData>
    <row r="2" spans="2:5" ht="17.399999999999999" x14ac:dyDescent="0.25">
      <c r="B2" s="71" t="s">
        <v>380</v>
      </c>
    </row>
    <row r="3" spans="2:5" ht="16.2" thickBot="1" x14ac:dyDescent="0.3">
      <c r="B3" s="52" t="s">
        <v>289</v>
      </c>
      <c r="C3" s="53" t="s">
        <v>290</v>
      </c>
    </row>
    <row r="4" spans="2:5" ht="15.6" thickTop="1" thickBot="1" x14ac:dyDescent="0.35">
      <c r="B4" s="73" t="s">
        <v>291</v>
      </c>
      <c r="C4" s="24" t="e">
        <f>IF(C12&gt;=75,"ALTO IMPACTO",IF(C12&lt;=50,"BAIXO IMPACTO","MÉDIO IMPACTO"))</f>
        <v>#N/A</v>
      </c>
      <c r="E4" s="9" t="s">
        <v>381</v>
      </c>
    </row>
    <row r="5" spans="2:5" ht="14.4" thickBot="1" x14ac:dyDescent="0.3">
      <c r="B5" s="74" t="s">
        <v>123</v>
      </c>
      <c r="C5" s="75">
        <f>IFERROR(VLOOKUP(C6,'RESUMO DE PONTOS'!$C$9:$M$47,10,),"")</f>
        <v>0</v>
      </c>
    </row>
    <row r="6" spans="2:5" thickBot="1" x14ac:dyDescent="0.35">
      <c r="B6" s="76" t="s">
        <v>293</v>
      </c>
      <c r="C6" s="77" t="s">
        <v>258</v>
      </c>
      <c r="E6" s="9" t="s">
        <v>382</v>
      </c>
    </row>
    <row r="7" spans="2:5" ht="14.4" thickBot="1" x14ac:dyDescent="0.3">
      <c r="B7" s="74" t="s">
        <v>295</v>
      </c>
      <c r="C7" s="75" t="e">
        <f>VLOOKUP(C6,'BASE DA MATRIZ DE RISCOS'!$C$78:$D$109,2,)</f>
        <v>#N/A</v>
      </c>
    </row>
    <row r="8" spans="2:5" thickBot="1" x14ac:dyDescent="0.35">
      <c r="B8" s="76" t="s">
        <v>46</v>
      </c>
      <c r="C8" s="78" t="e">
        <f>VLOOKUP(C6,'BASE DA MATRIZ DE RISCOS'!$C$78:$E$109,3,)</f>
        <v>#N/A</v>
      </c>
      <c r="E8" s="9" t="s">
        <v>382</v>
      </c>
    </row>
    <row r="9" spans="2:5" thickBot="1" x14ac:dyDescent="0.35">
      <c r="B9" s="54" t="s">
        <v>46</v>
      </c>
      <c r="C9" s="79" t="e">
        <f>VLOOKUP($C$8,'BASE DA MATRIZ DE RISCOS'!$C$30:$E$36,3)</f>
        <v>#N/A</v>
      </c>
      <c r="E9" s="9" t="s">
        <v>383</v>
      </c>
    </row>
    <row r="10" spans="2:5" thickBot="1" x14ac:dyDescent="0.35">
      <c r="B10" s="80" t="s">
        <v>298</v>
      </c>
      <c r="C10" s="41" t="e">
        <f>VLOOKUP(C6,'BASE DA MATRIZ DE RISCOS'!$C$78:$H$109,5,)</f>
        <v>#N/A</v>
      </c>
      <c r="E10" s="9" t="s">
        <v>384</v>
      </c>
    </row>
    <row r="11" spans="2:5" thickBot="1" x14ac:dyDescent="0.35">
      <c r="B11" s="54" t="s">
        <v>291</v>
      </c>
      <c r="C11" s="79" t="e">
        <f>VLOOKUP(C6,'BASE DA MATRIZ DE RISCOS'!$C$78:$H$109,6,)</f>
        <v>#N/A</v>
      </c>
      <c r="E11" s="9" t="s">
        <v>384</v>
      </c>
    </row>
    <row r="12" spans="2:5" thickBot="1" x14ac:dyDescent="0.35">
      <c r="B12" s="80" t="s">
        <v>301</v>
      </c>
      <c r="C12" s="81" t="e">
        <f>C9*C10*C11</f>
        <v>#N/A</v>
      </c>
      <c r="E12" s="9" t="s">
        <v>385</v>
      </c>
    </row>
    <row r="13" spans="2:5" thickBot="1" x14ac:dyDescent="0.35">
      <c r="B13" s="54" t="s">
        <v>386</v>
      </c>
      <c r="C13" s="79" t="e">
        <f>VLOOKUP(C6,'BASE DA MATRIZ DE RISCOS'!$C$78:$J$109,8,)</f>
        <v>#N/A</v>
      </c>
      <c r="E13" s="9" t="s">
        <v>387</v>
      </c>
    </row>
    <row r="14" spans="2:5" ht="14.4" thickBot="1" x14ac:dyDescent="0.3">
      <c r="B14" s="80" t="s">
        <v>290</v>
      </c>
      <c r="C14" s="41">
        <f>VLOOKUP(C$6,'RESUMO DE PONTOS'!$C$9:$H$47,3,)</f>
        <v>0</v>
      </c>
    </row>
    <row r="15" spans="2:5" ht="14.4" thickBot="1" x14ac:dyDescent="0.3">
      <c r="B15" s="54" t="s">
        <v>127</v>
      </c>
      <c r="C15" s="79">
        <f>IFERROR(VLOOKUP(C$6,'RESUMO DE PONTOS'!$C$9:$H$47,4,),"")</f>
        <v>0</v>
      </c>
    </row>
    <row r="16" spans="2:5" ht="14.4" thickBot="1" x14ac:dyDescent="0.3">
      <c r="B16" s="80" t="s">
        <v>128</v>
      </c>
      <c r="C16" s="127">
        <f>IFERROR(VLOOKUP(C$6,'RESUMO DE PONTOS'!$C$9:$H$47,5,),"")</f>
        <v>0</v>
      </c>
    </row>
    <row r="17" spans="2:3" thickBot="1" x14ac:dyDescent="0.3">
      <c r="B17" s="57" t="s">
        <v>129</v>
      </c>
      <c r="C17" s="79">
        <f>IFERROR(VLOOKUP(C$6,'RESUMO DE PONTOS'!$C$9:$H$47,6,),"")</f>
        <v>0</v>
      </c>
    </row>
    <row r="18" spans="2:3" ht="55.8" thickBot="1" x14ac:dyDescent="0.3">
      <c r="B18" s="82" t="s">
        <v>308</v>
      </c>
      <c r="C18" s="41" t="s">
        <v>388</v>
      </c>
    </row>
    <row r="19" spans="2:3" ht="43.8" thickBot="1" x14ac:dyDescent="0.3">
      <c r="B19" s="57" t="s">
        <v>310</v>
      </c>
      <c r="C19" s="79" t="s">
        <v>389</v>
      </c>
    </row>
    <row r="20" spans="2:3" ht="42" thickBot="1" x14ac:dyDescent="0.3">
      <c r="B20" s="80" t="s">
        <v>312</v>
      </c>
      <c r="C20" s="41" t="s">
        <v>390</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C4">
    <cfRule type="containsText" dxfId="11" priority="1" operator="containsText" text="BAIXO IMPACTO">
      <formula>NOT(ISERROR(SEARCH(("BAIXO IMPACTO"),(C4))))</formula>
    </cfRule>
  </conditionalFormatting>
  <conditionalFormatting sqref="C4">
    <cfRule type="containsText" dxfId="10" priority="2" operator="containsText" text="MÉDIO IMPACTO">
      <formula>NOT(ISERROR(SEARCH(("MÉDIO IMPACTO"),(C4))))</formula>
    </cfRule>
  </conditionalFormatting>
  <conditionalFormatting sqref="C4">
    <cfRule type="containsText" dxfId="9" priority="3" operator="containsText" text="ALTO IMPACTO">
      <formula>NOT(ISERROR(SEARCH(("ALTO IMPACTO"),(C4))))</formula>
    </cfRule>
  </conditionalFormatting>
  <dataValidations count="3">
    <dataValidation type="list" allowBlank="1" showErrorMessage="1" sqref="C6" xr:uid="{96D73A84-45F1-45C6-84EE-A19B141154A2}">
      <formula1>"[P1],[P2],[P3],[P4],[P5],[P6],[P7],[P8],[P9],[P10],[P11],[P12],[P13],[P14],[P15],[P16],[P17],[P18],[P19],[P20],[P21],[P22],[P23],[P24],[P25],[P26],[P27],[P28],[P29],[P30],[P31],[P32],[P33],[P34],[P35],[P36],[P37],[P38],[P39],[P40]"</formula1>
    </dataValidation>
    <dataValidation type="list" allowBlank="1" showErrorMessage="1" sqref="C8" xr:uid="{6146B3EA-ABF6-4CA0-AC83-356C188DC73B}">
      <formula1>"Estratégico,Financeiro,Operacional,Legal,Tecnologia,Imagem"</formula1>
    </dataValidation>
    <dataValidation type="list" allowBlank="1" showErrorMessage="1" sqref="C4" xr:uid="{64E584D6-1248-4059-A527-E20C896115E7}">
      <formula1>"ALTO IMPACTO,MÉDIO IMPACTO,BAIXO IMPACTO"</formula1>
    </dataValidation>
  </dataValidations>
  <pageMargins left="0.511811024" right="0.511811024" top="0.78740157499999996" bottom="0.78740157499999996" header="0" footer="0"/>
  <pageSetup paperSize="9" orientation="portrait"/>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98D2B-525B-48CE-80C4-C740C3A4356D}">
  <dimension ref="B2:E1000"/>
  <sheetViews>
    <sheetView showGridLines="0" topLeftCell="A8" workbookViewId="0">
      <selection activeCell="B3" sqref="B3:C20"/>
    </sheetView>
  </sheetViews>
  <sheetFormatPr defaultColWidth="12.59765625" defaultRowHeight="15" customHeight="1" x14ac:dyDescent="0.25"/>
  <cols>
    <col min="1" max="1" width="7.59765625" customWidth="1"/>
    <col min="2" max="2" width="18" customWidth="1"/>
    <col min="3" max="3" width="46.59765625" customWidth="1"/>
    <col min="4" max="26" width="7.59765625" customWidth="1"/>
  </cols>
  <sheetData>
    <row r="2" spans="2:5" ht="17.399999999999999" x14ac:dyDescent="0.25">
      <c r="B2" s="71" t="s">
        <v>380</v>
      </c>
    </row>
    <row r="3" spans="2:5" ht="16.2" thickBot="1" x14ac:dyDescent="0.3">
      <c r="B3" s="52" t="s">
        <v>289</v>
      </c>
      <c r="C3" s="53" t="s">
        <v>290</v>
      </c>
    </row>
    <row r="4" spans="2:5" ht="15.6" thickTop="1" thickBot="1" x14ac:dyDescent="0.35">
      <c r="B4" s="73" t="s">
        <v>291</v>
      </c>
      <c r="C4" s="24" t="e">
        <f>IF(C12&gt;=75,"ALTO IMPACTO",IF(C12&lt;=50,"BAIXO IMPACTO","MÉDIO IMPACTO"))</f>
        <v>#N/A</v>
      </c>
      <c r="E4" s="9" t="s">
        <v>381</v>
      </c>
    </row>
    <row r="5" spans="2:5" ht="14.4" thickBot="1" x14ac:dyDescent="0.3">
      <c r="B5" s="74" t="s">
        <v>123</v>
      </c>
      <c r="C5" s="75" t="str">
        <f>IFERROR(VLOOKUP(C6,'RESUMO DE PONTOS'!$C$9:$M$47,10,),"")</f>
        <v/>
      </c>
    </row>
    <row r="6" spans="2:5" thickBot="1" x14ac:dyDescent="0.35">
      <c r="B6" s="76" t="s">
        <v>293</v>
      </c>
      <c r="C6" s="77" t="s">
        <v>273</v>
      </c>
      <c r="E6" s="9" t="s">
        <v>382</v>
      </c>
    </row>
    <row r="7" spans="2:5" ht="14.4" thickBot="1" x14ac:dyDescent="0.3">
      <c r="B7" s="74" t="s">
        <v>295</v>
      </c>
      <c r="C7" s="75" t="e">
        <f>VLOOKUP(C6,'BASE DA MATRIZ DE RISCOS'!$C$78:$D$109,2,)</f>
        <v>#N/A</v>
      </c>
    </row>
    <row r="8" spans="2:5" thickBot="1" x14ac:dyDescent="0.35">
      <c r="B8" s="76" t="s">
        <v>46</v>
      </c>
      <c r="C8" s="78" t="s">
        <v>195</v>
      </c>
      <c r="E8" s="9" t="s">
        <v>382</v>
      </c>
    </row>
    <row r="9" spans="2:5" thickBot="1" x14ac:dyDescent="0.35">
      <c r="B9" s="54" t="s">
        <v>46</v>
      </c>
      <c r="C9" s="79">
        <f>VLOOKUP($C$8,'BASE DA MATRIZ DE RISCOS'!$C$30:$E$35,3)</f>
        <v>5</v>
      </c>
      <c r="E9" s="9" t="s">
        <v>383</v>
      </c>
    </row>
    <row r="10" spans="2:5" thickBot="1" x14ac:dyDescent="0.35">
      <c r="B10" s="80" t="s">
        <v>298</v>
      </c>
      <c r="C10" s="41" t="e">
        <f>VLOOKUP(C6,'BASE DA MATRIZ DE RISCOS'!$C$78:$H$109,5,)</f>
        <v>#N/A</v>
      </c>
      <c r="E10" s="9" t="s">
        <v>384</v>
      </c>
    </row>
    <row r="11" spans="2:5" thickBot="1" x14ac:dyDescent="0.35">
      <c r="B11" s="54" t="s">
        <v>291</v>
      </c>
      <c r="C11" s="79" t="e">
        <f>VLOOKUP(C6,'BASE DA MATRIZ DE RISCOS'!$C$78:$H$109,6,)</f>
        <v>#N/A</v>
      </c>
      <c r="E11" s="9" t="s">
        <v>384</v>
      </c>
    </row>
    <row r="12" spans="2:5" thickBot="1" x14ac:dyDescent="0.35">
      <c r="B12" s="80" t="s">
        <v>301</v>
      </c>
      <c r="C12" s="81" t="e">
        <f>C9*C10*C11</f>
        <v>#N/A</v>
      </c>
      <c r="E12" s="9" t="s">
        <v>385</v>
      </c>
    </row>
    <row r="13" spans="2:5" thickBot="1" x14ac:dyDescent="0.35">
      <c r="B13" s="54" t="s">
        <v>386</v>
      </c>
      <c r="C13" s="79" t="e">
        <f>VLOOKUP(C6,'BASE DA MATRIZ DE RISCOS'!$C$78:$J$109,8,)</f>
        <v>#N/A</v>
      </c>
      <c r="E13" s="9" t="s">
        <v>387</v>
      </c>
    </row>
    <row r="14" spans="2:5" ht="14.4" thickBot="1" x14ac:dyDescent="0.3">
      <c r="B14" s="80" t="s">
        <v>290</v>
      </c>
      <c r="C14" s="41" t="e">
        <f>VLOOKUP(C$6,'RESUMO DE PONTOS'!$C$9:$H$47,3,)</f>
        <v>#N/A</v>
      </c>
    </row>
    <row r="15" spans="2:5" ht="14.4" thickBot="1" x14ac:dyDescent="0.3">
      <c r="B15" s="54" t="s">
        <v>127</v>
      </c>
      <c r="C15" s="79" t="str">
        <f>IFERROR(VLOOKUP(C$6,'RESUMO DE PONTOS'!$C$9:$H$47,4,),"")</f>
        <v/>
      </c>
    </row>
    <row r="16" spans="2:5" ht="14.4" thickBot="1" x14ac:dyDescent="0.3">
      <c r="B16" s="80" t="s">
        <v>128</v>
      </c>
      <c r="C16" s="127" t="str">
        <f>IFERROR(VLOOKUP(C$6,'RESUMO DE PONTOS'!$C$9:$H$47,5,),"")</f>
        <v/>
      </c>
    </row>
    <row r="17" spans="2:3" thickBot="1" x14ac:dyDescent="0.3">
      <c r="B17" s="57" t="s">
        <v>129</v>
      </c>
      <c r="C17" s="79" t="str">
        <f>IFERROR(VLOOKUP(C$6,'RESUMO DE PONTOS'!$C$9:$H$47,6,),"")</f>
        <v/>
      </c>
    </row>
    <row r="18" spans="2:3" ht="55.8" thickBot="1" x14ac:dyDescent="0.3">
      <c r="B18" s="82" t="s">
        <v>308</v>
      </c>
      <c r="C18" s="41" t="s">
        <v>388</v>
      </c>
    </row>
    <row r="19" spans="2:3" ht="43.8" thickBot="1" x14ac:dyDescent="0.3">
      <c r="B19" s="57" t="s">
        <v>310</v>
      </c>
      <c r="C19" s="79" t="s">
        <v>389</v>
      </c>
    </row>
    <row r="20" spans="2:3" ht="42" thickBot="1" x14ac:dyDescent="0.3">
      <c r="B20" s="80" t="s">
        <v>312</v>
      </c>
      <c r="C20" s="41" t="s">
        <v>390</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C4">
    <cfRule type="containsText" dxfId="8" priority="1" operator="containsText" text="BAIXO IMPACTO">
      <formula>NOT(ISERROR(SEARCH(("BAIXO IMPACTO"),(C4))))</formula>
    </cfRule>
  </conditionalFormatting>
  <conditionalFormatting sqref="C4">
    <cfRule type="containsText" dxfId="7" priority="2" operator="containsText" text="MÉDIO IMPACTO">
      <formula>NOT(ISERROR(SEARCH(("MÉDIO IMPACTO"),(C4))))</formula>
    </cfRule>
  </conditionalFormatting>
  <conditionalFormatting sqref="C4">
    <cfRule type="containsText" dxfId="6" priority="3" operator="containsText" text="ALTO IMPACTO">
      <formula>NOT(ISERROR(SEARCH(("ALTO IMPACTO"),(C4))))</formula>
    </cfRule>
  </conditionalFormatting>
  <dataValidations count="3">
    <dataValidation type="list" allowBlank="1" showErrorMessage="1" sqref="C4" xr:uid="{E27896F0-CB4D-4CC7-8803-08E641C237C9}">
      <formula1>"ALTO IMPACTO,MÉDIO IMPACTO,BAIXO IMPACTO"</formula1>
    </dataValidation>
    <dataValidation type="list" allowBlank="1" showErrorMessage="1" sqref="C8" xr:uid="{321C9F9A-1141-4389-B188-684BAFE4C484}">
      <formula1>"Estratégico,Financeiro,Operacional,Legal,Tecnologia,Imagem"</formula1>
    </dataValidation>
    <dataValidation type="list" allowBlank="1" showErrorMessage="1" sqref="C6" xr:uid="{148FF15B-52AA-4FED-B780-4428A82861EE}">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72CFD-C12B-4458-A66B-17475EAF3895}">
  <dimension ref="B2:E1000"/>
  <sheetViews>
    <sheetView showGridLines="0" workbookViewId="0">
      <selection activeCell="C19" sqref="C19"/>
    </sheetView>
  </sheetViews>
  <sheetFormatPr defaultColWidth="12.59765625" defaultRowHeight="15" customHeight="1" x14ac:dyDescent="0.25"/>
  <cols>
    <col min="1" max="1" width="7.59765625" customWidth="1"/>
    <col min="2" max="2" width="18" customWidth="1"/>
    <col min="3" max="3" width="46.59765625" customWidth="1"/>
    <col min="4" max="26" width="7.59765625" customWidth="1"/>
  </cols>
  <sheetData>
    <row r="2" spans="2:5" ht="17.399999999999999" x14ac:dyDescent="0.25">
      <c r="B2" s="71" t="s">
        <v>380</v>
      </c>
    </row>
    <row r="3" spans="2:5" ht="16.2" thickBot="1" x14ac:dyDescent="0.3">
      <c r="B3" s="52" t="s">
        <v>289</v>
      </c>
      <c r="C3" s="53" t="s">
        <v>290</v>
      </c>
    </row>
    <row r="4" spans="2:5" ht="15.6" thickTop="1" thickBot="1" x14ac:dyDescent="0.35">
      <c r="B4" s="73" t="s">
        <v>291</v>
      </c>
      <c r="C4" s="24" t="e">
        <f>IF(C12&gt;=75,"ALTO IMPACTO",IF(C12&lt;=50,"BAIXO IMPACTO","MÉDIO IMPACTO"))</f>
        <v>#N/A</v>
      </c>
      <c r="E4" s="9" t="s">
        <v>381</v>
      </c>
    </row>
    <row r="5" spans="2:5" ht="14.4" thickBot="1" x14ac:dyDescent="0.3">
      <c r="B5" s="74" t="s">
        <v>123</v>
      </c>
      <c r="C5" s="75">
        <f>IFERROR(VLOOKUP(C6,'RESUMO DE PONTOS'!$C$9:$M$47,10,),"")</f>
        <v>0</v>
      </c>
    </row>
    <row r="6" spans="2:5" thickBot="1" x14ac:dyDescent="0.35">
      <c r="B6" s="76" t="s">
        <v>293</v>
      </c>
      <c r="C6" s="77" t="s">
        <v>263</v>
      </c>
      <c r="E6" s="9" t="s">
        <v>382</v>
      </c>
    </row>
    <row r="7" spans="2:5" ht="14.4" thickBot="1" x14ac:dyDescent="0.3">
      <c r="B7" s="74" t="s">
        <v>295</v>
      </c>
      <c r="C7" s="75" t="e">
        <f>VLOOKUP(C6,'BASE DA MATRIZ DE RISCOS'!$C$78:$D$109,2,)</f>
        <v>#N/A</v>
      </c>
    </row>
    <row r="8" spans="2:5" thickBot="1" x14ac:dyDescent="0.35">
      <c r="B8" s="76" t="s">
        <v>46</v>
      </c>
      <c r="C8" s="78" t="e">
        <f>VLOOKUP(C6,'BASE DA MATRIZ DE RISCOS'!$C$78:$E$109,3,)</f>
        <v>#N/A</v>
      </c>
      <c r="E8" s="9" t="s">
        <v>382</v>
      </c>
    </row>
    <row r="9" spans="2:5" thickBot="1" x14ac:dyDescent="0.35">
      <c r="B9" s="54" t="s">
        <v>46</v>
      </c>
      <c r="C9" s="79" t="e">
        <f>VLOOKUP($C$8,'BASE DA MATRIZ DE RISCOS'!$C$30:$E$36,3)</f>
        <v>#N/A</v>
      </c>
      <c r="E9" s="9" t="s">
        <v>383</v>
      </c>
    </row>
    <row r="10" spans="2:5" thickBot="1" x14ac:dyDescent="0.35">
      <c r="B10" s="80" t="s">
        <v>298</v>
      </c>
      <c r="C10" s="41" t="e">
        <f>VLOOKUP(C6,'BASE DA MATRIZ DE RISCOS'!$C$78:$H$109,5,)</f>
        <v>#N/A</v>
      </c>
      <c r="E10" s="9" t="s">
        <v>384</v>
      </c>
    </row>
    <row r="11" spans="2:5" thickBot="1" x14ac:dyDescent="0.35">
      <c r="B11" s="54" t="s">
        <v>291</v>
      </c>
      <c r="C11" s="79" t="e">
        <f>VLOOKUP(C6,'BASE DA MATRIZ DE RISCOS'!$C$78:$H$109,6,)</f>
        <v>#N/A</v>
      </c>
      <c r="E11" s="9" t="s">
        <v>384</v>
      </c>
    </row>
    <row r="12" spans="2:5" thickBot="1" x14ac:dyDescent="0.35">
      <c r="B12" s="80" t="s">
        <v>301</v>
      </c>
      <c r="C12" s="81" t="e">
        <f>C9*C10*C11</f>
        <v>#N/A</v>
      </c>
      <c r="E12" s="9" t="s">
        <v>385</v>
      </c>
    </row>
    <row r="13" spans="2:5" thickBot="1" x14ac:dyDescent="0.35">
      <c r="B13" s="54" t="s">
        <v>386</v>
      </c>
      <c r="C13" s="79" t="e">
        <f>VLOOKUP(C6,'BASE DA MATRIZ DE RISCOS'!$C$78:$J$109,8,)</f>
        <v>#N/A</v>
      </c>
      <c r="E13" s="9" t="s">
        <v>387</v>
      </c>
    </row>
    <row r="14" spans="2:5" ht="14.4" thickBot="1" x14ac:dyDescent="0.3">
      <c r="B14" s="80" t="s">
        <v>290</v>
      </c>
      <c r="C14" s="41">
        <f>VLOOKUP(C$6,'RESUMO DE PONTOS'!$C$9:$H$47,3,)</f>
        <v>0</v>
      </c>
    </row>
    <row r="15" spans="2:5" ht="14.4" thickBot="1" x14ac:dyDescent="0.3">
      <c r="B15" s="54" t="s">
        <v>127</v>
      </c>
      <c r="C15" s="79">
        <f>IFERROR(VLOOKUP(C$6,'RESUMO DE PONTOS'!$C$9:$H$47,4,),"")</f>
        <v>0</v>
      </c>
    </row>
    <row r="16" spans="2:5" ht="14.4" thickBot="1" x14ac:dyDescent="0.3">
      <c r="B16" s="80" t="s">
        <v>128</v>
      </c>
      <c r="C16" s="127">
        <f>IFERROR(VLOOKUP(C$6,'RESUMO DE PONTOS'!$C$9:$H$47,5,),"")</f>
        <v>0</v>
      </c>
    </row>
    <row r="17" spans="2:3" thickBot="1" x14ac:dyDescent="0.3">
      <c r="B17" s="57" t="s">
        <v>129</v>
      </c>
      <c r="C17" s="79">
        <f>IFERROR(VLOOKUP(C$6,'RESUMO DE PONTOS'!$C$9:$H$47,6,),"")</f>
        <v>0</v>
      </c>
    </row>
    <row r="18" spans="2:3" ht="55.8" thickBot="1" x14ac:dyDescent="0.3">
      <c r="B18" s="82" t="s">
        <v>308</v>
      </c>
      <c r="C18" s="41" t="s">
        <v>388</v>
      </c>
    </row>
    <row r="19" spans="2:3" ht="43.8" thickBot="1" x14ac:dyDescent="0.3">
      <c r="B19" s="57" t="s">
        <v>310</v>
      </c>
      <c r="C19" s="79" t="s">
        <v>389</v>
      </c>
    </row>
    <row r="20" spans="2:3" ht="42" thickBot="1" x14ac:dyDescent="0.3">
      <c r="B20" s="80" t="s">
        <v>312</v>
      </c>
      <c r="C20" s="41" t="s">
        <v>390</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C4">
    <cfRule type="containsText" dxfId="5" priority="1" operator="containsText" text="BAIXO IMPACTO">
      <formula>NOT(ISERROR(SEARCH(("BAIXO IMPACTO"),(C4))))</formula>
    </cfRule>
  </conditionalFormatting>
  <conditionalFormatting sqref="C4">
    <cfRule type="containsText" dxfId="4" priority="2" operator="containsText" text="MÉDIO IMPACTO">
      <formula>NOT(ISERROR(SEARCH(("MÉDIO IMPACTO"),(C4))))</formula>
    </cfRule>
  </conditionalFormatting>
  <conditionalFormatting sqref="C4">
    <cfRule type="containsText" dxfId="3" priority="3" operator="containsText" text="ALTO IMPACTO">
      <formula>NOT(ISERROR(SEARCH(("ALTO IMPACTO"),(C4))))</formula>
    </cfRule>
  </conditionalFormatting>
  <dataValidations count="3">
    <dataValidation type="list" allowBlank="1" showErrorMessage="1" sqref="C6" xr:uid="{F2C36D81-8318-49B5-8F56-28C5462A21A3}">
      <formula1>"[P1],[P2],[P3],[P4],[P5],[P6],[P7],[P8],[P9],[P10],[P11],[P12],[P13],[P14],[P15],[P16],[P17],[P18],[P19],[P20],[P21],[P22],[P23],[P24],[P25],[P26],[P27],[P28],[P29],[P30],[P31],[P32],[P33],[P34],[P35],[P36],[P37],[P38],[P39],[P40]"</formula1>
    </dataValidation>
    <dataValidation type="list" allowBlank="1" showErrorMessage="1" sqref="C8" xr:uid="{199428C4-8751-4193-BD56-75B856AD1FF8}">
      <formula1>"Estratégico,Financeiro,Operacional,Legal,Tecnologia,Imagem"</formula1>
    </dataValidation>
    <dataValidation type="list" allowBlank="1" showErrorMessage="1" sqref="C4" xr:uid="{8B4D96DD-B584-4A63-B50C-FF44E26E60E0}">
      <formula1>"ALTO IMPACTO,MÉDIO IMPACTO,BAIXO IMPACTO"</formula1>
    </dataValidation>
  </dataValidations>
  <pageMargins left="0.511811024" right="0.511811024" top="0.78740157499999996" bottom="0.78740157499999996" header="0" footer="0"/>
  <pageSetup paperSize="9" orientation="portrait"/>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D08F9-C20A-4B74-897E-B27797811F44}">
  <dimension ref="B2:E1000"/>
  <sheetViews>
    <sheetView showGridLines="0" topLeftCell="A4" workbookViewId="0">
      <selection activeCell="B3" sqref="B3:C20"/>
    </sheetView>
  </sheetViews>
  <sheetFormatPr defaultColWidth="12.59765625" defaultRowHeight="15" customHeight="1" x14ac:dyDescent="0.25"/>
  <cols>
    <col min="1" max="1" width="7.59765625" customWidth="1"/>
    <col min="2" max="2" width="18" customWidth="1"/>
    <col min="3" max="3" width="46.59765625" customWidth="1"/>
    <col min="4" max="26" width="7.59765625" customWidth="1"/>
  </cols>
  <sheetData>
    <row r="2" spans="2:5" ht="17.399999999999999" x14ac:dyDescent="0.25">
      <c r="B2" s="71" t="s">
        <v>380</v>
      </c>
    </row>
    <row r="3" spans="2:5" ht="16.2" thickBot="1" x14ac:dyDescent="0.3">
      <c r="B3" s="52" t="s">
        <v>289</v>
      </c>
      <c r="C3" s="53" t="s">
        <v>290</v>
      </c>
    </row>
    <row r="4" spans="2:5" ht="15.6" thickTop="1" thickBot="1" x14ac:dyDescent="0.35">
      <c r="B4" s="73" t="s">
        <v>291</v>
      </c>
      <c r="C4" s="24" t="e">
        <f>IF(C12&gt;=75,"ALTO IMPACTO",IF(C12&lt;=50,"BAIXO IMPACTO","MÉDIO IMPACTO"))</f>
        <v>#N/A</v>
      </c>
      <c r="E4" s="9" t="s">
        <v>381</v>
      </c>
    </row>
    <row r="5" spans="2:5" ht="14.4" thickBot="1" x14ac:dyDescent="0.3">
      <c r="B5" s="74" t="s">
        <v>123</v>
      </c>
      <c r="C5" s="75">
        <f>IFERROR(VLOOKUP(C6,'RESUMO DE PONTOS'!$C$9:$M$47,10,),"")</f>
        <v>0</v>
      </c>
    </row>
    <row r="6" spans="2:5" thickBot="1" x14ac:dyDescent="0.35">
      <c r="B6" s="76" t="s">
        <v>293</v>
      </c>
      <c r="C6" s="77" t="s">
        <v>268</v>
      </c>
      <c r="E6" s="9" t="s">
        <v>382</v>
      </c>
    </row>
    <row r="7" spans="2:5" ht="14.4" thickBot="1" x14ac:dyDescent="0.3">
      <c r="B7" s="74" t="s">
        <v>295</v>
      </c>
      <c r="C7" s="75" t="e">
        <f>VLOOKUP(C6,'BASE DA MATRIZ DE RISCOS'!$C$78:$D$109,2,)</f>
        <v>#N/A</v>
      </c>
    </row>
    <row r="8" spans="2:5" thickBot="1" x14ac:dyDescent="0.35">
      <c r="B8" s="76" t="s">
        <v>46</v>
      </c>
      <c r="C8" s="78" t="e">
        <f>VLOOKUP(C6,'BASE DA MATRIZ DE RISCOS'!$C$78:$E$109,3,)</f>
        <v>#N/A</v>
      </c>
      <c r="E8" s="9" t="s">
        <v>382</v>
      </c>
    </row>
    <row r="9" spans="2:5" thickBot="1" x14ac:dyDescent="0.35">
      <c r="B9" s="54" t="s">
        <v>46</v>
      </c>
      <c r="C9" s="79" t="e">
        <f>VLOOKUP($C$8,'BASE DA MATRIZ DE RISCOS'!$C$30:$E$36,3)</f>
        <v>#N/A</v>
      </c>
      <c r="E9" s="9" t="s">
        <v>383</v>
      </c>
    </row>
    <row r="10" spans="2:5" thickBot="1" x14ac:dyDescent="0.35">
      <c r="B10" s="80" t="s">
        <v>298</v>
      </c>
      <c r="C10" s="41" t="e">
        <f>VLOOKUP(C6,'BASE DA MATRIZ DE RISCOS'!$C$78:$H$109,5,)</f>
        <v>#N/A</v>
      </c>
      <c r="E10" s="9" t="s">
        <v>384</v>
      </c>
    </row>
    <row r="11" spans="2:5" thickBot="1" x14ac:dyDescent="0.35">
      <c r="B11" s="54" t="s">
        <v>291</v>
      </c>
      <c r="C11" s="79" t="e">
        <f>VLOOKUP(C6,'BASE DA MATRIZ DE RISCOS'!$C$78:$H$109,6,)</f>
        <v>#N/A</v>
      </c>
      <c r="E11" s="9" t="s">
        <v>384</v>
      </c>
    </row>
    <row r="12" spans="2:5" thickBot="1" x14ac:dyDescent="0.35">
      <c r="B12" s="80" t="s">
        <v>301</v>
      </c>
      <c r="C12" s="81" t="e">
        <f>C9*C10*C11</f>
        <v>#N/A</v>
      </c>
      <c r="E12" s="9" t="s">
        <v>385</v>
      </c>
    </row>
    <row r="13" spans="2:5" thickBot="1" x14ac:dyDescent="0.35">
      <c r="B13" s="54" t="s">
        <v>386</v>
      </c>
      <c r="C13" s="79" t="e">
        <f>VLOOKUP(C6,'BASE DA MATRIZ DE RISCOS'!$C$78:$J$109,8,)</f>
        <v>#N/A</v>
      </c>
      <c r="E13" s="9" t="s">
        <v>387</v>
      </c>
    </row>
    <row r="14" spans="2:5" ht="14.4" thickBot="1" x14ac:dyDescent="0.3">
      <c r="B14" s="80" t="s">
        <v>290</v>
      </c>
      <c r="C14" s="41">
        <f>VLOOKUP(C$6,'RESUMO DE PONTOS'!$C$9:$H$47,3,)</f>
        <v>0</v>
      </c>
    </row>
    <row r="15" spans="2:5" ht="14.4" thickBot="1" x14ac:dyDescent="0.3">
      <c r="B15" s="54" t="s">
        <v>127</v>
      </c>
      <c r="C15" s="79">
        <f>IFERROR(VLOOKUP(C$6,'RESUMO DE PONTOS'!$C$9:$H$47,4,),"")</f>
        <v>0</v>
      </c>
    </row>
    <row r="16" spans="2:5" ht="14.4" thickBot="1" x14ac:dyDescent="0.3">
      <c r="B16" s="80" t="s">
        <v>128</v>
      </c>
      <c r="C16" s="127">
        <f>IFERROR(VLOOKUP(C$6,'RESUMO DE PONTOS'!$C$9:$H$47,5,),"")</f>
        <v>0</v>
      </c>
    </row>
    <row r="17" spans="2:3" thickBot="1" x14ac:dyDescent="0.3">
      <c r="B17" s="57" t="s">
        <v>129</v>
      </c>
      <c r="C17" s="79">
        <f>IFERROR(VLOOKUP(C$6,'RESUMO DE PONTOS'!$C$9:$H$47,6,),"")</f>
        <v>0</v>
      </c>
    </row>
    <row r="18" spans="2:3" ht="55.8" thickBot="1" x14ac:dyDescent="0.3">
      <c r="B18" s="82" t="s">
        <v>308</v>
      </c>
      <c r="C18" s="41" t="s">
        <v>388</v>
      </c>
    </row>
    <row r="19" spans="2:3" ht="43.8" thickBot="1" x14ac:dyDescent="0.3">
      <c r="B19" s="57" t="s">
        <v>310</v>
      </c>
      <c r="C19" s="79" t="s">
        <v>389</v>
      </c>
    </row>
    <row r="20" spans="2:3" ht="42" thickBot="1" x14ac:dyDescent="0.3">
      <c r="B20" s="80" t="s">
        <v>312</v>
      </c>
      <c r="C20" s="41" t="s">
        <v>390</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C4">
    <cfRule type="containsText" dxfId="2" priority="1" operator="containsText" text="BAIXO IMPACTO">
      <formula>NOT(ISERROR(SEARCH(("BAIXO IMPACTO"),(C4))))</formula>
    </cfRule>
  </conditionalFormatting>
  <conditionalFormatting sqref="C4">
    <cfRule type="containsText" dxfId="1" priority="2" operator="containsText" text="MÉDIO IMPACTO">
      <formula>NOT(ISERROR(SEARCH(("MÉDIO IMPACTO"),(C4))))</formula>
    </cfRule>
  </conditionalFormatting>
  <conditionalFormatting sqref="C4">
    <cfRule type="containsText" dxfId="0" priority="3" operator="containsText" text="ALTO IMPACTO">
      <formula>NOT(ISERROR(SEARCH(("ALTO IMPACTO"),(C4))))</formula>
    </cfRule>
  </conditionalFormatting>
  <dataValidations count="3">
    <dataValidation type="list" allowBlank="1" showErrorMessage="1" sqref="C4" xr:uid="{3E9E2462-01EE-4DE3-A2E4-0C81643B4951}">
      <formula1>"ALTO IMPACTO,MÉDIO IMPACTO,BAIXO IMPACTO"</formula1>
    </dataValidation>
    <dataValidation type="list" allowBlank="1" showErrorMessage="1" sqref="C8" xr:uid="{167A7931-21E8-463C-BFA3-E3C4661608BA}">
      <formula1>"Estratégico,Financeiro,Operacional,Legal,Tecnologia,Imagem"</formula1>
    </dataValidation>
    <dataValidation type="list" allowBlank="1" showErrorMessage="1" sqref="C6" xr:uid="{FA63536D-1A47-4D7D-BA95-F0C021206F04}">
      <formula1>"[P1],[P2],[P3],[P4],[P5],[P6],[P7],[P8],[P9],[P10],[P11],[P12],[P13],[P14],[P15],[P16],[P17],[P18],[P19],[P20],[P21],[P22],[P23],[P24],[P25],[P26],[P27],[P28],[P29],[P30],[P31],[P32],[P33],[P34],[P35],[P36],[P37],[P38],[P39],[P40]"</formula1>
    </dataValidation>
  </dataValidations>
  <pageMargins left="0.511811024" right="0.511811024" top="0.78740157499999996" bottom="0.78740157499999996" header="0" footer="0"/>
  <pageSetup paperSize="9" orientation="portrait"/>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21:A1000"/>
  <sheetViews>
    <sheetView showGridLines="0" workbookViewId="0">
      <selection activeCell="M23" sqref="M23"/>
    </sheetView>
  </sheetViews>
  <sheetFormatPr defaultColWidth="12.59765625" defaultRowHeight="15" customHeight="1" x14ac:dyDescent="0.25"/>
  <cols>
    <col min="1" max="26" width="7.5976562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511811024" right="0.511811024" top="0.78740157499999996" bottom="0.78740157499999996" header="0" footer="0"/>
  <pageSetup orientation="landscape"/>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3:D1000"/>
  <sheetViews>
    <sheetView showGridLines="0" workbookViewId="0">
      <selection sqref="A1:D1048576"/>
    </sheetView>
  </sheetViews>
  <sheetFormatPr defaultColWidth="12.59765625" defaultRowHeight="15" customHeight="1" x14ac:dyDescent="0.25"/>
  <cols>
    <col min="1" max="1" width="11.5" customWidth="1"/>
    <col min="2" max="2" width="15" customWidth="1"/>
    <col min="3" max="3" width="28.59765625" customWidth="1"/>
    <col min="4" max="4" width="34.59765625" customWidth="1"/>
    <col min="5" max="26" width="7.59765625" customWidth="1"/>
  </cols>
  <sheetData>
    <row r="3" spans="1:4" ht="43.2" x14ac:dyDescent="0.3">
      <c r="A3" s="83" t="s">
        <v>391</v>
      </c>
      <c r="B3" s="83" t="s">
        <v>392</v>
      </c>
      <c r="C3" s="83" t="s">
        <v>393</v>
      </c>
      <c r="D3" s="84" t="s">
        <v>394</v>
      </c>
    </row>
    <row r="4" spans="1:4" ht="72" x14ac:dyDescent="0.25">
      <c r="A4" s="85" t="s">
        <v>395</v>
      </c>
      <c r="B4" s="85" t="s">
        <v>396</v>
      </c>
      <c r="C4" s="86" t="s">
        <v>397</v>
      </c>
      <c r="D4" s="3" t="s">
        <v>398</v>
      </c>
    </row>
    <row r="5" spans="1:4" ht="129.6" x14ac:dyDescent="0.25">
      <c r="A5" s="85" t="s">
        <v>395</v>
      </c>
      <c r="B5" s="85" t="s">
        <v>399</v>
      </c>
      <c r="C5" s="86" t="s">
        <v>400</v>
      </c>
      <c r="D5" s="3" t="s">
        <v>401</v>
      </c>
    </row>
    <row r="6" spans="1:4" ht="72" x14ac:dyDescent="0.25">
      <c r="A6" s="87" t="s">
        <v>402</v>
      </c>
      <c r="B6" s="87" t="s">
        <v>403</v>
      </c>
      <c r="C6" s="88" t="s">
        <v>404</v>
      </c>
      <c r="D6" s="2" t="s">
        <v>398</v>
      </c>
    </row>
    <row r="7" spans="1:4" ht="43.2" x14ac:dyDescent="0.25">
      <c r="A7" s="87" t="s">
        <v>402</v>
      </c>
      <c r="B7" s="87" t="s">
        <v>405</v>
      </c>
      <c r="C7" s="88" t="s">
        <v>406</v>
      </c>
      <c r="D7" s="2" t="s">
        <v>407</v>
      </c>
    </row>
    <row r="8" spans="1:4" ht="72" x14ac:dyDescent="0.25">
      <c r="A8" s="87" t="s">
        <v>402</v>
      </c>
      <c r="B8" s="87" t="s">
        <v>408</v>
      </c>
      <c r="C8" s="88" t="s">
        <v>409</v>
      </c>
      <c r="D8" s="2" t="s">
        <v>410</v>
      </c>
    </row>
    <row r="9" spans="1:4" ht="144" x14ac:dyDescent="0.25">
      <c r="A9" s="87" t="s">
        <v>402</v>
      </c>
      <c r="B9" s="87" t="s">
        <v>399</v>
      </c>
      <c r="C9" s="88" t="s">
        <v>411</v>
      </c>
      <c r="D9" s="2" t="s">
        <v>412</v>
      </c>
    </row>
    <row r="10" spans="1:4" ht="86.4" x14ac:dyDescent="0.25">
      <c r="A10" s="85" t="s">
        <v>413</v>
      </c>
      <c r="B10" s="85" t="s">
        <v>396</v>
      </c>
      <c r="C10" s="86" t="s">
        <v>414</v>
      </c>
      <c r="D10" s="3" t="s">
        <v>415</v>
      </c>
    </row>
    <row r="11" spans="1:4" ht="158.4" x14ac:dyDescent="0.25">
      <c r="A11" s="85" t="s">
        <v>413</v>
      </c>
      <c r="B11" s="85" t="s">
        <v>405</v>
      </c>
      <c r="C11" s="86" t="s">
        <v>416</v>
      </c>
      <c r="D11" s="3" t="s">
        <v>417</v>
      </c>
    </row>
    <row r="12" spans="1:4" ht="72" x14ac:dyDescent="0.25">
      <c r="A12" s="85" t="s">
        <v>413</v>
      </c>
      <c r="B12" s="85" t="s">
        <v>408</v>
      </c>
      <c r="C12" s="86" t="s">
        <v>418</v>
      </c>
      <c r="D12" s="3" t="s">
        <v>419</v>
      </c>
    </row>
    <row r="13" spans="1:4" ht="100.8" x14ac:dyDescent="0.25">
      <c r="A13" s="85" t="s">
        <v>413</v>
      </c>
      <c r="B13" s="85" t="s">
        <v>408</v>
      </c>
      <c r="C13" s="86" t="s">
        <v>420</v>
      </c>
      <c r="D13" s="3" t="s">
        <v>421</v>
      </c>
    </row>
    <row r="14" spans="1:4" ht="129.6" x14ac:dyDescent="0.25">
      <c r="A14" s="85" t="s">
        <v>413</v>
      </c>
      <c r="B14" s="85" t="s">
        <v>399</v>
      </c>
      <c r="C14" s="86" t="s">
        <v>422</v>
      </c>
      <c r="D14" s="89" t="s">
        <v>423</v>
      </c>
    </row>
    <row r="15" spans="1:4" ht="100.8" x14ac:dyDescent="0.25">
      <c r="A15" s="87" t="s">
        <v>424</v>
      </c>
      <c r="B15" s="87" t="s">
        <v>396</v>
      </c>
      <c r="C15" s="88" t="s">
        <v>425</v>
      </c>
      <c r="D15" s="2" t="s">
        <v>426</v>
      </c>
    </row>
    <row r="16" spans="1:4" ht="72" x14ac:dyDescent="0.25">
      <c r="A16" s="87" t="s">
        <v>98</v>
      </c>
      <c r="B16" s="87" t="s">
        <v>405</v>
      </c>
      <c r="C16" s="88" t="s">
        <v>427</v>
      </c>
      <c r="D16" s="2" t="s">
        <v>428</v>
      </c>
    </row>
    <row r="17" spans="1:4" ht="86.4" x14ac:dyDescent="0.25">
      <c r="A17" s="87" t="s">
        <v>98</v>
      </c>
      <c r="B17" s="87" t="s">
        <v>405</v>
      </c>
      <c r="C17" s="88" t="s">
        <v>429</v>
      </c>
      <c r="D17" s="2" t="s">
        <v>430</v>
      </c>
    </row>
    <row r="18" spans="1:4" ht="86.4" x14ac:dyDescent="0.25">
      <c r="A18" s="87" t="s">
        <v>98</v>
      </c>
      <c r="B18" s="87" t="s">
        <v>408</v>
      </c>
      <c r="C18" s="88" t="s">
        <v>431</v>
      </c>
      <c r="D18" s="2" t="s">
        <v>432</v>
      </c>
    </row>
    <row r="19" spans="1:4" ht="72" x14ac:dyDescent="0.25">
      <c r="A19" s="87" t="s">
        <v>98</v>
      </c>
      <c r="B19" s="87" t="s">
        <v>408</v>
      </c>
      <c r="C19" s="88" t="s">
        <v>433</v>
      </c>
      <c r="D19" s="2" t="s">
        <v>434</v>
      </c>
    </row>
    <row r="20" spans="1:4" ht="115.2" x14ac:dyDescent="0.25">
      <c r="A20" s="87" t="s">
        <v>98</v>
      </c>
      <c r="B20" s="87" t="s">
        <v>399</v>
      </c>
      <c r="C20" s="88" t="s">
        <v>435</v>
      </c>
      <c r="D20" s="2" t="s">
        <v>436</v>
      </c>
    </row>
    <row r="21" spans="1:4" ht="15.75" customHeight="1" x14ac:dyDescent="0.25">
      <c r="A21" s="85" t="s">
        <v>437</v>
      </c>
      <c r="B21" s="85" t="s">
        <v>438</v>
      </c>
      <c r="C21" s="86" t="s">
        <v>439</v>
      </c>
      <c r="D21" s="3" t="s">
        <v>440</v>
      </c>
    </row>
    <row r="22" spans="1:4" ht="15.75" customHeight="1" x14ac:dyDescent="0.25">
      <c r="A22" s="85" t="s">
        <v>437</v>
      </c>
      <c r="B22" s="85" t="s">
        <v>441</v>
      </c>
      <c r="C22" s="86" t="s">
        <v>442</v>
      </c>
      <c r="D22" s="3" t="s">
        <v>443</v>
      </c>
    </row>
    <row r="23" spans="1:4" ht="15.75" customHeight="1" x14ac:dyDescent="0.25">
      <c r="A23" s="85" t="s">
        <v>437</v>
      </c>
      <c r="B23" s="85" t="s">
        <v>399</v>
      </c>
      <c r="C23" s="86" t="s">
        <v>444</v>
      </c>
      <c r="D23" s="89" t="s">
        <v>445</v>
      </c>
    </row>
    <row r="24" spans="1:4" ht="15.75" customHeight="1" x14ac:dyDescent="0.25">
      <c r="A24" s="87" t="s">
        <v>446</v>
      </c>
      <c r="B24" s="87" t="s">
        <v>447</v>
      </c>
      <c r="C24" s="88" t="s">
        <v>448</v>
      </c>
      <c r="D24" s="2" t="s">
        <v>449</v>
      </c>
    </row>
    <row r="25" spans="1:4" ht="15.75" customHeight="1" x14ac:dyDescent="0.25">
      <c r="A25" s="87" t="s">
        <v>446</v>
      </c>
      <c r="B25" s="87" t="s">
        <v>408</v>
      </c>
      <c r="C25" s="88" t="s">
        <v>450</v>
      </c>
      <c r="D25" s="2" t="s">
        <v>451</v>
      </c>
    </row>
    <row r="26" spans="1:4" ht="15.75" customHeight="1" x14ac:dyDescent="0.25">
      <c r="A26" s="87" t="s">
        <v>446</v>
      </c>
      <c r="B26" s="87" t="s">
        <v>452</v>
      </c>
      <c r="C26" s="88" t="s">
        <v>453</v>
      </c>
      <c r="D26" s="2" t="s">
        <v>454</v>
      </c>
    </row>
    <row r="27" spans="1:4" ht="15.75" customHeight="1" x14ac:dyDescent="0.25">
      <c r="A27" s="87" t="s">
        <v>446</v>
      </c>
      <c r="B27" s="87" t="s">
        <v>455</v>
      </c>
      <c r="C27" s="88" t="s">
        <v>456</v>
      </c>
      <c r="D27" s="2" t="s">
        <v>457</v>
      </c>
    </row>
    <row r="28" spans="1:4" ht="15.75" customHeight="1" x14ac:dyDescent="0.25">
      <c r="A28" s="87" t="s">
        <v>446</v>
      </c>
      <c r="B28" s="87" t="s">
        <v>458</v>
      </c>
      <c r="C28" s="88" t="s">
        <v>459</v>
      </c>
      <c r="D28" s="2" t="s">
        <v>460</v>
      </c>
    </row>
    <row r="29" spans="1:4" ht="15.75" customHeight="1" x14ac:dyDescent="0.25">
      <c r="A29" s="87" t="s">
        <v>446</v>
      </c>
      <c r="B29" s="87" t="s">
        <v>399</v>
      </c>
      <c r="C29" s="88" t="s">
        <v>461</v>
      </c>
      <c r="D29" s="2" t="s">
        <v>445</v>
      </c>
    </row>
    <row r="30" spans="1:4" ht="15.75" customHeight="1" x14ac:dyDescent="0.25"/>
    <row r="31" spans="1:4" ht="15.75" customHeight="1" x14ac:dyDescent="0.3">
      <c r="C31" s="90"/>
    </row>
    <row r="32" spans="1:4" ht="15.75" customHeight="1" x14ac:dyDescent="0.3">
      <c r="C32" s="90"/>
    </row>
    <row r="33" spans="3:3" ht="15.75" customHeight="1" x14ac:dyDescent="0.3">
      <c r="C33" s="90"/>
    </row>
    <row r="34" spans="3:3" ht="15.75" customHeight="1" x14ac:dyDescent="0.3">
      <c r="C34" s="90"/>
    </row>
    <row r="35" spans="3:3" ht="15.75" customHeight="1" x14ac:dyDescent="0.3">
      <c r="C35" s="90"/>
    </row>
    <row r="36" spans="3:3" ht="15.75" customHeight="1" x14ac:dyDescent="0.3">
      <c r="C36" s="90"/>
    </row>
    <row r="37" spans="3:3" ht="15.75" customHeight="1" x14ac:dyDescent="0.3">
      <c r="C37" s="90"/>
    </row>
    <row r="38" spans="3:3" ht="15.75" customHeight="1" x14ac:dyDescent="0.3">
      <c r="C38" s="90"/>
    </row>
    <row r="39" spans="3:3" ht="15.75" customHeight="1" x14ac:dyDescent="0.3">
      <c r="C39" s="90"/>
    </row>
    <row r="40" spans="3:3" ht="15.75" customHeight="1" x14ac:dyDescent="0.3">
      <c r="C40" s="90"/>
    </row>
    <row r="41" spans="3:3" ht="15.75" customHeight="1" x14ac:dyDescent="0.3">
      <c r="C41" s="90"/>
    </row>
    <row r="42" spans="3:3" ht="15.75" customHeight="1" x14ac:dyDescent="0.3">
      <c r="C42" s="90"/>
    </row>
    <row r="43" spans="3:3" ht="15.75" customHeight="1" x14ac:dyDescent="0.3">
      <c r="C43" s="90"/>
    </row>
    <row r="44" spans="3:3" ht="15.75" customHeight="1" x14ac:dyDescent="0.3">
      <c r="C44" s="90"/>
    </row>
    <row r="45" spans="3:3" ht="15.75" customHeight="1" x14ac:dyDescent="0.3">
      <c r="C45" s="90"/>
    </row>
    <row r="46" spans="3:3" ht="15.75" customHeight="1" x14ac:dyDescent="0.3">
      <c r="C46" s="90"/>
    </row>
    <row r="47" spans="3:3" ht="15.75" customHeight="1" x14ac:dyDescent="0.3">
      <c r="C47" s="90"/>
    </row>
    <row r="48" spans="3:3" ht="15.75" customHeight="1" x14ac:dyDescent="0.3">
      <c r="C48" s="90"/>
    </row>
    <row r="49" spans="3:3" ht="15.75" customHeight="1" x14ac:dyDescent="0.3">
      <c r="C49" s="90"/>
    </row>
    <row r="50" spans="3:3" ht="15.75" customHeight="1" x14ac:dyDescent="0.3">
      <c r="C50" s="90"/>
    </row>
    <row r="51" spans="3:3" ht="15.75" customHeight="1" x14ac:dyDescent="0.3">
      <c r="C51" s="90"/>
    </row>
    <row r="52" spans="3:3" ht="15.75" customHeight="1" x14ac:dyDescent="0.3">
      <c r="C52" s="90"/>
    </row>
    <row r="53" spans="3:3" ht="15.75" customHeight="1" x14ac:dyDescent="0.3">
      <c r="C53" s="90"/>
    </row>
    <row r="54" spans="3:3" ht="15.75" customHeight="1" x14ac:dyDescent="0.3">
      <c r="C54" s="90"/>
    </row>
    <row r="55" spans="3:3" ht="15.75" customHeight="1" x14ac:dyDescent="0.3">
      <c r="C55" s="90"/>
    </row>
    <row r="56" spans="3:3" ht="15.75" customHeight="1" x14ac:dyDescent="0.3">
      <c r="C56" s="90"/>
    </row>
    <row r="57" spans="3:3" ht="15.75" customHeight="1" x14ac:dyDescent="0.3">
      <c r="C57" s="90"/>
    </row>
    <row r="58" spans="3:3" ht="15.75" customHeight="1" x14ac:dyDescent="0.3">
      <c r="C58" s="90"/>
    </row>
    <row r="59" spans="3:3" ht="15.75" customHeight="1" x14ac:dyDescent="0.3">
      <c r="C59" s="90"/>
    </row>
    <row r="60" spans="3:3" ht="15.75" customHeight="1" x14ac:dyDescent="0.3">
      <c r="C60" s="90"/>
    </row>
    <row r="61" spans="3:3" ht="15.75" customHeight="1" x14ac:dyDescent="0.3">
      <c r="C61" s="90"/>
    </row>
    <row r="62" spans="3:3" ht="15.75" customHeight="1" x14ac:dyDescent="0.3">
      <c r="C62" s="90"/>
    </row>
    <row r="63" spans="3:3" ht="15.75" customHeight="1" x14ac:dyDescent="0.3">
      <c r="C63" s="90"/>
    </row>
    <row r="64" spans="3:3" ht="15.75" customHeight="1" x14ac:dyDescent="0.3">
      <c r="C64" s="90"/>
    </row>
    <row r="65" spans="3:3" ht="15.75" customHeight="1" x14ac:dyDescent="0.3">
      <c r="C65" s="90"/>
    </row>
    <row r="66" spans="3:3" ht="15.75" customHeight="1" x14ac:dyDescent="0.3">
      <c r="C66" s="90"/>
    </row>
    <row r="67" spans="3:3" ht="15.75" customHeight="1" x14ac:dyDescent="0.3">
      <c r="C67" s="90"/>
    </row>
    <row r="68" spans="3:3" ht="15.75" customHeight="1" x14ac:dyDescent="0.3">
      <c r="C68" s="90"/>
    </row>
    <row r="69" spans="3:3" ht="15.75" customHeight="1" x14ac:dyDescent="0.3">
      <c r="C69" s="90"/>
    </row>
    <row r="70" spans="3:3" ht="15.75" customHeight="1" x14ac:dyDescent="0.3">
      <c r="C70" s="90"/>
    </row>
    <row r="71" spans="3:3" ht="15.75" customHeight="1" x14ac:dyDescent="0.3">
      <c r="C71" s="90"/>
    </row>
    <row r="72" spans="3:3" ht="15.75" customHeight="1" x14ac:dyDescent="0.3">
      <c r="C72" s="90"/>
    </row>
    <row r="73" spans="3:3" ht="15.75" customHeight="1" x14ac:dyDescent="0.3">
      <c r="C73" s="90"/>
    </row>
    <row r="74" spans="3:3" ht="15.75" customHeight="1" x14ac:dyDescent="0.3">
      <c r="C74" s="90"/>
    </row>
    <row r="75" spans="3:3" ht="15.75" customHeight="1" x14ac:dyDescent="0.3">
      <c r="C75" s="90"/>
    </row>
    <row r="76" spans="3:3" ht="15.75" customHeight="1" x14ac:dyDescent="0.3">
      <c r="C76" s="90"/>
    </row>
    <row r="77" spans="3:3" ht="15.75" customHeight="1" x14ac:dyDescent="0.3">
      <c r="C77" s="90"/>
    </row>
    <row r="78" spans="3:3" ht="15.75" customHeight="1" x14ac:dyDescent="0.3">
      <c r="C78" s="90"/>
    </row>
    <row r="79" spans="3:3" ht="15.75" customHeight="1" x14ac:dyDescent="0.3">
      <c r="C79" s="90"/>
    </row>
    <row r="80" spans="3:3" ht="15.75" customHeight="1" x14ac:dyDescent="0.3">
      <c r="C80" s="90"/>
    </row>
    <row r="81" spans="3:3" ht="15.75" customHeight="1" x14ac:dyDescent="0.3">
      <c r="C81" s="90"/>
    </row>
    <row r="82" spans="3:3" ht="15.75" customHeight="1" x14ac:dyDescent="0.3">
      <c r="C82" s="90"/>
    </row>
    <row r="83" spans="3:3" ht="15.75" customHeight="1" x14ac:dyDescent="0.3">
      <c r="C83" s="90"/>
    </row>
    <row r="84" spans="3:3" ht="15.75" customHeight="1" x14ac:dyDescent="0.3">
      <c r="C84" s="90"/>
    </row>
    <row r="85" spans="3:3" ht="15.75" customHeight="1" x14ac:dyDescent="0.3">
      <c r="C85" s="90"/>
    </row>
    <row r="86" spans="3:3" ht="15.75" customHeight="1" x14ac:dyDescent="0.3">
      <c r="C86" s="90"/>
    </row>
    <row r="87" spans="3:3" ht="15.75" customHeight="1" x14ac:dyDescent="0.3">
      <c r="C87" s="90"/>
    </row>
    <row r="88" spans="3:3" ht="15.75" customHeight="1" x14ac:dyDescent="0.3">
      <c r="C88" s="90"/>
    </row>
    <row r="89" spans="3:3" ht="15.75" customHeight="1" x14ac:dyDescent="0.3">
      <c r="C89" s="90"/>
    </row>
    <row r="90" spans="3:3" ht="15.75" customHeight="1" x14ac:dyDescent="0.3">
      <c r="C90" s="90"/>
    </row>
    <row r="91" spans="3:3" ht="15.75" customHeight="1" x14ac:dyDescent="0.3">
      <c r="C91" s="90"/>
    </row>
    <row r="92" spans="3:3" ht="15.75" customHeight="1" x14ac:dyDescent="0.3">
      <c r="C92" s="90"/>
    </row>
    <row r="93" spans="3:3" ht="15.75" customHeight="1" x14ac:dyDescent="0.3">
      <c r="C93" s="90"/>
    </row>
    <row r="94" spans="3:3" ht="15.75" customHeight="1" x14ac:dyDescent="0.3">
      <c r="C94" s="90"/>
    </row>
    <row r="95" spans="3:3" ht="15.75" customHeight="1" x14ac:dyDescent="0.3">
      <c r="C95" s="90"/>
    </row>
    <row r="96" spans="3:3" ht="15.75" customHeight="1" x14ac:dyDescent="0.3">
      <c r="C96" s="90"/>
    </row>
    <row r="97" spans="3:3" ht="15.75" customHeight="1" x14ac:dyDescent="0.3">
      <c r="C97" s="90"/>
    </row>
    <row r="98" spans="3:3" ht="15.75" customHeight="1" x14ac:dyDescent="0.3">
      <c r="C98" s="90"/>
    </row>
    <row r="99" spans="3:3" ht="15.75" customHeight="1" x14ac:dyDescent="0.3">
      <c r="C99" s="90"/>
    </row>
    <row r="100" spans="3:3" ht="15.75" customHeight="1" x14ac:dyDescent="0.3">
      <c r="C100" s="90"/>
    </row>
    <row r="101" spans="3:3" ht="15.75" customHeight="1" x14ac:dyDescent="0.3">
      <c r="C101" s="90"/>
    </row>
    <row r="102" spans="3:3" ht="15.75" customHeight="1" x14ac:dyDescent="0.3">
      <c r="C102" s="90"/>
    </row>
    <row r="103" spans="3:3" ht="15.75" customHeight="1" x14ac:dyDescent="0.3">
      <c r="C103" s="90"/>
    </row>
    <row r="104" spans="3:3" ht="15.75" customHeight="1" x14ac:dyDescent="0.3">
      <c r="C104" s="90"/>
    </row>
    <row r="105" spans="3:3" ht="15.75" customHeight="1" x14ac:dyDescent="0.3">
      <c r="C105" s="90"/>
    </row>
    <row r="106" spans="3:3" ht="15.75" customHeight="1" x14ac:dyDescent="0.3">
      <c r="C106" s="90"/>
    </row>
    <row r="107" spans="3:3" ht="15.75" customHeight="1" x14ac:dyDescent="0.3">
      <c r="C107" s="90"/>
    </row>
    <row r="108" spans="3:3" ht="15.75" customHeight="1" x14ac:dyDescent="0.3">
      <c r="C108" s="90"/>
    </row>
    <row r="109" spans="3:3" ht="15.75" customHeight="1" x14ac:dyDescent="0.3">
      <c r="C109" s="90"/>
    </row>
    <row r="110" spans="3:3" ht="15.75" customHeight="1" x14ac:dyDescent="0.3">
      <c r="C110" s="90"/>
    </row>
    <row r="111" spans="3:3" ht="15.75" customHeight="1" x14ac:dyDescent="0.3">
      <c r="C111" s="90"/>
    </row>
    <row r="112" spans="3:3" ht="15.75" customHeight="1" x14ac:dyDescent="0.3">
      <c r="C112" s="90"/>
    </row>
    <row r="113" spans="3:3" ht="15.75" customHeight="1" x14ac:dyDescent="0.3">
      <c r="C113" s="90"/>
    </row>
    <row r="114" spans="3:3" ht="15.75" customHeight="1" x14ac:dyDescent="0.3">
      <c r="C114" s="90"/>
    </row>
    <row r="115" spans="3:3" ht="15.75" customHeight="1" x14ac:dyDescent="0.3">
      <c r="C115" s="90"/>
    </row>
    <row r="116" spans="3:3" ht="15.75" customHeight="1" x14ac:dyDescent="0.3">
      <c r="C116" s="90"/>
    </row>
    <row r="117" spans="3:3" ht="15.75" customHeight="1" x14ac:dyDescent="0.3">
      <c r="C117" s="90"/>
    </row>
    <row r="118" spans="3:3" ht="15.75" customHeight="1" x14ac:dyDescent="0.3">
      <c r="C118" s="90"/>
    </row>
    <row r="119" spans="3:3" ht="15.75" customHeight="1" x14ac:dyDescent="0.3">
      <c r="C119" s="90"/>
    </row>
    <row r="120" spans="3:3" ht="15.75" customHeight="1" x14ac:dyDescent="0.3">
      <c r="C120" s="90"/>
    </row>
    <row r="121" spans="3:3" ht="15.75" customHeight="1" x14ac:dyDescent="0.3">
      <c r="C121" s="90"/>
    </row>
    <row r="122" spans="3:3" ht="15.75" customHeight="1" x14ac:dyDescent="0.3">
      <c r="C122" s="90"/>
    </row>
    <row r="123" spans="3:3" ht="15.75" customHeight="1" x14ac:dyDescent="0.3">
      <c r="C123" s="90"/>
    </row>
    <row r="124" spans="3:3" ht="15.75" customHeight="1" x14ac:dyDescent="0.3">
      <c r="C124" s="90"/>
    </row>
    <row r="125" spans="3:3" ht="15.75" customHeight="1" x14ac:dyDescent="0.3">
      <c r="C125" s="90"/>
    </row>
    <row r="126" spans="3:3" ht="15.75" customHeight="1" x14ac:dyDescent="0.3">
      <c r="C126" s="90"/>
    </row>
    <row r="127" spans="3:3" ht="15.75" customHeight="1" x14ac:dyDescent="0.3">
      <c r="C127" s="90"/>
    </row>
    <row r="128" spans="3:3" ht="15.75" customHeight="1" x14ac:dyDescent="0.3">
      <c r="C128" s="90"/>
    </row>
    <row r="129" spans="3:3" ht="15.75" customHeight="1" x14ac:dyDescent="0.3">
      <c r="C129" s="90"/>
    </row>
    <row r="130" spans="3:3" ht="15.75" customHeight="1" x14ac:dyDescent="0.3">
      <c r="C130" s="90"/>
    </row>
    <row r="131" spans="3:3" ht="15.75" customHeight="1" x14ac:dyDescent="0.3">
      <c r="C131" s="90"/>
    </row>
    <row r="132" spans="3:3" ht="15.75" customHeight="1" x14ac:dyDescent="0.3">
      <c r="C132" s="90"/>
    </row>
    <row r="133" spans="3:3" ht="15.75" customHeight="1" x14ac:dyDescent="0.3">
      <c r="C133" s="90"/>
    </row>
    <row r="134" spans="3:3" ht="15.75" customHeight="1" x14ac:dyDescent="0.3">
      <c r="C134" s="90"/>
    </row>
    <row r="135" spans="3:3" ht="15.75" customHeight="1" x14ac:dyDescent="0.3">
      <c r="C135" s="90"/>
    </row>
    <row r="136" spans="3:3" ht="15.75" customHeight="1" x14ac:dyDescent="0.3">
      <c r="C136" s="90"/>
    </row>
    <row r="137" spans="3:3" ht="15.75" customHeight="1" x14ac:dyDescent="0.3">
      <c r="C137" s="90"/>
    </row>
    <row r="138" spans="3:3" ht="15.75" customHeight="1" x14ac:dyDescent="0.3">
      <c r="C138" s="90"/>
    </row>
    <row r="139" spans="3:3" ht="15.75" customHeight="1" x14ac:dyDescent="0.3">
      <c r="C139" s="90"/>
    </row>
    <row r="140" spans="3:3" ht="15.75" customHeight="1" x14ac:dyDescent="0.3">
      <c r="C140" s="90"/>
    </row>
    <row r="141" spans="3:3" ht="15.75" customHeight="1" x14ac:dyDescent="0.3">
      <c r="C141" s="90"/>
    </row>
    <row r="142" spans="3:3" ht="15.75" customHeight="1" x14ac:dyDescent="0.3">
      <c r="C142" s="90"/>
    </row>
    <row r="143" spans="3:3" ht="15.75" customHeight="1" x14ac:dyDescent="0.3">
      <c r="C143" s="90"/>
    </row>
    <row r="144" spans="3:3" ht="15.75" customHeight="1" x14ac:dyDescent="0.3">
      <c r="C144" s="90"/>
    </row>
    <row r="145" spans="3:3" ht="15.75" customHeight="1" x14ac:dyDescent="0.3">
      <c r="C145" s="90"/>
    </row>
    <row r="146" spans="3:3" ht="15.75" customHeight="1" x14ac:dyDescent="0.3">
      <c r="C146" s="90"/>
    </row>
    <row r="147" spans="3:3" ht="15.75" customHeight="1" x14ac:dyDescent="0.3">
      <c r="C147" s="90"/>
    </row>
    <row r="148" spans="3:3" ht="15.75" customHeight="1" x14ac:dyDescent="0.3">
      <c r="C148" s="90"/>
    </row>
    <row r="149" spans="3:3" ht="15.75" customHeight="1" x14ac:dyDescent="0.3">
      <c r="C149" s="90"/>
    </row>
    <row r="150" spans="3:3" ht="15.75" customHeight="1" x14ac:dyDescent="0.3">
      <c r="C150" s="90"/>
    </row>
    <row r="151" spans="3:3" ht="15.75" customHeight="1" x14ac:dyDescent="0.3">
      <c r="C151" s="90"/>
    </row>
    <row r="152" spans="3:3" ht="15.75" customHeight="1" x14ac:dyDescent="0.3">
      <c r="C152" s="90"/>
    </row>
    <row r="153" spans="3:3" ht="15.75" customHeight="1" x14ac:dyDescent="0.3">
      <c r="C153" s="90"/>
    </row>
    <row r="154" spans="3:3" ht="15.75" customHeight="1" x14ac:dyDescent="0.3">
      <c r="C154" s="90"/>
    </row>
    <row r="155" spans="3:3" ht="15.75" customHeight="1" x14ac:dyDescent="0.3">
      <c r="C155" s="90"/>
    </row>
    <row r="156" spans="3:3" ht="15.75" customHeight="1" x14ac:dyDescent="0.3">
      <c r="C156" s="90"/>
    </row>
    <row r="157" spans="3:3" ht="15.75" customHeight="1" x14ac:dyDescent="0.3">
      <c r="C157" s="90"/>
    </row>
    <row r="158" spans="3:3" ht="15.75" customHeight="1" x14ac:dyDescent="0.3">
      <c r="C158" s="90"/>
    </row>
    <row r="159" spans="3:3" ht="15.75" customHeight="1" x14ac:dyDescent="0.3">
      <c r="C159" s="90"/>
    </row>
    <row r="160" spans="3:3" ht="15.75" customHeight="1" x14ac:dyDescent="0.3">
      <c r="C160" s="90"/>
    </row>
    <row r="161" spans="3:3" ht="15.75" customHeight="1" x14ac:dyDescent="0.3">
      <c r="C161" s="90"/>
    </row>
    <row r="162" spans="3:3" ht="15.75" customHeight="1" x14ac:dyDescent="0.3">
      <c r="C162" s="90"/>
    </row>
    <row r="163" spans="3:3" ht="15.75" customHeight="1" x14ac:dyDescent="0.3">
      <c r="C163" s="90"/>
    </row>
    <row r="164" spans="3:3" ht="15.75" customHeight="1" x14ac:dyDescent="0.3">
      <c r="C164" s="90"/>
    </row>
    <row r="165" spans="3:3" ht="15.75" customHeight="1" x14ac:dyDescent="0.3">
      <c r="C165" s="90"/>
    </row>
    <row r="166" spans="3:3" ht="15.75" customHeight="1" x14ac:dyDescent="0.3">
      <c r="C166" s="90"/>
    </row>
    <row r="167" spans="3:3" ht="15.75" customHeight="1" x14ac:dyDescent="0.3">
      <c r="C167" s="90"/>
    </row>
    <row r="168" spans="3:3" ht="15.75" customHeight="1" x14ac:dyDescent="0.3">
      <c r="C168" s="90"/>
    </row>
    <row r="169" spans="3:3" ht="15.75" customHeight="1" x14ac:dyDescent="0.3">
      <c r="C169" s="90"/>
    </row>
    <row r="170" spans="3:3" ht="15.75" customHeight="1" x14ac:dyDescent="0.3">
      <c r="C170" s="90"/>
    </row>
    <row r="171" spans="3:3" ht="15.75" customHeight="1" x14ac:dyDescent="0.3">
      <c r="C171" s="90"/>
    </row>
    <row r="172" spans="3:3" ht="15.75" customHeight="1" x14ac:dyDescent="0.3">
      <c r="C172" s="90"/>
    </row>
    <row r="173" spans="3:3" ht="15.75" customHeight="1" x14ac:dyDescent="0.3">
      <c r="C173" s="90"/>
    </row>
    <row r="174" spans="3:3" ht="15.75" customHeight="1" x14ac:dyDescent="0.3">
      <c r="C174" s="90"/>
    </row>
    <row r="175" spans="3:3" ht="15.75" customHeight="1" x14ac:dyDescent="0.3">
      <c r="C175" s="90"/>
    </row>
    <row r="176" spans="3:3" ht="15.75" customHeight="1" x14ac:dyDescent="0.3">
      <c r="C176" s="90"/>
    </row>
    <row r="177" spans="3:3" ht="15.75" customHeight="1" x14ac:dyDescent="0.3">
      <c r="C177" s="90"/>
    </row>
    <row r="178" spans="3:3" ht="15.75" customHeight="1" x14ac:dyDescent="0.3">
      <c r="C178" s="90"/>
    </row>
    <row r="179" spans="3:3" ht="15.75" customHeight="1" x14ac:dyDescent="0.3">
      <c r="C179" s="90"/>
    </row>
    <row r="180" spans="3:3" ht="15.75" customHeight="1" x14ac:dyDescent="0.3">
      <c r="C180" s="90"/>
    </row>
    <row r="181" spans="3:3" ht="15.75" customHeight="1" x14ac:dyDescent="0.3">
      <c r="C181" s="90"/>
    </row>
    <row r="182" spans="3:3" ht="15.75" customHeight="1" x14ac:dyDescent="0.3">
      <c r="C182" s="90"/>
    </row>
    <row r="183" spans="3:3" ht="15.75" customHeight="1" x14ac:dyDescent="0.3">
      <c r="C183" s="90"/>
    </row>
    <row r="184" spans="3:3" ht="15.75" customHeight="1" x14ac:dyDescent="0.3">
      <c r="C184" s="90"/>
    </row>
    <row r="185" spans="3:3" ht="15.75" customHeight="1" x14ac:dyDescent="0.3">
      <c r="C185" s="90"/>
    </row>
    <row r="186" spans="3:3" ht="15.75" customHeight="1" x14ac:dyDescent="0.3">
      <c r="C186" s="90"/>
    </row>
    <row r="187" spans="3:3" ht="15.75" customHeight="1" x14ac:dyDescent="0.3">
      <c r="C187" s="90"/>
    </row>
    <row r="188" spans="3:3" ht="15.75" customHeight="1" x14ac:dyDescent="0.3">
      <c r="C188" s="90"/>
    </row>
    <row r="189" spans="3:3" ht="15.75" customHeight="1" x14ac:dyDescent="0.3">
      <c r="C189" s="90"/>
    </row>
    <row r="190" spans="3:3" ht="15.75" customHeight="1" x14ac:dyDescent="0.3">
      <c r="C190" s="90"/>
    </row>
    <row r="191" spans="3:3" ht="15.75" customHeight="1" x14ac:dyDescent="0.3">
      <c r="C191" s="90"/>
    </row>
    <row r="192" spans="3:3" ht="15.75" customHeight="1" x14ac:dyDescent="0.3">
      <c r="C192" s="90"/>
    </row>
    <row r="193" spans="3:3" ht="15.75" customHeight="1" x14ac:dyDescent="0.3">
      <c r="C193" s="90"/>
    </row>
    <row r="194" spans="3:3" ht="15.75" customHeight="1" x14ac:dyDescent="0.3">
      <c r="C194" s="90"/>
    </row>
    <row r="195" spans="3:3" ht="15.75" customHeight="1" x14ac:dyDescent="0.3">
      <c r="C195" s="90"/>
    </row>
    <row r="196" spans="3:3" ht="15.75" customHeight="1" x14ac:dyDescent="0.3">
      <c r="C196" s="90"/>
    </row>
    <row r="197" spans="3:3" ht="15.75" customHeight="1" x14ac:dyDescent="0.3">
      <c r="C197" s="90"/>
    </row>
    <row r="198" spans="3:3" ht="15.75" customHeight="1" x14ac:dyDescent="0.3">
      <c r="C198" s="90"/>
    </row>
    <row r="199" spans="3:3" ht="15.75" customHeight="1" x14ac:dyDescent="0.3">
      <c r="C199" s="90"/>
    </row>
    <row r="200" spans="3:3" ht="15.75" customHeight="1" x14ac:dyDescent="0.3">
      <c r="C200" s="90"/>
    </row>
    <row r="201" spans="3:3" ht="15.75" customHeight="1" x14ac:dyDescent="0.3">
      <c r="C201" s="90"/>
    </row>
    <row r="202" spans="3:3" ht="15.75" customHeight="1" x14ac:dyDescent="0.3">
      <c r="C202" s="90"/>
    </row>
    <row r="203" spans="3:3" ht="15.75" customHeight="1" x14ac:dyDescent="0.3">
      <c r="C203" s="90"/>
    </row>
    <row r="204" spans="3:3" ht="15.75" customHeight="1" x14ac:dyDescent="0.3">
      <c r="C204" s="90"/>
    </row>
    <row r="205" spans="3:3" ht="15.75" customHeight="1" x14ac:dyDescent="0.3">
      <c r="C205" s="90"/>
    </row>
    <row r="206" spans="3:3" ht="15.75" customHeight="1" x14ac:dyDescent="0.3">
      <c r="C206" s="90"/>
    </row>
    <row r="207" spans="3:3" ht="15.75" customHeight="1" x14ac:dyDescent="0.3">
      <c r="C207" s="90"/>
    </row>
    <row r="208" spans="3:3" ht="15.75" customHeight="1" x14ac:dyDescent="0.3">
      <c r="C208" s="90"/>
    </row>
    <row r="209" spans="3:3" ht="15.75" customHeight="1" x14ac:dyDescent="0.3">
      <c r="C209" s="90"/>
    </row>
    <row r="210" spans="3:3" ht="15.75" customHeight="1" x14ac:dyDescent="0.3">
      <c r="C210" s="90"/>
    </row>
    <row r="211" spans="3:3" ht="15.75" customHeight="1" x14ac:dyDescent="0.3">
      <c r="C211" s="90"/>
    </row>
    <row r="212" spans="3:3" ht="15.75" customHeight="1" x14ac:dyDescent="0.3">
      <c r="C212" s="90"/>
    </row>
    <row r="213" spans="3:3" ht="15.75" customHeight="1" x14ac:dyDescent="0.3">
      <c r="C213" s="90"/>
    </row>
    <row r="214" spans="3:3" ht="15.75" customHeight="1" x14ac:dyDescent="0.3">
      <c r="C214" s="90"/>
    </row>
    <row r="215" spans="3:3" ht="15.75" customHeight="1" x14ac:dyDescent="0.3">
      <c r="C215" s="90"/>
    </row>
    <row r="216" spans="3:3" ht="15.75" customHeight="1" x14ac:dyDescent="0.3">
      <c r="C216" s="90"/>
    </row>
    <row r="217" spans="3:3" ht="15.75" customHeight="1" x14ac:dyDescent="0.3">
      <c r="C217" s="90"/>
    </row>
    <row r="218" spans="3:3" ht="15.75" customHeight="1" x14ac:dyDescent="0.3">
      <c r="C218" s="90"/>
    </row>
    <row r="219" spans="3:3" ht="15.75" customHeight="1" x14ac:dyDescent="0.3">
      <c r="C219" s="90"/>
    </row>
    <row r="220" spans="3:3" ht="15.75" customHeight="1" x14ac:dyDescent="0.3">
      <c r="C220" s="90"/>
    </row>
    <row r="221" spans="3:3" ht="15.75" customHeight="1" x14ac:dyDescent="0.3">
      <c r="C221" s="90"/>
    </row>
    <row r="222" spans="3:3" ht="15.75" customHeight="1" x14ac:dyDescent="0.3">
      <c r="C222" s="90"/>
    </row>
    <row r="223" spans="3:3" ht="15.75" customHeight="1" x14ac:dyDescent="0.3">
      <c r="C223" s="90"/>
    </row>
    <row r="224" spans="3:3" ht="15.75" customHeight="1" x14ac:dyDescent="0.3">
      <c r="C224" s="90"/>
    </row>
    <row r="225" spans="3:3" ht="15.75" customHeight="1" x14ac:dyDescent="0.3">
      <c r="C225" s="90"/>
    </row>
    <row r="226" spans="3:3" ht="15.75" customHeight="1" x14ac:dyDescent="0.3">
      <c r="C226" s="90"/>
    </row>
    <row r="227" spans="3:3" ht="15.75" customHeight="1" x14ac:dyDescent="0.3">
      <c r="C227" s="90"/>
    </row>
    <row r="228" spans="3:3" ht="15.75" customHeight="1" x14ac:dyDescent="0.3">
      <c r="C228" s="90"/>
    </row>
    <row r="229" spans="3:3" ht="15.75" customHeight="1" x14ac:dyDescent="0.3">
      <c r="C229" s="90"/>
    </row>
    <row r="230" spans="3:3" ht="15.75" customHeight="1" x14ac:dyDescent="0.3">
      <c r="C230" s="90"/>
    </row>
    <row r="231" spans="3:3" ht="15.75" customHeight="1" x14ac:dyDescent="0.3">
      <c r="C231" s="90"/>
    </row>
    <row r="232" spans="3:3" ht="15.75" customHeight="1" x14ac:dyDescent="0.3">
      <c r="C232" s="90"/>
    </row>
    <row r="233" spans="3:3" ht="15.75" customHeight="1" x14ac:dyDescent="0.3">
      <c r="C233" s="90"/>
    </row>
    <row r="234" spans="3:3" ht="15.75" customHeight="1" x14ac:dyDescent="0.3">
      <c r="C234" s="90"/>
    </row>
    <row r="235" spans="3:3" ht="15.75" customHeight="1" x14ac:dyDescent="0.3">
      <c r="C235" s="90"/>
    </row>
    <row r="236" spans="3:3" ht="15.75" customHeight="1" x14ac:dyDescent="0.3">
      <c r="C236" s="90"/>
    </row>
    <row r="237" spans="3:3" ht="15.75" customHeight="1" x14ac:dyDescent="0.3">
      <c r="C237" s="90"/>
    </row>
    <row r="238" spans="3:3" ht="15.75" customHeight="1" x14ac:dyDescent="0.3">
      <c r="C238" s="90"/>
    </row>
    <row r="239" spans="3:3" ht="15.75" customHeight="1" x14ac:dyDescent="0.3">
      <c r="C239" s="90"/>
    </row>
    <row r="240" spans="3:3" ht="15.75" customHeight="1" x14ac:dyDescent="0.3">
      <c r="C240" s="90"/>
    </row>
    <row r="241" spans="3:3" ht="15.75" customHeight="1" x14ac:dyDescent="0.3">
      <c r="C241" s="90"/>
    </row>
    <row r="242" spans="3:3" ht="15.75" customHeight="1" x14ac:dyDescent="0.3">
      <c r="C242" s="90"/>
    </row>
    <row r="243" spans="3:3" ht="15.75" customHeight="1" x14ac:dyDescent="0.3">
      <c r="C243" s="90"/>
    </row>
    <row r="244" spans="3:3" ht="15.75" customHeight="1" x14ac:dyDescent="0.3">
      <c r="C244" s="90"/>
    </row>
    <row r="245" spans="3:3" ht="15.75" customHeight="1" x14ac:dyDescent="0.3">
      <c r="C245" s="90"/>
    </row>
    <row r="246" spans="3:3" ht="15.75" customHeight="1" x14ac:dyDescent="0.3">
      <c r="C246" s="90"/>
    </row>
    <row r="247" spans="3:3" ht="15.75" customHeight="1" x14ac:dyDescent="0.3">
      <c r="C247" s="90"/>
    </row>
    <row r="248" spans="3:3" ht="15.75" customHeight="1" x14ac:dyDescent="0.3">
      <c r="C248" s="90"/>
    </row>
    <row r="249" spans="3:3" ht="15.75" customHeight="1" x14ac:dyDescent="0.3">
      <c r="C249" s="90"/>
    </row>
    <row r="250" spans="3:3" ht="15.75" customHeight="1" x14ac:dyDescent="0.3">
      <c r="C250" s="90"/>
    </row>
    <row r="251" spans="3:3" ht="15.75" customHeight="1" x14ac:dyDescent="0.3">
      <c r="C251" s="90"/>
    </row>
    <row r="252" spans="3:3" ht="15.75" customHeight="1" x14ac:dyDescent="0.3">
      <c r="C252" s="90"/>
    </row>
    <row r="253" spans="3:3" ht="15.75" customHeight="1" x14ac:dyDescent="0.3">
      <c r="C253" s="90"/>
    </row>
    <row r="254" spans="3:3" ht="15.75" customHeight="1" x14ac:dyDescent="0.3">
      <c r="C254" s="90"/>
    </row>
    <row r="255" spans="3:3" ht="15.75" customHeight="1" x14ac:dyDescent="0.3">
      <c r="C255" s="90"/>
    </row>
    <row r="256" spans="3:3" ht="15.75" customHeight="1" x14ac:dyDescent="0.3">
      <c r="C256" s="90"/>
    </row>
    <row r="257" spans="3:3" ht="15.75" customHeight="1" x14ac:dyDescent="0.3">
      <c r="C257" s="90"/>
    </row>
    <row r="258" spans="3:3" ht="15.75" customHeight="1" x14ac:dyDescent="0.3">
      <c r="C258" s="90"/>
    </row>
    <row r="259" spans="3:3" ht="15.75" customHeight="1" x14ac:dyDescent="0.3">
      <c r="C259" s="90"/>
    </row>
    <row r="260" spans="3:3" ht="15.75" customHeight="1" x14ac:dyDescent="0.3">
      <c r="C260" s="90"/>
    </row>
    <row r="261" spans="3:3" ht="15.75" customHeight="1" x14ac:dyDescent="0.3">
      <c r="C261" s="90"/>
    </row>
    <row r="262" spans="3:3" ht="15.75" customHeight="1" x14ac:dyDescent="0.3">
      <c r="C262" s="90"/>
    </row>
    <row r="263" spans="3:3" ht="15.75" customHeight="1" x14ac:dyDescent="0.3">
      <c r="C263" s="90"/>
    </row>
    <row r="264" spans="3:3" ht="15.75" customHeight="1" x14ac:dyDescent="0.3">
      <c r="C264" s="90"/>
    </row>
    <row r="265" spans="3:3" ht="15.75" customHeight="1" x14ac:dyDescent="0.3">
      <c r="C265" s="90"/>
    </row>
    <row r="266" spans="3:3" ht="15.75" customHeight="1" x14ac:dyDescent="0.3">
      <c r="C266" s="90"/>
    </row>
    <row r="267" spans="3:3" ht="15.75" customHeight="1" x14ac:dyDescent="0.3">
      <c r="C267" s="90"/>
    </row>
    <row r="268" spans="3:3" ht="15.75" customHeight="1" x14ac:dyDescent="0.3">
      <c r="C268" s="90"/>
    </row>
    <row r="269" spans="3:3" ht="15.75" customHeight="1" x14ac:dyDescent="0.3">
      <c r="C269" s="90"/>
    </row>
    <row r="270" spans="3:3" ht="15.75" customHeight="1" x14ac:dyDescent="0.3">
      <c r="C270" s="90"/>
    </row>
    <row r="271" spans="3:3" ht="15.75" customHeight="1" x14ac:dyDescent="0.3">
      <c r="C271" s="90"/>
    </row>
    <row r="272" spans="3:3" ht="15.75" customHeight="1" x14ac:dyDescent="0.3">
      <c r="C272" s="90"/>
    </row>
    <row r="273" spans="3:3" ht="15.75" customHeight="1" x14ac:dyDescent="0.3">
      <c r="C273" s="90"/>
    </row>
    <row r="274" spans="3:3" ht="15.75" customHeight="1" x14ac:dyDescent="0.3">
      <c r="C274" s="90"/>
    </row>
    <row r="275" spans="3:3" ht="15.75" customHeight="1" x14ac:dyDescent="0.3">
      <c r="C275" s="90"/>
    </row>
    <row r="276" spans="3:3" ht="15.75" customHeight="1" x14ac:dyDescent="0.3">
      <c r="C276" s="90"/>
    </row>
    <row r="277" spans="3:3" ht="15.75" customHeight="1" x14ac:dyDescent="0.3">
      <c r="C277" s="90"/>
    </row>
    <row r="278" spans="3:3" ht="15.75" customHeight="1" x14ac:dyDescent="0.3">
      <c r="C278" s="90"/>
    </row>
    <row r="279" spans="3:3" ht="15.75" customHeight="1" x14ac:dyDescent="0.3">
      <c r="C279" s="90"/>
    </row>
    <row r="280" spans="3:3" ht="15.75" customHeight="1" x14ac:dyDescent="0.3">
      <c r="C280" s="90"/>
    </row>
    <row r="281" spans="3:3" ht="15.75" customHeight="1" x14ac:dyDescent="0.3">
      <c r="C281" s="90"/>
    </row>
    <row r="282" spans="3:3" ht="15.75" customHeight="1" x14ac:dyDescent="0.3">
      <c r="C282" s="90"/>
    </row>
    <row r="283" spans="3:3" ht="15.75" customHeight="1" x14ac:dyDescent="0.3">
      <c r="C283" s="90"/>
    </row>
    <row r="284" spans="3:3" ht="15.75" customHeight="1" x14ac:dyDescent="0.3">
      <c r="C284" s="90"/>
    </row>
    <row r="285" spans="3:3" ht="15.75" customHeight="1" x14ac:dyDescent="0.3">
      <c r="C285" s="90"/>
    </row>
    <row r="286" spans="3:3" ht="15.75" customHeight="1" x14ac:dyDescent="0.3">
      <c r="C286" s="90"/>
    </row>
    <row r="287" spans="3:3" ht="15.75" customHeight="1" x14ac:dyDescent="0.3">
      <c r="C287" s="90"/>
    </row>
    <row r="288" spans="3:3" ht="15.75" customHeight="1" x14ac:dyDescent="0.3">
      <c r="C288" s="90"/>
    </row>
    <row r="289" spans="3:3" ht="15.75" customHeight="1" x14ac:dyDescent="0.3">
      <c r="C289" s="90"/>
    </row>
    <row r="290" spans="3:3" ht="15.75" customHeight="1" x14ac:dyDescent="0.3">
      <c r="C290" s="90"/>
    </row>
    <row r="291" spans="3:3" ht="15.75" customHeight="1" x14ac:dyDescent="0.3">
      <c r="C291" s="90"/>
    </row>
    <row r="292" spans="3:3" ht="15.75" customHeight="1" x14ac:dyDescent="0.3">
      <c r="C292" s="90"/>
    </row>
    <row r="293" spans="3:3" ht="15.75" customHeight="1" x14ac:dyDescent="0.3">
      <c r="C293" s="90"/>
    </row>
    <row r="294" spans="3:3" ht="15.75" customHeight="1" x14ac:dyDescent="0.3">
      <c r="C294" s="90"/>
    </row>
    <row r="295" spans="3:3" ht="15.75" customHeight="1" x14ac:dyDescent="0.3">
      <c r="C295" s="90"/>
    </row>
    <row r="296" spans="3:3" ht="15.75" customHeight="1" x14ac:dyDescent="0.3">
      <c r="C296" s="90"/>
    </row>
    <row r="297" spans="3:3" ht="15.75" customHeight="1" x14ac:dyDescent="0.3">
      <c r="C297" s="90"/>
    </row>
    <row r="298" spans="3:3" ht="15.75" customHeight="1" x14ac:dyDescent="0.3">
      <c r="C298" s="90"/>
    </row>
    <row r="299" spans="3:3" ht="15.75" customHeight="1" x14ac:dyDescent="0.3">
      <c r="C299" s="90"/>
    </row>
    <row r="300" spans="3:3" ht="15.75" customHeight="1" x14ac:dyDescent="0.3">
      <c r="C300" s="90"/>
    </row>
    <row r="301" spans="3:3" ht="15.75" customHeight="1" x14ac:dyDescent="0.3">
      <c r="C301" s="90"/>
    </row>
    <row r="302" spans="3:3" ht="15.75" customHeight="1" x14ac:dyDescent="0.3">
      <c r="C302" s="90"/>
    </row>
    <row r="303" spans="3:3" ht="15.75" customHeight="1" x14ac:dyDescent="0.3">
      <c r="C303" s="90"/>
    </row>
    <row r="304" spans="3:3" ht="15.75" customHeight="1" x14ac:dyDescent="0.3">
      <c r="C304" s="90"/>
    </row>
    <row r="305" spans="3:3" ht="15.75" customHeight="1" x14ac:dyDescent="0.3">
      <c r="C305" s="90"/>
    </row>
    <row r="306" spans="3:3" ht="15.75" customHeight="1" x14ac:dyDescent="0.3">
      <c r="C306" s="90"/>
    </row>
    <row r="307" spans="3:3" ht="15.75" customHeight="1" x14ac:dyDescent="0.3">
      <c r="C307" s="90"/>
    </row>
    <row r="308" spans="3:3" ht="15.75" customHeight="1" x14ac:dyDescent="0.3">
      <c r="C308" s="90"/>
    </row>
    <row r="309" spans="3:3" ht="15.75" customHeight="1" x14ac:dyDescent="0.3">
      <c r="C309" s="90"/>
    </row>
    <row r="310" spans="3:3" ht="15.75" customHeight="1" x14ac:dyDescent="0.3">
      <c r="C310" s="90"/>
    </row>
    <row r="311" spans="3:3" ht="15.75" customHeight="1" x14ac:dyDescent="0.3">
      <c r="C311" s="90"/>
    </row>
    <row r="312" spans="3:3" ht="15.75" customHeight="1" x14ac:dyDescent="0.3">
      <c r="C312" s="90"/>
    </row>
    <row r="313" spans="3:3" ht="15.75" customHeight="1" x14ac:dyDescent="0.3">
      <c r="C313" s="90"/>
    </row>
    <row r="314" spans="3:3" ht="15.75" customHeight="1" x14ac:dyDescent="0.3">
      <c r="C314" s="90"/>
    </row>
    <row r="315" spans="3:3" ht="15.75" customHeight="1" x14ac:dyDescent="0.3">
      <c r="C315" s="90"/>
    </row>
    <row r="316" spans="3:3" ht="15.75" customHeight="1" x14ac:dyDescent="0.3">
      <c r="C316" s="90"/>
    </row>
    <row r="317" spans="3:3" ht="15.75" customHeight="1" x14ac:dyDescent="0.3">
      <c r="C317" s="90"/>
    </row>
    <row r="318" spans="3:3" ht="15.75" customHeight="1" x14ac:dyDescent="0.3">
      <c r="C318" s="90"/>
    </row>
    <row r="319" spans="3:3" ht="15.75" customHeight="1" x14ac:dyDescent="0.3">
      <c r="C319" s="90"/>
    </row>
    <row r="320" spans="3:3" ht="15.75" customHeight="1" x14ac:dyDescent="0.3">
      <c r="C320" s="90"/>
    </row>
    <row r="321" spans="3:3" ht="15.75" customHeight="1" x14ac:dyDescent="0.3">
      <c r="C321" s="90"/>
    </row>
    <row r="322" spans="3:3" ht="15.75" customHeight="1" x14ac:dyDescent="0.3">
      <c r="C322" s="90"/>
    </row>
    <row r="323" spans="3:3" ht="15.75" customHeight="1" x14ac:dyDescent="0.3">
      <c r="C323" s="90"/>
    </row>
    <row r="324" spans="3:3" ht="15.75" customHeight="1" x14ac:dyDescent="0.3">
      <c r="C324" s="90"/>
    </row>
    <row r="325" spans="3:3" ht="15.75" customHeight="1" x14ac:dyDescent="0.3">
      <c r="C325" s="90"/>
    </row>
    <row r="326" spans="3:3" ht="15.75" customHeight="1" x14ac:dyDescent="0.3">
      <c r="C326" s="90"/>
    </row>
    <row r="327" spans="3:3" ht="15.75" customHeight="1" x14ac:dyDescent="0.3">
      <c r="C327" s="90"/>
    </row>
    <row r="328" spans="3:3" ht="15.75" customHeight="1" x14ac:dyDescent="0.3">
      <c r="C328" s="90"/>
    </row>
    <row r="329" spans="3:3" ht="15.75" customHeight="1" x14ac:dyDescent="0.3">
      <c r="C329" s="90"/>
    </row>
    <row r="330" spans="3:3" ht="15.75" customHeight="1" x14ac:dyDescent="0.3">
      <c r="C330" s="90"/>
    </row>
    <row r="331" spans="3:3" ht="15.75" customHeight="1" x14ac:dyDescent="0.3">
      <c r="C331" s="90"/>
    </row>
    <row r="332" spans="3:3" ht="15.75" customHeight="1" x14ac:dyDescent="0.3">
      <c r="C332" s="90"/>
    </row>
    <row r="333" spans="3:3" ht="15.75" customHeight="1" x14ac:dyDescent="0.3">
      <c r="C333" s="90"/>
    </row>
    <row r="334" spans="3:3" ht="15.75" customHeight="1" x14ac:dyDescent="0.3">
      <c r="C334" s="90"/>
    </row>
    <row r="335" spans="3:3" ht="15.75" customHeight="1" x14ac:dyDescent="0.3">
      <c r="C335" s="90"/>
    </row>
    <row r="336" spans="3:3" ht="15.75" customHeight="1" x14ac:dyDescent="0.3">
      <c r="C336" s="90"/>
    </row>
    <row r="337" spans="3:3" ht="15.75" customHeight="1" x14ac:dyDescent="0.3">
      <c r="C337" s="90"/>
    </row>
    <row r="338" spans="3:3" ht="15.75" customHeight="1" x14ac:dyDescent="0.3">
      <c r="C338" s="90"/>
    </row>
    <row r="339" spans="3:3" ht="15.75" customHeight="1" x14ac:dyDescent="0.3">
      <c r="C339" s="90"/>
    </row>
    <row r="340" spans="3:3" ht="15.75" customHeight="1" x14ac:dyDescent="0.3">
      <c r="C340" s="90"/>
    </row>
    <row r="341" spans="3:3" ht="15.75" customHeight="1" x14ac:dyDescent="0.3">
      <c r="C341" s="90"/>
    </row>
    <row r="342" spans="3:3" ht="15.75" customHeight="1" x14ac:dyDescent="0.3">
      <c r="C342" s="90"/>
    </row>
    <row r="343" spans="3:3" ht="15.75" customHeight="1" x14ac:dyDescent="0.3">
      <c r="C343" s="90"/>
    </row>
    <row r="344" spans="3:3" ht="15.75" customHeight="1" x14ac:dyDescent="0.3">
      <c r="C344" s="90"/>
    </row>
    <row r="345" spans="3:3" ht="15.75" customHeight="1" x14ac:dyDescent="0.3">
      <c r="C345" s="90"/>
    </row>
    <row r="346" spans="3:3" ht="15.75" customHeight="1" x14ac:dyDescent="0.3">
      <c r="C346" s="90"/>
    </row>
    <row r="347" spans="3:3" ht="15.75" customHeight="1" x14ac:dyDescent="0.3">
      <c r="C347" s="90"/>
    </row>
    <row r="348" spans="3:3" ht="15.75" customHeight="1" x14ac:dyDescent="0.3">
      <c r="C348" s="90"/>
    </row>
    <row r="349" spans="3:3" ht="15.75" customHeight="1" x14ac:dyDescent="0.3">
      <c r="C349" s="90"/>
    </row>
    <row r="350" spans="3:3" ht="15.75" customHeight="1" x14ac:dyDescent="0.3">
      <c r="C350" s="90"/>
    </row>
    <row r="351" spans="3:3" ht="15.75" customHeight="1" x14ac:dyDescent="0.3">
      <c r="C351" s="90"/>
    </row>
    <row r="352" spans="3:3" ht="15.75" customHeight="1" x14ac:dyDescent="0.3">
      <c r="C352" s="90"/>
    </row>
    <row r="353" spans="3:3" ht="15.75" customHeight="1" x14ac:dyDescent="0.3">
      <c r="C353" s="90"/>
    </row>
    <row r="354" spans="3:3" ht="15.75" customHeight="1" x14ac:dyDescent="0.3">
      <c r="C354" s="90"/>
    </row>
    <row r="355" spans="3:3" ht="15.75" customHeight="1" x14ac:dyDescent="0.3">
      <c r="C355" s="90"/>
    </row>
    <row r="356" spans="3:3" ht="15.75" customHeight="1" x14ac:dyDescent="0.3">
      <c r="C356" s="90"/>
    </row>
    <row r="357" spans="3:3" ht="15.75" customHeight="1" x14ac:dyDescent="0.3">
      <c r="C357" s="90"/>
    </row>
    <row r="358" spans="3:3" ht="15.75" customHeight="1" x14ac:dyDescent="0.3">
      <c r="C358" s="90"/>
    </row>
    <row r="359" spans="3:3" ht="15.75" customHeight="1" x14ac:dyDescent="0.3">
      <c r="C359" s="90"/>
    </row>
    <row r="360" spans="3:3" ht="15.75" customHeight="1" x14ac:dyDescent="0.3">
      <c r="C360" s="90"/>
    </row>
    <row r="361" spans="3:3" ht="15.75" customHeight="1" x14ac:dyDescent="0.3">
      <c r="C361" s="90"/>
    </row>
    <row r="362" spans="3:3" ht="15.75" customHeight="1" x14ac:dyDescent="0.3">
      <c r="C362" s="90"/>
    </row>
    <row r="363" spans="3:3" ht="15.75" customHeight="1" x14ac:dyDescent="0.3">
      <c r="C363" s="90"/>
    </row>
    <row r="364" spans="3:3" ht="15.75" customHeight="1" x14ac:dyDescent="0.3">
      <c r="C364" s="90"/>
    </row>
    <row r="365" spans="3:3" ht="15.75" customHeight="1" x14ac:dyDescent="0.3">
      <c r="C365" s="90"/>
    </row>
    <row r="366" spans="3:3" ht="15.75" customHeight="1" x14ac:dyDescent="0.3">
      <c r="C366" s="90"/>
    </row>
    <row r="367" spans="3:3" ht="15.75" customHeight="1" x14ac:dyDescent="0.3">
      <c r="C367" s="90"/>
    </row>
    <row r="368" spans="3:3" ht="15.75" customHeight="1" x14ac:dyDescent="0.3">
      <c r="C368" s="90"/>
    </row>
    <row r="369" spans="3:3" ht="15.75" customHeight="1" x14ac:dyDescent="0.3">
      <c r="C369" s="90"/>
    </row>
    <row r="370" spans="3:3" ht="15.75" customHeight="1" x14ac:dyDescent="0.3">
      <c r="C370" s="90"/>
    </row>
    <row r="371" spans="3:3" ht="15.75" customHeight="1" x14ac:dyDescent="0.3">
      <c r="C371" s="90"/>
    </row>
    <row r="372" spans="3:3" ht="15.75" customHeight="1" x14ac:dyDescent="0.3">
      <c r="C372" s="90"/>
    </row>
    <row r="373" spans="3:3" ht="15.75" customHeight="1" x14ac:dyDescent="0.3">
      <c r="C373" s="90"/>
    </row>
    <row r="374" spans="3:3" ht="15.75" customHeight="1" x14ac:dyDescent="0.3">
      <c r="C374" s="90"/>
    </row>
    <row r="375" spans="3:3" ht="15.75" customHeight="1" x14ac:dyDescent="0.3">
      <c r="C375" s="90"/>
    </row>
    <row r="376" spans="3:3" ht="15.75" customHeight="1" x14ac:dyDescent="0.3">
      <c r="C376" s="90"/>
    </row>
    <row r="377" spans="3:3" ht="15.75" customHeight="1" x14ac:dyDescent="0.3">
      <c r="C377" s="90"/>
    </row>
    <row r="378" spans="3:3" ht="15.75" customHeight="1" x14ac:dyDescent="0.3">
      <c r="C378" s="90"/>
    </row>
    <row r="379" spans="3:3" ht="15.75" customHeight="1" x14ac:dyDescent="0.3">
      <c r="C379" s="90"/>
    </row>
    <row r="380" spans="3:3" ht="15.75" customHeight="1" x14ac:dyDescent="0.3">
      <c r="C380" s="90"/>
    </row>
    <row r="381" spans="3:3" ht="15.75" customHeight="1" x14ac:dyDescent="0.3">
      <c r="C381" s="90"/>
    </row>
    <row r="382" spans="3:3" ht="15.75" customHeight="1" x14ac:dyDescent="0.3">
      <c r="C382" s="90"/>
    </row>
    <row r="383" spans="3:3" ht="15.75" customHeight="1" x14ac:dyDescent="0.3">
      <c r="C383" s="90"/>
    </row>
    <row r="384" spans="3:3" ht="15.75" customHeight="1" x14ac:dyDescent="0.3">
      <c r="C384" s="90"/>
    </row>
    <row r="385" spans="3:3" ht="15.75" customHeight="1" x14ac:dyDescent="0.3">
      <c r="C385" s="90"/>
    </row>
    <row r="386" spans="3:3" ht="15.75" customHeight="1" x14ac:dyDescent="0.3">
      <c r="C386" s="90"/>
    </row>
    <row r="387" spans="3:3" ht="15.75" customHeight="1" x14ac:dyDescent="0.3">
      <c r="C387" s="90"/>
    </row>
    <row r="388" spans="3:3" ht="15.75" customHeight="1" x14ac:dyDescent="0.3">
      <c r="C388" s="90"/>
    </row>
    <row r="389" spans="3:3" ht="15.75" customHeight="1" x14ac:dyDescent="0.3">
      <c r="C389" s="90"/>
    </row>
    <row r="390" spans="3:3" ht="15.75" customHeight="1" x14ac:dyDescent="0.3">
      <c r="C390" s="90"/>
    </row>
    <row r="391" spans="3:3" ht="15.75" customHeight="1" x14ac:dyDescent="0.3">
      <c r="C391" s="90"/>
    </row>
    <row r="392" spans="3:3" ht="15.75" customHeight="1" x14ac:dyDescent="0.3">
      <c r="C392" s="90"/>
    </row>
    <row r="393" spans="3:3" ht="15.75" customHeight="1" x14ac:dyDescent="0.3">
      <c r="C393" s="90"/>
    </row>
    <row r="394" spans="3:3" ht="15.75" customHeight="1" x14ac:dyDescent="0.3">
      <c r="C394" s="90"/>
    </row>
    <row r="395" spans="3:3" ht="15.75" customHeight="1" x14ac:dyDescent="0.3">
      <c r="C395" s="90"/>
    </row>
    <row r="396" spans="3:3" ht="15.75" customHeight="1" x14ac:dyDescent="0.3">
      <c r="C396" s="90"/>
    </row>
    <row r="397" spans="3:3" ht="15.75" customHeight="1" x14ac:dyDescent="0.3">
      <c r="C397" s="90"/>
    </row>
    <row r="398" spans="3:3" ht="15.75" customHeight="1" x14ac:dyDescent="0.3">
      <c r="C398" s="90"/>
    </row>
    <row r="399" spans="3:3" ht="15.75" customHeight="1" x14ac:dyDescent="0.3">
      <c r="C399" s="90"/>
    </row>
    <row r="400" spans="3:3" ht="15.75" customHeight="1" x14ac:dyDescent="0.3">
      <c r="C400" s="90"/>
    </row>
    <row r="401" spans="3:3" ht="15.75" customHeight="1" x14ac:dyDescent="0.3">
      <c r="C401" s="90"/>
    </row>
    <row r="402" spans="3:3" ht="15.75" customHeight="1" x14ac:dyDescent="0.3">
      <c r="C402" s="90"/>
    </row>
    <row r="403" spans="3:3" ht="15.75" customHeight="1" x14ac:dyDescent="0.3">
      <c r="C403" s="90"/>
    </row>
    <row r="404" spans="3:3" ht="15.75" customHeight="1" x14ac:dyDescent="0.3">
      <c r="C404" s="90"/>
    </row>
    <row r="405" spans="3:3" ht="15.75" customHeight="1" x14ac:dyDescent="0.3">
      <c r="C405" s="90"/>
    </row>
    <row r="406" spans="3:3" ht="15.75" customHeight="1" x14ac:dyDescent="0.3">
      <c r="C406" s="90"/>
    </row>
    <row r="407" spans="3:3" ht="15.75" customHeight="1" x14ac:dyDescent="0.3">
      <c r="C407" s="90"/>
    </row>
    <row r="408" spans="3:3" ht="15.75" customHeight="1" x14ac:dyDescent="0.3">
      <c r="C408" s="90"/>
    </row>
    <row r="409" spans="3:3" ht="15.75" customHeight="1" x14ac:dyDescent="0.3">
      <c r="C409" s="90"/>
    </row>
    <row r="410" spans="3:3" ht="15.75" customHeight="1" x14ac:dyDescent="0.3">
      <c r="C410" s="90"/>
    </row>
    <row r="411" spans="3:3" ht="15.75" customHeight="1" x14ac:dyDescent="0.3">
      <c r="C411" s="90"/>
    </row>
    <row r="412" spans="3:3" ht="15.75" customHeight="1" x14ac:dyDescent="0.3">
      <c r="C412" s="90"/>
    </row>
    <row r="413" spans="3:3" ht="15.75" customHeight="1" x14ac:dyDescent="0.3">
      <c r="C413" s="90"/>
    </row>
    <row r="414" spans="3:3" ht="15.75" customHeight="1" x14ac:dyDescent="0.3">
      <c r="C414" s="90"/>
    </row>
    <row r="415" spans="3:3" ht="15.75" customHeight="1" x14ac:dyDescent="0.3">
      <c r="C415" s="90"/>
    </row>
    <row r="416" spans="3:3" ht="15.75" customHeight="1" x14ac:dyDescent="0.3">
      <c r="C416" s="90"/>
    </row>
    <row r="417" spans="3:3" ht="15.75" customHeight="1" x14ac:dyDescent="0.3">
      <c r="C417" s="90"/>
    </row>
    <row r="418" spans="3:3" ht="15.75" customHeight="1" x14ac:dyDescent="0.3">
      <c r="C418" s="90"/>
    </row>
    <row r="419" spans="3:3" ht="15.75" customHeight="1" x14ac:dyDescent="0.3">
      <c r="C419" s="90"/>
    </row>
    <row r="420" spans="3:3" ht="15.75" customHeight="1" x14ac:dyDescent="0.3">
      <c r="C420" s="90"/>
    </row>
    <row r="421" spans="3:3" ht="15.75" customHeight="1" x14ac:dyDescent="0.3">
      <c r="C421" s="90"/>
    </row>
    <row r="422" spans="3:3" ht="15.75" customHeight="1" x14ac:dyDescent="0.3">
      <c r="C422" s="90"/>
    </row>
    <row r="423" spans="3:3" ht="15.75" customHeight="1" x14ac:dyDescent="0.3">
      <c r="C423" s="90"/>
    </row>
    <row r="424" spans="3:3" ht="15.75" customHeight="1" x14ac:dyDescent="0.3">
      <c r="C424" s="90"/>
    </row>
    <row r="425" spans="3:3" ht="15.75" customHeight="1" x14ac:dyDescent="0.3">
      <c r="C425" s="90"/>
    </row>
    <row r="426" spans="3:3" ht="15.75" customHeight="1" x14ac:dyDescent="0.3">
      <c r="C426" s="90"/>
    </row>
    <row r="427" spans="3:3" ht="15.75" customHeight="1" x14ac:dyDescent="0.3">
      <c r="C427" s="90"/>
    </row>
    <row r="428" spans="3:3" ht="15.75" customHeight="1" x14ac:dyDescent="0.3">
      <c r="C428" s="90"/>
    </row>
    <row r="429" spans="3:3" ht="15.75" customHeight="1" x14ac:dyDescent="0.3">
      <c r="C429" s="90"/>
    </row>
    <row r="430" spans="3:3" ht="15.75" customHeight="1" x14ac:dyDescent="0.3">
      <c r="C430" s="90"/>
    </row>
    <row r="431" spans="3:3" ht="15.75" customHeight="1" x14ac:dyDescent="0.3">
      <c r="C431" s="90"/>
    </row>
    <row r="432" spans="3:3" ht="15.75" customHeight="1" x14ac:dyDescent="0.3">
      <c r="C432" s="90"/>
    </row>
    <row r="433" spans="3:3" ht="15.75" customHeight="1" x14ac:dyDescent="0.3">
      <c r="C433" s="90"/>
    </row>
    <row r="434" spans="3:3" ht="15.75" customHeight="1" x14ac:dyDescent="0.3">
      <c r="C434" s="90"/>
    </row>
    <row r="435" spans="3:3" ht="15.75" customHeight="1" x14ac:dyDescent="0.3">
      <c r="C435" s="90"/>
    </row>
    <row r="436" spans="3:3" ht="15.75" customHeight="1" x14ac:dyDescent="0.3">
      <c r="C436" s="90"/>
    </row>
    <row r="437" spans="3:3" ht="15.75" customHeight="1" x14ac:dyDescent="0.3">
      <c r="C437" s="90"/>
    </row>
    <row r="438" spans="3:3" ht="15.75" customHeight="1" x14ac:dyDescent="0.3">
      <c r="C438" s="90"/>
    </row>
    <row r="439" spans="3:3" ht="15.75" customHeight="1" x14ac:dyDescent="0.3">
      <c r="C439" s="90"/>
    </row>
    <row r="440" spans="3:3" ht="15.75" customHeight="1" x14ac:dyDescent="0.3">
      <c r="C440" s="90"/>
    </row>
    <row r="441" spans="3:3" ht="15.75" customHeight="1" x14ac:dyDescent="0.3">
      <c r="C441" s="90"/>
    </row>
    <row r="442" spans="3:3" ht="15.75" customHeight="1" x14ac:dyDescent="0.3">
      <c r="C442" s="90"/>
    </row>
    <row r="443" spans="3:3" ht="15.75" customHeight="1" x14ac:dyDescent="0.3">
      <c r="C443" s="90"/>
    </row>
    <row r="444" spans="3:3" ht="15.75" customHeight="1" x14ac:dyDescent="0.3">
      <c r="C444" s="90"/>
    </row>
    <row r="445" spans="3:3" ht="15.75" customHeight="1" x14ac:dyDescent="0.3">
      <c r="C445" s="90"/>
    </row>
    <row r="446" spans="3:3" ht="15.75" customHeight="1" x14ac:dyDescent="0.3">
      <c r="C446" s="90"/>
    </row>
    <row r="447" spans="3:3" ht="15.75" customHeight="1" x14ac:dyDescent="0.3">
      <c r="C447" s="90"/>
    </row>
    <row r="448" spans="3:3" ht="15.75" customHeight="1" x14ac:dyDescent="0.3">
      <c r="C448" s="90"/>
    </row>
    <row r="449" spans="3:3" ht="15.75" customHeight="1" x14ac:dyDescent="0.3">
      <c r="C449" s="90"/>
    </row>
    <row r="450" spans="3:3" ht="15.75" customHeight="1" x14ac:dyDescent="0.3">
      <c r="C450" s="90"/>
    </row>
    <row r="451" spans="3:3" ht="15.75" customHeight="1" x14ac:dyDescent="0.3">
      <c r="C451" s="90"/>
    </row>
    <row r="452" spans="3:3" ht="15.75" customHeight="1" x14ac:dyDescent="0.3">
      <c r="C452" s="90"/>
    </row>
    <row r="453" spans="3:3" ht="15.75" customHeight="1" x14ac:dyDescent="0.3">
      <c r="C453" s="90"/>
    </row>
    <row r="454" spans="3:3" ht="15.75" customHeight="1" x14ac:dyDescent="0.3">
      <c r="C454" s="90"/>
    </row>
    <row r="455" spans="3:3" ht="15.75" customHeight="1" x14ac:dyDescent="0.3">
      <c r="C455" s="90"/>
    </row>
    <row r="456" spans="3:3" ht="15.75" customHeight="1" x14ac:dyDescent="0.3">
      <c r="C456" s="90"/>
    </row>
    <row r="457" spans="3:3" ht="15.75" customHeight="1" x14ac:dyDescent="0.3">
      <c r="C457" s="90"/>
    </row>
    <row r="458" spans="3:3" ht="15.75" customHeight="1" x14ac:dyDescent="0.3">
      <c r="C458" s="90"/>
    </row>
    <row r="459" spans="3:3" ht="15.75" customHeight="1" x14ac:dyDescent="0.3">
      <c r="C459" s="90"/>
    </row>
    <row r="460" spans="3:3" ht="15.75" customHeight="1" x14ac:dyDescent="0.3">
      <c r="C460" s="90"/>
    </row>
    <row r="461" spans="3:3" ht="15.75" customHeight="1" x14ac:dyDescent="0.3">
      <c r="C461" s="90"/>
    </row>
    <row r="462" spans="3:3" ht="15.75" customHeight="1" x14ac:dyDescent="0.3">
      <c r="C462" s="90"/>
    </row>
    <row r="463" spans="3:3" ht="15.75" customHeight="1" x14ac:dyDescent="0.3">
      <c r="C463" s="90"/>
    </row>
    <row r="464" spans="3:3" ht="15.75" customHeight="1" x14ac:dyDescent="0.3">
      <c r="C464" s="90"/>
    </row>
    <row r="465" spans="3:3" ht="15.75" customHeight="1" x14ac:dyDescent="0.3">
      <c r="C465" s="90"/>
    </row>
    <row r="466" spans="3:3" ht="15.75" customHeight="1" x14ac:dyDescent="0.3">
      <c r="C466" s="90"/>
    </row>
    <row r="467" spans="3:3" ht="15.75" customHeight="1" x14ac:dyDescent="0.3">
      <c r="C467" s="90"/>
    </row>
    <row r="468" spans="3:3" ht="15.75" customHeight="1" x14ac:dyDescent="0.3">
      <c r="C468" s="90"/>
    </row>
    <row r="469" spans="3:3" ht="15.75" customHeight="1" x14ac:dyDescent="0.3">
      <c r="C469" s="90"/>
    </row>
    <row r="470" spans="3:3" ht="15.75" customHeight="1" x14ac:dyDescent="0.3">
      <c r="C470" s="90"/>
    </row>
    <row r="471" spans="3:3" ht="15.75" customHeight="1" x14ac:dyDescent="0.3">
      <c r="C471" s="90"/>
    </row>
    <row r="472" spans="3:3" ht="15.75" customHeight="1" x14ac:dyDescent="0.3">
      <c r="C472" s="90"/>
    </row>
    <row r="473" spans="3:3" ht="15.75" customHeight="1" x14ac:dyDescent="0.3">
      <c r="C473" s="90"/>
    </row>
    <row r="474" spans="3:3" ht="15.75" customHeight="1" x14ac:dyDescent="0.3">
      <c r="C474" s="90"/>
    </row>
    <row r="475" spans="3:3" ht="15.75" customHeight="1" x14ac:dyDescent="0.3">
      <c r="C475" s="90"/>
    </row>
    <row r="476" spans="3:3" ht="15.75" customHeight="1" x14ac:dyDescent="0.3">
      <c r="C476" s="90"/>
    </row>
    <row r="477" spans="3:3" ht="15.75" customHeight="1" x14ac:dyDescent="0.3">
      <c r="C477" s="90"/>
    </row>
    <row r="478" spans="3:3" ht="15.75" customHeight="1" x14ac:dyDescent="0.3">
      <c r="C478" s="90"/>
    </row>
    <row r="479" spans="3:3" ht="15.75" customHeight="1" x14ac:dyDescent="0.3">
      <c r="C479" s="90"/>
    </row>
    <row r="480" spans="3:3" ht="15.75" customHeight="1" x14ac:dyDescent="0.3">
      <c r="C480" s="90"/>
    </row>
    <row r="481" spans="3:3" ht="15.75" customHeight="1" x14ac:dyDescent="0.3">
      <c r="C481" s="90"/>
    </row>
    <row r="482" spans="3:3" ht="15.75" customHeight="1" x14ac:dyDescent="0.3">
      <c r="C482" s="90"/>
    </row>
    <row r="483" spans="3:3" ht="15.75" customHeight="1" x14ac:dyDescent="0.3">
      <c r="C483" s="90"/>
    </row>
    <row r="484" spans="3:3" ht="15.75" customHeight="1" x14ac:dyDescent="0.3">
      <c r="C484" s="90"/>
    </row>
    <row r="485" spans="3:3" ht="15.75" customHeight="1" x14ac:dyDescent="0.3">
      <c r="C485" s="90"/>
    </row>
    <row r="486" spans="3:3" ht="15.75" customHeight="1" x14ac:dyDescent="0.3">
      <c r="C486" s="90"/>
    </row>
    <row r="487" spans="3:3" ht="15.75" customHeight="1" x14ac:dyDescent="0.3">
      <c r="C487" s="90"/>
    </row>
    <row r="488" spans="3:3" ht="15.75" customHeight="1" x14ac:dyDescent="0.3">
      <c r="C488" s="90"/>
    </row>
    <row r="489" spans="3:3" ht="15.75" customHeight="1" x14ac:dyDescent="0.3">
      <c r="C489" s="90"/>
    </row>
    <row r="490" spans="3:3" ht="15.75" customHeight="1" x14ac:dyDescent="0.3">
      <c r="C490" s="90"/>
    </row>
    <row r="491" spans="3:3" ht="15.75" customHeight="1" x14ac:dyDescent="0.3">
      <c r="C491" s="90"/>
    </row>
    <row r="492" spans="3:3" ht="15.75" customHeight="1" x14ac:dyDescent="0.3">
      <c r="C492" s="90"/>
    </row>
    <row r="493" spans="3:3" ht="15.75" customHeight="1" x14ac:dyDescent="0.3">
      <c r="C493" s="90"/>
    </row>
    <row r="494" spans="3:3" ht="15.75" customHeight="1" x14ac:dyDescent="0.3">
      <c r="C494" s="90"/>
    </row>
    <row r="495" spans="3:3" ht="15.75" customHeight="1" x14ac:dyDescent="0.3">
      <c r="C495" s="90"/>
    </row>
    <row r="496" spans="3:3" ht="15.75" customHeight="1" x14ac:dyDescent="0.3">
      <c r="C496" s="90"/>
    </row>
    <row r="497" spans="3:3" ht="15.75" customHeight="1" x14ac:dyDescent="0.3">
      <c r="C497" s="90"/>
    </row>
    <row r="498" spans="3:3" ht="15.75" customHeight="1" x14ac:dyDescent="0.3">
      <c r="C498" s="90"/>
    </row>
    <row r="499" spans="3:3" ht="15.75" customHeight="1" x14ac:dyDescent="0.3">
      <c r="C499" s="90"/>
    </row>
    <row r="500" spans="3:3" ht="15.75" customHeight="1" x14ac:dyDescent="0.3">
      <c r="C500" s="90"/>
    </row>
    <row r="501" spans="3:3" ht="15.75" customHeight="1" x14ac:dyDescent="0.3">
      <c r="C501" s="90"/>
    </row>
    <row r="502" spans="3:3" ht="15.75" customHeight="1" x14ac:dyDescent="0.3">
      <c r="C502" s="90"/>
    </row>
    <row r="503" spans="3:3" ht="15.75" customHeight="1" x14ac:dyDescent="0.3">
      <c r="C503" s="90"/>
    </row>
    <row r="504" spans="3:3" ht="15.75" customHeight="1" x14ac:dyDescent="0.3">
      <c r="C504" s="90"/>
    </row>
    <row r="505" spans="3:3" ht="15.75" customHeight="1" x14ac:dyDescent="0.3">
      <c r="C505" s="90"/>
    </row>
    <row r="506" spans="3:3" ht="15.75" customHeight="1" x14ac:dyDescent="0.3">
      <c r="C506" s="90"/>
    </row>
    <row r="507" spans="3:3" ht="15.75" customHeight="1" x14ac:dyDescent="0.3">
      <c r="C507" s="90"/>
    </row>
    <row r="508" spans="3:3" ht="15.75" customHeight="1" x14ac:dyDescent="0.3">
      <c r="C508" s="90"/>
    </row>
    <row r="509" spans="3:3" ht="15.75" customHeight="1" x14ac:dyDescent="0.3">
      <c r="C509" s="90"/>
    </row>
    <row r="510" spans="3:3" ht="15.75" customHeight="1" x14ac:dyDescent="0.3">
      <c r="C510" s="90"/>
    </row>
    <row r="511" spans="3:3" ht="15.75" customHeight="1" x14ac:dyDescent="0.3">
      <c r="C511" s="90"/>
    </row>
    <row r="512" spans="3:3" ht="15.75" customHeight="1" x14ac:dyDescent="0.3">
      <c r="C512" s="90"/>
    </row>
    <row r="513" spans="3:3" ht="15.75" customHeight="1" x14ac:dyDescent="0.3">
      <c r="C513" s="90"/>
    </row>
    <row r="514" spans="3:3" ht="15.75" customHeight="1" x14ac:dyDescent="0.3">
      <c r="C514" s="90"/>
    </row>
    <row r="515" spans="3:3" ht="15.75" customHeight="1" x14ac:dyDescent="0.3">
      <c r="C515" s="90"/>
    </row>
    <row r="516" spans="3:3" ht="15.75" customHeight="1" x14ac:dyDescent="0.3">
      <c r="C516" s="90"/>
    </row>
    <row r="517" spans="3:3" ht="15.75" customHeight="1" x14ac:dyDescent="0.3">
      <c r="C517" s="90"/>
    </row>
    <row r="518" spans="3:3" ht="15.75" customHeight="1" x14ac:dyDescent="0.3">
      <c r="C518" s="90"/>
    </row>
    <row r="519" spans="3:3" ht="15.75" customHeight="1" x14ac:dyDescent="0.3">
      <c r="C519" s="90"/>
    </row>
    <row r="520" spans="3:3" ht="15.75" customHeight="1" x14ac:dyDescent="0.3">
      <c r="C520" s="90"/>
    </row>
    <row r="521" spans="3:3" ht="15.75" customHeight="1" x14ac:dyDescent="0.3">
      <c r="C521" s="90"/>
    </row>
    <row r="522" spans="3:3" ht="15.75" customHeight="1" x14ac:dyDescent="0.3">
      <c r="C522" s="90"/>
    </row>
    <row r="523" spans="3:3" ht="15.75" customHeight="1" x14ac:dyDescent="0.3">
      <c r="C523" s="90"/>
    </row>
    <row r="524" spans="3:3" ht="15.75" customHeight="1" x14ac:dyDescent="0.3">
      <c r="C524" s="90"/>
    </row>
    <row r="525" spans="3:3" ht="15.75" customHeight="1" x14ac:dyDescent="0.3">
      <c r="C525" s="90"/>
    </row>
    <row r="526" spans="3:3" ht="15.75" customHeight="1" x14ac:dyDescent="0.3">
      <c r="C526" s="90"/>
    </row>
    <row r="527" spans="3:3" ht="15.75" customHeight="1" x14ac:dyDescent="0.3">
      <c r="C527" s="90"/>
    </row>
    <row r="528" spans="3:3" ht="15.75" customHeight="1" x14ac:dyDescent="0.3">
      <c r="C528" s="90"/>
    </row>
    <row r="529" spans="3:3" ht="15.75" customHeight="1" x14ac:dyDescent="0.3">
      <c r="C529" s="90"/>
    </row>
    <row r="530" spans="3:3" ht="15.75" customHeight="1" x14ac:dyDescent="0.3">
      <c r="C530" s="90"/>
    </row>
    <row r="531" spans="3:3" ht="15.75" customHeight="1" x14ac:dyDescent="0.3">
      <c r="C531" s="90"/>
    </row>
    <row r="532" spans="3:3" ht="15.75" customHeight="1" x14ac:dyDescent="0.3">
      <c r="C532" s="90"/>
    </row>
    <row r="533" spans="3:3" ht="15.75" customHeight="1" x14ac:dyDescent="0.3">
      <c r="C533" s="90"/>
    </row>
    <row r="534" spans="3:3" ht="15.75" customHeight="1" x14ac:dyDescent="0.3">
      <c r="C534" s="90"/>
    </row>
    <row r="535" spans="3:3" ht="15.75" customHeight="1" x14ac:dyDescent="0.3">
      <c r="C535" s="90"/>
    </row>
    <row r="536" spans="3:3" ht="15.75" customHeight="1" x14ac:dyDescent="0.3">
      <c r="C536" s="90"/>
    </row>
    <row r="537" spans="3:3" ht="15.75" customHeight="1" x14ac:dyDescent="0.3">
      <c r="C537" s="90"/>
    </row>
    <row r="538" spans="3:3" ht="15.75" customHeight="1" x14ac:dyDescent="0.3">
      <c r="C538" s="90"/>
    </row>
    <row r="539" spans="3:3" ht="15.75" customHeight="1" x14ac:dyDescent="0.3">
      <c r="C539" s="90"/>
    </row>
    <row r="540" spans="3:3" ht="15.75" customHeight="1" x14ac:dyDescent="0.3">
      <c r="C540" s="90"/>
    </row>
    <row r="541" spans="3:3" ht="15.75" customHeight="1" x14ac:dyDescent="0.3">
      <c r="C541" s="90"/>
    </row>
    <row r="542" spans="3:3" ht="15.75" customHeight="1" x14ac:dyDescent="0.3">
      <c r="C542" s="90"/>
    </row>
    <row r="543" spans="3:3" ht="15.75" customHeight="1" x14ac:dyDescent="0.3">
      <c r="C543" s="90"/>
    </row>
    <row r="544" spans="3:3" ht="15.75" customHeight="1" x14ac:dyDescent="0.3">
      <c r="C544" s="90"/>
    </row>
    <row r="545" spans="3:3" ht="15.75" customHeight="1" x14ac:dyDescent="0.3">
      <c r="C545" s="90"/>
    </row>
    <row r="546" spans="3:3" ht="15.75" customHeight="1" x14ac:dyDescent="0.3">
      <c r="C546" s="90"/>
    </row>
    <row r="547" spans="3:3" ht="15.75" customHeight="1" x14ac:dyDescent="0.3">
      <c r="C547" s="90"/>
    </row>
    <row r="548" spans="3:3" ht="15.75" customHeight="1" x14ac:dyDescent="0.3">
      <c r="C548" s="90"/>
    </row>
    <row r="549" spans="3:3" ht="15.75" customHeight="1" x14ac:dyDescent="0.3">
      <c r="C549" s="90"/>
    </row>
    <row r="550" spans="3:3" ht="15.75" customHeight="1" x14ac:dyDescent="0.3">
      <c r="C550" s="90"/>
    </row>
    <row r="551" spans="3:3" ht="15.75" customHeight="1" x14ac:dyDescent="0.3">
      <c r="C551" s="90"/>
    </row>
    <row r="552" spans="3:3" ht="15.75" customHeight="1" x14ac:dyDescent="0.3">
      <c r="C552" s="90"/>
    </row>
    <row r="553" spans="3:3" ht="15.75" customHeight="1" x14ac:dyDescent="0.3">
      <c r="C553" s="90"/>
    </row>
    <row r="554" spans="3:3" ht="15.75" customHeight="1" x14ac:dyDescent="0.3">
      <c r="C554" s="90"/>
    </row>
    <row r="555" spans="3:3" ht="15.75" customHeight="1" x14ac:dyDescent="0.3">
      <c r="C555" s="90"/>
    </row>
    <row r="556" spans="3:3" ht="15.75" customHeight="1" x14ac:dyDescent="0.3">
      <c r="C556" s="90"/>
    </row>
    <row r="557" spans="3:3" ht="15.75" customHeight="1" x14ac:dyDescent="0.3">
      <c r="C557" s="90"/>
    </row>
    <row r="558" spans="3:3" ht="15.75" customHeight="1" x14ac:dyDescent="0.3">
      <c r="C558" s="90"/>
    </row>
    <row r="559" spans="3:3" ht="15.75" customHeight="1" x14ac:dyDescent="0.3">
      <c r="C559" s="90"/>
    </row>
    <row r="560" spans="3:3" ht="15.75" customHeight="1" x14ac:dyDescent="0.3">
      <c r="C560" s="90"/>
    </row>
    <row r="561" spans="3:3" ht="15.75" customHeight="1" x14ac:dyDescent="0.3">
      <c r="C561" s="90"/>
    </row>
    <row r="562" spans="3:3" ht="15.75" customHeight="1" x14ac:dyDescent="0.3">
      <c r="C562" s="90"/>
    </row>
    <row r="563" spans="3:3" ht="15.75" customHeight="1" x14ac:dyDescent="0.3">
      <c r="C563" s="90"/>
    </row>
    <row r="564" spans="3:3" ht="15.75" customHeight="1" x14ac:dyDescent="0.3">
      <c r="C564" s="90"/>
    </row>
    <row r="565" spans="3:3" ht="15.75" customHeight="1" x14ac:dyDescent="0.3">
      <c r="C565" s="90"/>
    </row>
    <row r="566" spans="3:3" ht="15.75" customHeight="1" x14ac:dyDescent="0.3">
      <c r="C566" s="90"/>
    </row>
    <row r="567" spans="3:3" ht="15.75" customHeight="1" x14ac:dyDescent="0.3">
      <c r="C567" s="90"/>
    </row>
    <row r="568" spans="3:3" ht="15.75" customHeight="1" x14ac:dyDescent="0.3">
      <c r="C568" s="90"/>
    </row>
    <row r="569" spans="3:3" ht="15.75" customHeight="1" x14ac:dyDescent="0.3">
      <c r="C569" s="90"/>
    </row>
    <row r="570" spans="3:3" ht="15.75" customHeight="1" x14ac:dyDescent="0.3">
      <c r="C570" s="90"/>
    </row>
    <row r="571" spans="3:3" ht="15.75" customHeight="1" x14ac:dyDescent="0.3">
      <c r="C571" s="90"/>
    </row>
    <row r="572" spans="3:3" ht="15.75" customHeight="1" x14ac:dyDescent="0.3">
      <c r="C572" s="90"/>
    </row>
    <row r="573" spans="3:3" ht="15.75" customHeight="1" x14ac:dyDescent="0.3">
      <c r="C573" s="90"/>
    </row>
    <row r="574" spans="3:3" ht="15.75" customHeight="1" x14ac:dyDescent="0.3">
      <c r="C574" s="90"/>
    </row>
    <row r="575" spans="3:3" ht="15.75" customHeight="1" x14ac:dyDescent="0.3">
      <c r="C575" s="90"/>
    </row>
    <row r="576" spans="3:3" ht="15.75" customHeight="1" x14ac:dyDescent="0.3">
      <c r="C576" s="90"/>
    </row>
    <row r="577" spans="3:3" ht="15.75" customHeight="1" x14ac:dyDescent="0.3">
      <c r="C577" s="90"/>
    </row>
    <row r="578" spans="3:3" ht="15.75" customHeight="1" x14ac:dyDescent="0.3">
      <c r="C578" s="90"/>
    </row>
    <row r="579" spans="3:3" ht="15.75" customHeight="1" x14ac:dyDescent="0.3">
      <c r="C579" s="90"/>
    </row>
    <row r="580" spans="3:3" ht="15.75" customHeight="1" x14ac:dyDescent="0.3">
      <c r="C580" s="90"/>
    </row>
    <row r="581" spans="3:3" ht="15.75" customHeight="1" x14ac:dyDescent="0.3">
      <c r="C581" s="90"/>
    </row>
    <row r="582" spans="3:3" ht="15.75" customHeight="1" x14ac:dyDescent="0.3">
      <c r="C582" s="90"/>
    </row>
    <row r="583" spans="3:3" ht="15.75" customHeight="1" x14ac:dyDescent="0.3">
      <c r="C583" s="90"/>
    </row>
    <row r="584" spans="3:3" ht="15.75" customHeight="1" x14ac:dyDescent="0.3">
      <c r="C584" s="90"/>
    </row>
    <row r="585" spans="3:3" ht="15.75" customHeight="1" x14ac:dyDescent="0.3">
      <c r="C585" s="90"/>
    </row>
    <row r="586" spans="3:3" ht="15.75" customHeight="1" x14ac:dyDescent="0.3">
      <c r="C586" s="90"/>
    </row>
    <row r="587" spans="3:3" ht="15.75" customHeight="1" x14ac:dyDescent="0.3">
      <c r="C587" s="90"/>
    </row>
    <row r="588" spans="3:3" ht="15.75" customHeight="1" x14ac:dyDescent="0.3">
      <c r="C588" s="90"/>
    </row>
    <row r="589" spans="3:3" ht="15.75" customHeight="1" x14ac:dyDescent="0.3">
      <c r="C589" s="90"/>
    </row>
    <row r="590" spans="3:3" ht="15.75" customHeight="1" x14ac:dyDescent="0.3">
      <c r="C590" s="90"/>
    </row>
    <row r="591" spans="3:3" ht="15.75" customHeight="1" x14ac:dyDescent="0.3">
      <c r="C591" s="90"/>
    </row>
    <row r="592" spans="3:3" ht="15.75" customHeight="1" x14ac:dyDescent="0.3">
      <c r="C592" s="90"/>
    </row>
    <row r="593" spans="3:3" ht="15.75" customHeight="1" x14ac:dyDescent="0.3">
      <c r="C593" s="90"/>
    </row>
    <row r="594" spans="3:3" ht="15.75" customHeight="1" x14ac:dyDescent="0.3">
      <c r="C594" s="90"/>
    </row>
    <row r="595" spans="3:3" ht="15.75" customHeight="1" x14ac:dyDescent="0.3">
      <c r="C595" s="90"/>
    </row>
    <row r="596" spans="3:3" ht="15.75" customHeight="1" x14ac:dyDescent="0.3">
      <c r="C596" s="90"/>
    </row>
    <row r="597" spans="3:3" ht="15.75" customHeight="1" x14ac:dyDescent="0.3">
      <c r="C597" s="90"/>
    </row>
    <row r="598" spans="3:3" ht="15.75" customHeight="1" x14ac:dyDescent="0.3">
      <c r="C598" s="90"/>
    </row>
    <row r="599" spans="3:3" ht="15.75" customHeight="1" x14ac:dyDescent="0.3">
      <c r="C599" s="90"/>
    </row>
    <row r="600" spans="3:3" ht="15.75" customHeight="1" x14ac:dyDescent="0.3">
      <c r="C600" s="90"/>
    </row>
    <row r="601" spans="3:3" ht="15.75" customHeight="1" x14ac:dyDescent="0.3">
      <c r="C601" s="90"/>
    </row>
    <row r="602" spans="3:3" ht="15.75" customHeight="1" x14ac:dyDescent="0.3">
      <c r="C602" s="90"/>
    </row>
    <row r="603" spans="3:3" ht="15.75" customHeight="1" x14ac:dyDescent="0.3">
      <c r="C603" s="90"/>
    </row>
    <row r="604" spans="3:3" ht="15.75" customHeight="1" x14ac:dyDescent="0.3">
      <c r="C604" s="90"/>
    </row>
    <row r="605" spans="3:3" ht="15.75" customHeight="1" x14ac:dyDescent="0.3">
      <c r="C605" s="90"/>
    </row>
    <row r="606" spans="3:3" ht="15.75" customHeight="1" x14ac:dyDescent="0.3">
      <c r="C606" s="90"/>
    </row>
    <row r="607" spans="3:3" ht="15.75" customHeight="1" x14ac:dyDescent="0.3">
      <c r="C607" s="90"/>
    </row>
    <row r="608" spans="3:3" ht="15.75" customHeight="1" x14ac:dyDescent="0.3">
      <c r="C608" s="90"/>
    </row>
    <row r="609" spans="3:3" ht="15.75" customHeight="1" x14ac:dyDescent="0.3">
      <c r="C609" s="90"/>
    </row>
    <row r="610" spans="3:3" ht="15.75" customHeight="1" x14ac:dyDescent="0.3">
      <c r="C610" s="90"/>
    </row>
    <row r="611" spans="3:3" ht="15.75" customHeight="1" x14ac:dyDescent="0.3">
      <c r="C611" s="90"/>
    </row>
    <row r="612" spans="3:3" ht="15.75" customHeight="1" x14ac:dyDescent="0.3">
      <c r="C612" s="90"/>
    </row>
    <row r="613" spans="3:3" ht="15.75" customHeight="1" x14ac:dyDescent="0.3">
      <c r="C613" s="90"/>
    </row>
    <row r="614" spans="3:3" ht="15.75" customHeight="1" x14ac:dyDescent="0.3">
      <c r="C614" s="90"/>
    </row>
    <row r="615" spans="3:3" ht="15.75" customHeight="1" x14ac:dyDescent="0.3">
      <c r="C615" s="90"/>
    </row>
    <row r="616" spans="3:3" ht="15.75" customHeight="1" x14ac:dyDescent="0.3">
      <c r="C616" s="90"/>
    </row>
    <row r="617" spans="3:3" ht="15.75" customHeight="1" x14ac:dyDescent="0.3">
      <c r="C617" s="90"/>
    </row>
    <row r="618" spans="3:3" ht="15.75" customHeight="1" x14ac:dyDescent="0.3">
      <c r="C618" s="90"/>
    </row>
    <row r="619" spans="3:3" ht="15.75" customHeight="1" x14ac:dyDescent="0.3">
      <c r="C619" s="90"/>
    </row>
    <row r="620" spans="3:3" ht="15.75" customHeight="1" x14ac:dyDescent="0.3">
      <c r="C620" s="90"/>
    </row>
    <row r="621" spans="3:3" ht="15.75" customHeight="1" x14ac:dyDescent="0.3">
      <c r="C621" s="90"/>
    </row>
    <row r="622" spans="3:3" ht="15.75" customHeight="1" x14ac:dyDescent="0.3">
      <c r="C622" s="90"/>
    </row>
    <row r="623" spans="3:3" ht="15.75" customHeight="1" x14ac:dyDescent="0.3">
      <c r="C623" s="90"/>
    </row>
    <row r="624" spans="3:3" ht="15.75" customHeight="1" x14ac:dyDescent="0.3">
      <c r="C624" s="90"/>
    </row>
    <row r="625" spans="3:3" ht="15.75" customHeight="1" x14ac:dyDescent="0.3">
      <c r="C625" s="90"/>
    </row>
    <row r="626" spans="3:3" ht="15.75" customHeight="1" x14ac:dyDescent="0.3">
      <c r="C626" s="90"/>
    </row>
    <row r="627" spans="3:3" ht="15.75" customHeight="1" x14ac:dyDescent="0.3">
      <c r="C627" s="90"/>
    </row>
    <row r="628" spans="3:3" ht="15.75" customHeight="1" x14ac:dyDescent="0.3">
      <c r="C628" s="90"/>
    </row>
    <row r="629" spans="3:3" ht="15.75" customHeight="1" x14ac:dyDescent="0.3">
      <c r="C629" s="90"/>
    </row>
    <row r="630" spans="3:3" ht="15.75" customHeight="1" x14ac:dyDescent="0.3">
      <c r="C630" s="90"/>
    </row>
    <row r="631" spans="3:3" ht="15.75" customHeight="1" x14ac:dyDescent="0.3">
      <c r="C631" s="90"/>
    </row>
    <row r="632" spans="3:3" ht="15.75" customHeight="1" x14ac:dyDescent="0.3">
      <c r="C632" s="90"/>
    </row>
    <row r="633" spans="3:3" ht="15.75" customHeight="1" x14ac:dyDescent="0.3">
      <c r="C633" s="90"/>
    </row>
    <row r="634" spans="3:3" ht="15.75" customHeight="1" x14ac:dyDescent="0.3">
      <c r="C634" s="90"/>
    </row>
    <row r="635" spans="3:3" ht="15.75" customHeight="1" x14ac:dyDescent="0.3">
      <c r="C635" s="90"/>
    </row>
    <row r="636" spans="3:3" ht="15.75" customHeight="1" x14ac:dyDescent="0.3">
      <c r="C636" s="90"/>
    </row>
    <row r="637" spans="3:3" ht="15.75" customHeight="1" x14ac:dyDescent="0.3">
      <c r="C637" s="90"/>
    </row>
    <row r="638" spans="3:3" ht="15.75" customHeight="1" x14ac:dyDescent="0.3">
      <c r="C638" s="90"/>
    </row>
    <row r="639" spans="3:3" ht="15.75" customHeight="1" x14ac:dyDescent="0.3">
      <c r="C639" s="90"/>
    </row>
    <row r="640" spans="3:3" ht="15.75" customHeight="1" x14ac:dyDescent="0.3">
      <c r="C640" s="90"/>
    </row>
    <row r="641" spans="3:3" ht="15.75" customHeight="1" x14ac:dyDescent="0.3">
      <c r="C641" s="90"/>
    </row>
    <row r="642" spans="3:3" ht="15.75" customHeight="1" x14ac:dyDescent="0.3">
      <c r="C642" s="90"/>
    </row>
    <row r="643" spans="3:3" ht="15.75" customHeight="1" x14ac:dyDescent="0.3">
      <c r="C643" s="90"/>
    </row>
    <row r="644" spans="3:3" ht="15.75" customHeight="1" x14ac:dyDescent="0.3">
      <c r="C644" s="90"/>
    </row>
    <row r="645" spans="3:3" ht="15.75" customHeight="1" x14ac:dyDescent="0.3">
      <c r="C645" s="90"/>
    </row>
    <row r="646" spans="3:3" ht="15.75" customHeight="1" x14ac:dyDescent="0.3">
      <c r="C646" s="90"/>
    </row>
    <row r="647" spans="3:3" ht="15.75" customHeight="1" x14ac:dyDescent="0.3">
      <c r="C647" s="90"/>
    </row>
    <row r="648" spans="3:3" ht="15.75" customHeight="1" x14ac:dyDescent="0.3">
      <c r="C648" s="90"/>
    </row>
    <row r="649" spans="3:3" ht="15.75" customHeight="1" x14ac:dyDescent="0.3">
      <c r="C649" s="90"/>
    </row>
    <row r="650" spans="3:3" ht="15.75" customHeight="1" x14ac:dyDescent="0.3">
      <c r="C650" s="90"/>
    </row>
    <row r="651" spans="3:3" ht="15.75" customHeight="1" x14ac:dyDescent="0.3">
      <c r="C651" s="90"/>
    </row>
    <row r="652" spans="3:3" ht="15.75" customHeight="1" x14ac:dyDescent="0.3">
      <c r="C652" s="90"/>
    </row>
    <row r="653" spans="3:3" ht="15.75" customHeight="1" x14ac:dyDescent="0.3">
      <c r="C653" s="90"/>
    </row>
    <row r="654" spans="3:3" ht="15.75" customHeight="1" x14ac:dyDescent="0.3">
      <c r="C654" s="90"/>
    </row>
    <row r="655" spans="3:3" ht="15.75" customHeight="1" x14ac:dyDescent="0.3">
      <c r="C655" s="90"/>
    </row>
    <row r="656" spans="3:3" ht="15.75" customHeight="1" x14ac:dyDescent="0.3">
      <c r="C656" s="90"/>
    </row>
    <row r="657" spans="3:3" ht="15.75" customHeight="1" x14ac:dyDescent="0.3">
      <c r="C657" s="90"/>
    </row>
    <row r="658" spans="3:3" ht="15.75" customHeight="1" x14ac:dyDescent="0.3">
      <c r="C658" s="90"/>
    </row>
    <row r="659" spans="3:3" ht="15.75" customHeight="1" x14ac:dyDescent="0.3">
      <c r="C659" s="90"/>
    </row>
    <row r="660" spans="3:3" ht="15.75" customHeight="1" x14ac:dyDescent="0.3">
      <c r="C660" s="90"/>
    </row>
    <row r="661" spans="3:3" ht="15.75" customHeight="1" x14ac:dyDescent="0.3">
      <c r="C661" s="90"/>
    </row>
    <row r="662" spans="3:3" ht="15.75" customHeight="1" x14ac:dyDescent="0.3">
      <c r="C662" s="90"/>
    </row>
    <row r="663" spans="3:3" ht="15.75" customHeight="1" x14ac:dyDescent="0.3">
      <c r="C663" s="90"/>
    </row>
    <row r="664" spans="3:3" ht="15.75" customHeight="1" x14ac:dyDescent="0.3">
      <c r="C664" s="90"/>
    </row>
    <row r="665" spans="3:3" ht="15.75" customHeight="1" x14ac:dyDescent="0.3">
      <c r="C665" s="90"/>
    </row>
    <row r="666" spans="3:3" ht="15.75" customHeight="1" x14ac:dyDescent="0.3">
      <c r="C666" s="90"/>
    </row>
    <row r="667" spans="3:3" ht="15.75" customHeight="1" x14ac:dyDescent="0.3">
      <c r="C667" s="90"/>
    </row>
    <row r="668" spans="3:3" ht="15.75" customHeight="1" x14ac:dyDescent="0.3">
      <c r="C668" s="90"/>
    </row>
    <row r="669" spans="3:3" ht="15.75" customHeight="1" x14ac:dyDescent="0.3">
      <c r="C669" s="90"/>
    </row>
    <row r="670" spans="3:3" ht="15.75" customHeight="1" x14ac:dyDescent="0.3">
      <c r="C670" s="90"/>
    </row>
    <row r="671" spans="3:3" ht="15.75" customHeight="1" x14ac:dyDescent="0.3">
      <c r="C671" s="90"/>
    </row>
    <row r="672" spans="3:3" ht="15.75" customHeight="1" x14ac:dyDescent="0.3">
      <c r="C672" s="90"/>
    </row>
    <row r="673" spans="3:3" ht="15.75" customHeight="1" x14ac:dyDescent="0.3">
      <c r="C673" s="90"/>
    </row>
    <row r="674" spans="3:3" ht="15.75" customHeight="1" x14ac:dyDescent="0.3">
      <c r="C674" s="90"/>
    </row>
    <row r="675" spans="3:3" ht="15.75" customHeight="1" x14ac:dyDescent="0.3">
      <c r="C675" s="90"/>
    </row>
    <row r="676" spans="3:3" ht="15.75" customHeight="1" x14ac:dyDescent="0.3">
      <c r="C676" s="90"/>
    </row>
    <row r="677" spans="3:3" ht="15.75" customHeight="1" x14ac:dyDescent="0.3">
      <c r="C677" s="90"/>
    </row>
    <row r="678" spans="3:3" ht="15.75" customHeight="1" x14ac:dyDescent="0.3">
      <c r="C678" s="90"/>
    </row>
    <row r="679" spans="3:3" ht="15.75" customHeight="1" x14ac:dyDescent="0.3">
      <c r="C679" s="90"/>
    </row>
    <row r="680" spans="3:3" ht="15.75" customHeight="1" x14ac:dyDescent="0.3">
      <c r="C680" s="90"/>
    </row>
    <row r="681" spans="3:3" ht="15.75" customHeight="1" x14ac:dyDescent="0.3">
      <c r="C681" s="90"/>
    </row>
    <row r="682" spans="3:3" ht="15.75" customHeight="1" x14ac:dyDescent="0.3">
      <c r="C682" s="90"/>
    </row>
    <row r="683" spans="3:3" ht="15.75" customHeight="1" x14ac:dyDescent="0.3">
      <c r="C683" s="90"/>
    </row>
    <row r="684" spans="3:3" ht="15.75" customHeight="1" x14ac:dyDescent="0.3">
      <c r="C684" s="90"/>
    </row>
    <row r="685" spans="3:3" ht="15.75" customHeight="1" x14ac:dyDescent="0.3">
      <c r="C685" s="90"/>
    </row>
    <row r="686" spans="3:3" ht="15.75" customHeight="1" x14ac:dyDescent="0.3">
      <c r="C686" s="90"/>
    </row>
    <row r="687" spans="3:3" ht="15.75" customHeight="1" x14ac:dyDescent="0.3">
      <c r="C687" s="90"/>
    </row>
    <row r="688" spans="3:3" ht="15.75" customHeight="1" x14ac:dyDescent="0.3">
      <c r="C688" s="90"/>
    </row>
    <row r="689" spans="3:3" ht="15.75" customHeight="1" x14ac:dyDescent="0.3">
      <c r="C689" s="90"/>
    </row>
    <row r="690" spans="3:3" ht="15.75" customHeight="1" x14ac:dyDescent="0.3">
      <c r="C690" s="90"/>
    </row>
    <row r="691" spans="3:3" ht="15.75" customHeight="1" x14ac:dyDescent="0.3">
      <c r="C691" s="90"/>
    </row>
    <row r="692" spans="3:3" ht="15.75" customHeight="1" x14ac:dyDescent="0.3">
      <c r="C692" s="90"/>
    </row>
    <row r="693" spans="3:3" ht="15.75" customHeight="1" x14ac:dyDescent="0.3">
      <c r="C693" s="90"/>
    </row>
    <row r="694" spans="3:3" ht="15.75" customHeight="1" x14ac:dyDescent="0.3">
      <c r="C694" s="90"/>
    </row>
    <row r="695" spans="3:3" ht="15.75" customHeight="1" x14ac:dyDescent="0.3">
      <c r="C695" s="90"/>
    </row>
    <row r="696" spans="3:3" ht="15.75" customHeight="1" x14ac:dyDescent="0.3">
      <c r="C696" s="90"/>
    </row>
    <row r="697" spans="3:3" ht="15.75" customHeight="1" x14ac:dyDescent="0.3">
      <c r="C697" s="90"/>
    </row>
    <row r="698" spans="3:3" ht="15.75" customHeight="1" x14ac:dyDescent="0.3">
      <c r="C698" s="90"/>
    </row>
    <row r="699" spans="3:3" ht="15.75" customHeight="1" x14ac:dyDescent="0.3">
      <c r="C699" s="90"/>
    </row>
    <row r="700" spans="3:3" ht="15.75" customHeight="1" x14ac:dyDescent="0.3">
      <c r="C700" s="90"/>
    </row>
    <row r="701" spans="3:3" ht="15.75" customHeight="1" x14ac:dyDescent="0.3">
      <c r="C701" s="90"/>
    </row>
    <row r="702" spans="3:3" ht="15.75" customHeight="1" x14ac:dyDescent="0.3">
      <c r="C702" s="90"/>
    </row>
    <row r="703" spans="3:3" ht="15.75" customHeight="1" x14ac:dyDescent="0.3">
      <c r="C703" s="90"/>
    </row>
    <row r="704" spans="3:3" ht="15.75" customHeight="1" x14ac:dyDescent="0.3">
      <c r="C704" s="90"/>
    </row>
    <row r="705" spans="3:3" ht="15.75" customHeight="1" x14ac:dyDescent="0.3">
      <c r="C705" s="90"/>
    </row>
    <row r="706" spans="3:3" ht="15.75" customHeight="1" x14ac:dyDescent="0.3">
      <c r="C706" s="90"/>
    </row>
    <row r="707" spans="3:3" ht="15.75" customHeight="1" x14ac:dyDescent="0.3">
      <c r="C707" s="90"/>
    </row>
    <row r="708" spans="3:3" ht="15.75" customHeight="1" x14ac:dyDescent="0.3">
      <c r="C708" s="90"/>
    </row>
    <row r="709" spans="3:3" ht="15.75" customHeight="1" x14ac:dyDescent="0.3">
      <c r="C709" s="90"/>
    </row>
    <row r="710" spans="3:3" ht="15.75" customHeight="1" x14ac:dyDescent="0.3">
      <c r="C710" s="90"/>
    </row>
    <row r="711" spans="3:3" ht="15.75" customHeight="1" x14ac:dyDescent="0.3">
      <c r="C711" s="90"/>
    </row>
    <row r="712" spans="3:3" ht="15.75" customHeight="1" x14ac:dyDescent="0.3">
      <c r="C712" s="90"/>
    </row>
    <row r="713" spans="3:3" ht="15.75" customHeight="1" x14ac:dyDescent="0.3">
      <c r="C713" s="90"/>
    </row>
    <row r="714" spans="3:3" ht="15.75" customHeight="1" x14ac:dyDescent="0.3">
      <c r="C714" s="90"/>
    </row>
    <row r="715" spans="3:3" ht="15.75" customHeight="1" x14ac:dyDescent="0.3">
      <c r="C715" s="90"/>
    </row>
    <row r="716" spans="3:3" ht="15.75" customHeight="1" x14ac:dyDescent="0.3">
      <c r="C716" s="90"/>
    </row>
    <row r="717" spans="3:3" ht="15.75" customHeight="1" x14ac:dyDescent="0.3">
      <c r="C717" s="90"/>
    </row>
    <row r="718" spans="3:3" ht="15.75" customHeight="1" x14ac:dyDescent="0.3">
      <c r="C718" s="90"/>
    </row>
    <row r="719" spans="3:3" ht="15.75" customHeight="1" x14ac:dyDescent="0.3">
      <c r="C719" s="90"/>
    </row>
    <row r="720" spans="3:3" ht="15.75" customHeight="1" x14ac:dyDescent="0.3">
      <c r="C720" s="90"/>
    </row>
    <row r="721" spans="3:3" ht="15.75" customHeight="1" x14ac:dyDescent="0.3">
      <c r="C721" s="90"/>
    </row>
    <row r="722" spans="3:3" ht="15.75" customHeight="1" x14ac:dyDescent="0.3">
      <c r="C722" s="90"/>
    </row>
    <row r="723" spans="3:3" ht="15.75" customHeight="1" x14ac:dyDescent="0.3">
      <c r="C723" s="90"/>
    </row>
    <row r="724" spans="3:3" ht="15.75" customHeight="1" x14ac:dyDescent="0.3">
      <c r="C724" s="90"/>
    </row>
    <row r="725" spans="3:3" ht="15.75" customHeight="1" x14ac:dyDescent="0.3">
      <c r="C725" s="90"/>
    </row>
    <row r="726" spans="3:3" ht="15.75" customHeight="1" x14ac:dyDescent="0.3">
      <c r="C726" s="90"/>
    </row>
    <row r="727" spans="3:3" ht="15.75" customHeight="1" x14ac:dyDescent="0.3">
      <c r="C727" s="90"/>
    </row>
    <row r="728" spans="3:3" ht="15.75" customHeight="1" x14ac:dyDescent="0.3">
      <c r="C728" s="90"/>
    </row>
    <row r="729" spans="3:3" ht="15.75" customHeight="1" x14ac:dyDescent="0.3">
      <c r="C729" s="90"/>
    </row>
    <row r="730" spans="3:3" ht="15.75" customHeight="1" x14ac:dyDescent="0.3">
      <c r="C730" s="90"/>
    </row>
    <row r="731" spans="3:3" ht="15.75" customHeight="1" x14ac:dyDescent="0.3">
      <c r="C731" s="90"/>
    </row>
    <row r="732" spans="3:3" ht="15.75" customHeight="1" x14ac:dyDescent="0.3">
      <c r="C732" s="90"/>
    </row>
    <row r="733" spans="3:3" ht="15.75" customHeight="1" x14ac:dyDescent="0.3">
      <c r="C733" s="90"/>
    </row>
    <row r="734" spans="3:3" ht="15.75" customHeight="1" x14ac:dyDescent="0.3">
      <c r="C734" s="90"/>
    </row>
    <row r="735" spans="3:3" ht="15.75" customHeight="1" x14ac:dyDescent="0.3">
      <c r="C735" s="90"/>
    </row>
    <row r="736" spans="3:3" ht="15.75" customHeight="1" x14ac:dyDescent="0.3">
      <c r="C736" s="90"/>
    </row>
    <row r="737" spans="3:3" ht="15.75" customHeight="1" x14ac:dyDescent="0.3">
      <c r="C737" s="90"/>
    </row>
    <row r="738" spans="3:3" ht="15.75" customHeight="1" x14ac:dyDescent="0.3">
      <c r="C738" s="90"/>
    </row>
    <row r="739" spans="3:3" ht="15.75" customHeight="1" x14ac:dyDescent="0.3">
      <c r="C739" s="90"/>
    </row>
    <row r="740" spans="3:3" ht="15.75" customHeight="1" x14ac:dyDescent="0.3">
      <c r="C740" s="90"/>
    </row>
    <row r="741" spans="3:3" ht="15.75" customHeight="1" x14ac:dyDescent="0.3">
      <c r="C741" s="90"/>
    </row>
    <row r="742" spans="3:3" ht="15.75" customHeight="1" x14ac:dyDescent="0.3">
      <c r="C742" s="90"/>
    </row>
    <row r="743" spans="3:3" ht="15.75" customHeight="1" x14ac:dyDescent="0.3">
      <c r="C743" s="90"/>
    </row>
    <row r="744" spans="3:3" ht="15.75" customHeight="1" x14ac:dyDescent="0.3">
      <c r="C744" s="90"/>
    </row>
    <row r="745" spans="3:3" ht="15.75" customHeight="1" x14ac:dyDescent="0.3">
      <c r="C745" s="90"/>
    </row>
    <row r="746" spans="3:3" ht="15.75" customHeight="1" x14ac:dyDescent="0.3">
      <c r="C746" s="90"/>
    </row>
    <row r="747" spans="3:3" ht="15.75" customHeight="1" x14ac:dyDescent="0.3">
      <c r="C747" s="90"/>
    </row>
    <row r="748" spans="3:3" ht="15.75" customHeight="1" x14ac:dyDescent="0.3">
      <c r="C748" s="90"/>
    </row>
    <row r="749" spans="3:3" ht="15.75" customHeight="1" x14ac:dyDescent="0.3">
      <c r="C749" s="90"/>
    </row>
    <row r="750" spans="3:3" ht="15.75" customHeight="1" x14ac:dyDescent="0.3">
      <c r="C750" s="90"/>
    </row>
    <row r="751" spans="3:3" ht="15.75" customHeight="1" x14ac:dyDescent="0.3">
      <c r="C751" s="90"/>
    </row>
    <row r="752" spans="3:3" ht="15.75" customHeight="1" x14ac:dyDescent="0.3">
      <c r="C752" s="90"/>
    </row>
    <row r="753" spans="3:3" ht="15.75" customHeight="1" x14ac:dyDescent="0.3">
      <c r="C753" s="90"/>
    </row>
    <row r="754" spans="3:3" ht="15.75" customHeight="1" x14ac:dyDescent="0.3">
      <c r="C754" s="90"/>
    </row>
    <row r="755" spans="3:3" ht="15.75" customHeight="1" x14ac:dyDescent="0.3">
      <c r="C755" s="90"/>
    </row>
    <row r="756" spans="3:3" ht="15.75" customHeight="1" x14ac:dyDescent="0.3">
      <c r="C756" s="90"/>
    </row>
    <row r="757" spans="3:3" ht="15.75" customHeight="1" x14ac:dyDescent="0.3">
      <c r="C757" s="90"/>
    </row>
    <row r="758" spans="3:3" ht="15.75" customHeight="1" x14ac:dyDescent="0.3">
      <c r="C758" s="90"/>
    </row>
    <row r="759" spans="3:3" ht="15.75" customHeight="1" x14ac:dyDescent="0.3">
      <c r="C759" s="90"/>
    </row>
    <row r="760" spans="3:3" ht="15.75" customHeight="1" x14ac:dyDescent="0.3">
      <c r="C760" s="90"/>
    </row>
    <row r="761" spans="3:3" ht="15.75" customHeight="1" x14ac:dyDescent="0.3">
      <c r="C761" s="90"/>
    </row>
    <row r="762" spans="3:3" ht="15.75" customHeight="1" x14ac:dyDescent="0.3">
      <c r="C762" s="90"/>
    </row>
    <row r="763" spans="3:3" ht="15.75" customHeight="1" x14ac:dyDescent="0.3">
      <c r="C763" s="90"/>
    </row>
    <row r="764" spans="3:3" ht="15.75" customHeight="1" x14ac:dyDescent="0.3">
      <c r="C764" s="90"/>
    </row>
    <row r="765" spans="3:3" ht="15.75" customHeight="1" x14ac:dyDescent="0.3">
      <c r="C765" s="90"/>
    </row>
    <row r="766" spans="3:3" ht="15.75" customHeight="1" x14ac:dyDescent="0.3">
      <c r="C766" s="90"/>
    </row>
    <row r="767" spans="3:3" ht="15.75" customHeight="1" x14ac:dyDescent="0.3">
      <c r="C767" s="90"/>
    </row>
    <row r="768" spans="3:3" ht="15.75" customHeight="1" x14ac:dyDescent="0.3">
      <c r="C768" s="90"/>
    </row>
    <row r="769" spans="3:3" ht="15.75" customHeight="1" x14ac:dyDescent="0.3">
      <c r="C769" s="90"/>
    </row>
    <row r="770" spans="3:3" ht="15.75" customHeight="1" x14ac:dyDescent="0.3">
      <c r="C770" s="90"/>
    </row>
    <row r="771" spans="3:3" ht="15.75" customHeight="1" x14ac:dyDescent="0.3">
      <c r="C771" s="90"/>
    </row>
    <row r="772" spans="3:3" ht="15.75" customHeight="1" x14ac:dyDescent="0.3">
      <c r="C772" s="90"/>
    </row>
    <row r="773" spans="3:3" ht="15.75" customHeight="1" x14ac:dyDescent="0.3">
      <c r="C773" s="90"/>
    </row>
    <row r="774" spans="3:3" ht="15.75" customHeight="1" x14ac:dyDescent="0.3">
      <c r="C774" s="90"/>
    </row>
    <row r="775" spans="3:3" ht="15.75" customHeight="1" x14ac:dyDescent="0.3">
      <c r="C775" s="90"/>
    </row>
    <row r="776" spans="3:3" ht="15.75" customHeight="1" x14ac:dyDescent="0.3">
      <c r="C776" s="90"/>
    </row>
    <row r="777" spans="3:3" ht="15.75" customHeight="1" x14ac:dyDescent="0.3">
      <c r="C777" s="90"/>
    </row>
    <row r="778" spans="3:3" ht="15.75" customHeight="1" x14ac:dyDescent="0.3">
      <c r="C778" s="90"/>
    </row>
    <row r="779" spans="3:3" ht="15.75" customHeight="1" x14ac:dyDescent="0.3">
      <c r="C779" s="90"/>
    </row>
    <row r="780" spans="3:3" ht="15.75" customHeight="1" x14ac:dyDescent="0.3">
      <c r="C780" s="90"/>
    </row>
    <row r="781" spans="3:3" ht="15.75" customHeight="1" x14ac:dyDescent="0.3">
      <c r="C781" s="90"/>
    </row>
    <row r="782" spans="3:3" ht="15.75" customHeight="1" x14ac:dyDescent="0.3">
      <c r="C782" s="90"/>
    </row>
    <row r="783" spans="3:3" ht="15.75" customHeight="1" x14ac:dyDescent="0.3">
      <c r="C783" s="90"/>
    </row>
    <row r="784" spans="3:3" ht="15.75" customHeight="1" x14ac:dyDescent="0.3">
      <c r="C784" s="90"/>
    </row>
    <row r="785" spans="3:3" ht="15.75" customHeight="1" x14ac:dyDescent="0.3">
      <c r="C785" s="90"/>
    </row>
    <row r="786" spans="3:3" ht="15.75" customHeight="1" x14ac:dyDescent="0.3">
      <c r="C786" s="90"/>
    </row>
    <row r="787" spans="3:3" ht="15.75" customHeight="1" x14ac:dyDescent="0.3">
      <c r="C787" s="90"/>
    </row>
    <row r="788" spans="3:3" ht="15.75" customHeight="1" x14ac:dyDescent="0.3">
      <c r="C788" s="90"/>
    </row>
    <row r="789" spans="3:3" ht="15.75" customHeight="1" x14ac:dyDescent="0.3">
      <c r="C789" s="90"/>
    </row>
    <row r="790" spans="3:3" ht="15.75" customHeight="1" x14ac:dyDescent="0.3">
      <c r="C790" s="90"/>
    </row>
    <row r="791" spans="3:3" ht="15.75" customHeight="1" x14ac:dyDescent="0.3">
      <c r="C791" s="90"/>
    </row>
    <row r="792" spans="3:3" ht="15.75" customHeight="1" x14ac:dyDescent="0.3">
      <c r="C792" s="90"/>
    </row>
    <row r="793" spans="3:3" ht="15.75" customHeight="1" x14ac:dyDescent="0.3">
      <c r="C793" s="90"/>
    </row>
    <row r="794" spans="3:3" ht="15.75" customHeight="1" x14ac:dyDescent="0.3">
      <c r="C794" s="90"/>
    </row>
    <row r="795" spans="3:3" ht="15.75" customHeight="1" x14ac:dyDescent="0.3">
      <c r="C795" s="90"/>
    </row>
    <row r="796" spans="3:3" ht="15.75" customHeight="1" x14ac:dyDescent="0.3">
      <c r="C796" s="90"/>
    </row>
    <row r="797" spans="3:3" ht="15.75" customHeight="1" x14ac:dyDescent="0.3">
      <c r="C797" s="90"/>
    </row>
    <row r="798" spans="3:3" ht="15.75" customHeight="1" x14ac:dyDescent="0.3">
      <c r="C798" s="90"/>
    </row>
    <row r="799" spans="3:3" ht="15.75" customHeight="1" x14ac:dyDescent="0.3">
      <c r="C799" s="90"/>
    </row>
    <row r="800" spans="3:3" ht="15.75" customHeight="1" x14ac:dyDescent="0.3">
      <c r="C800" s="90"/>
    </row>
    <row r="801" spans="3:3" ht="15.75" customHeight="1" x14ac:dyDescent="0.3">
      <c r="C801" s="90"/>
    </row>
    <row r="802" spans="3:3" ht="15.75" customHeight="1" x14ac:dyDescent="0.3">
      <c r="C802" s="90"/>
    </row>
    <row r="803" spans="3:3" ht="15.75" customHeight="1" x14ac:dyDescent="0.3">
      <c r="C803" s="90"/>
    </row>
    <row r="804" spans="3:3" ht="15.75" customHeight="1" x14ac:dyDescent="0.3">
      <c r="C804" s="90"/>
    </row>
    <row r="805" spans="3:3" ht="15.75" customHeight="1" x14ac:dyDescent="0.3">
      <c r="C805" s="90"/>
    </row>
    <row r="806" spans="3:3" ht="15.75" customHeight="1" x14ac:dyDescent="0.3">
      <c r="C806" s="90"/>
    </row>
    <row r="807" spans="3:3" ht="15.75" customHeight="1" x14ac:dyDescent="0.3">
      <c r="C807" s="90"/>
    </row>
    <row r="808" spans="3:3" ht="15.75" customHeight="1" x14ac:dyDescent="0.3">
      <c r="C808" s="90"/>
    </row>
    <row r="809" spans="3:3" ht="15.75" customHeight="1" x14ac:dyDescent="0.3">
      <c r="C809" s="90"/>
    </row>
    <row r="810" spans="3:3" ht="15.75" customHeight="1" x14ac:dyDescent="0.3">
      <c r="C810" s="90"/>
    </row>
    <row r="811" spans="3:3" ht="15.75" customHeight="1" x14ac:dyDescent="0.3">
      <c r="C811" s="90"/>
    </row>
    <row r="812" spans="3:3" ht="15.75" customHeight="1" x14ac:dyDescent="0.3">
      <c r="C812" s="90"/>
    </row>
    <row r="813" spans="3:3" ht="15.75" customHeight="1" x14ac:dyDescent="0.3">
      <c r="C813" s="90"/>
    </row>
    <row r="814" spans="3:3" ht="15.75" customHeight="1" x14ac:dyDescent="0.3">
      <c r="C814" s="90"/>
    </row>
    <row r="815" spans="3:3" ht="15.75" customHeight="1" x14ac:dyDescent="0.3">
      <c r="C815" s="90"/>
    </row>
    <row r="816" spans="3:3" ht="15.75" customHeight="1" x14ac:dyDescent="0.3">
      <c r="C816" s="90"/>
    </row>
    <row r="817" spans="3:3" ht="15.75" customHeight="1" x14ac:dyDescent="0.3">
      <c r="C817" s="90"/>
    </row>
    <row r="818" spans="3:3" ht="15.75" customHeight="1" x14ac:dyDescent="0.3">
      <c r="C818" s="90"/>
    </row>
    <row r="819" spans="3:3" ht="15.75" customHeight="1" x14ac:dyDescent="0.3">
      <c r="C819" s="90"/>
    </row>
    <row r="820" spans="3:3" ht="15.75" customHeight="1" x14ac:dyDescent="0.3">
      <c r="C820" s="90"/>
    </row>
    <row r="821" spans="3:3" ht="15.75" customHeight="1" x14ac:dyDescent="0.3">
      <c r="C821" s="90"/>
    </row>
    <row r="822" spans="3:3" ht="15.75" customHeight="1" x14ac:dyDescent="0.3">
      <c r="C822" s="90"/>
    </row>
    <row r="823" spans="3:3" ht="15.75" customHeight="1" x14ac:dyDescent="0.3">
      <c r="C823" s="90"/>
    </row>
    <row r="824" spans="3:3" ht="15.75" customHeight="1" x14ac:dyDescent="0.3">
      <c r="C824" s="90"/>
    </row>
    <row r="825" spans="3:3" ht="15.75" customHeight="1" x14ac:dyDescent="0.3">
      <c r="C825" s="90"/>
    </row>
    <row r="826" spans="3:3" ht="15.75" customHeight="1" x14ac:dyDescent="0.3">
      <c r="C826" s="90"/>
    </row>
    <row r="827" spans="3:3" ht="15.75" customHeight="1" x14ac:dyDescent="0.3">
      <c r="C827" s="90"/>
    </row>
    <row r="828" spans="3:3" ht="15.75" customHeight="1" x14ac:dyDescent="0.3">
      <c r="C828" s="90"/>
    </row>
    <row r="829" spans="3:3" ht="15.75" customHeight="1" x14ac:dyDescent="0.3">
      <c r="C829" s="90"/>
    </row>
    <row r="830" spans="3:3" ht="15.75" customHeight="1" x14ac:dyDescent="0.3">
      <c r="C830" s="90"/>
    </row>
    <row r="831" spans="3:3" ht="15.75" customHeight="1" x14ac:dyDescent="0.3">
      <c r="C831" s="90"/>
    </row>
    <row r="832" spans="3:3" ht="15.75" customHeight="1" x14ac:dyDescent="0.3">
      <c r="C832" s="90"/>
    </row>
    <row r="833" spans="3:3" ht="15.75" customHeight="1" x14ac:dyDescent="0.3">
      <c r="C833" s="90"/>
    </row>
    <row r="834" spans="3:3" ht="15.75" customHeight="1" x14ac:dyDescent="0.3">
      <c r="C834" s="90"/>
    </row>
    <row r="835" spans="3:3" ht="15.75" customHeight="1" x14ac:dyDescent="0.3">
      <c r="C835" s="90"/>
    </row>
    <row r="836" spans="3:3" ht="15.75" customHeight="1" x14ac:dyDescent="0.3">
      <c r="C836" s="90"/>
    </row>
    <row r="837" spans="3:3" ht="15.75" customHeight="1" x14ac:dyDescent="0.3">
      <c r="C837" s="90"/>
    </row>
    <row r="838" spans="3:3" ht="15.75" customHeight="1" x14ac:dyDescent="0.3">
      <c r="C838" s="90"/>
    </row>
    <row r="839" spans="3:3" ht="15.75" customHeight="1" x14ac:dyDescent="0.3">
      <c r="C839" s="90"/>
    </row>
    <row r="840" spans="3:3" ht="15.75" customHeight="1" x14ac:dyDescent="0.3">
      <c r="C840" s="90"/>
    </row>
    <row r="841" spans="3:3" ht="15.75" customHeight="1" x14ac:dyDescent="0.3">
      <c r="C841" s="90"/>
    </row>
    <row r="842" spans="3:3" ht="15.75" customHeight="1" x14ac:dyDescent="0.3">
      <c r="C842" s="90"/>
    </row>
    <row r="843" spans="3:3" ht="15.75" customHeight="1" x14ac:dyDescent="0.3">
      <c r="C843" s="90"/>
    </row>
    <row r="844" spans="3:3" ht="15.75" customHeight="1" x14ac:dyDescent="0.3">
      <c r="C844" s="90"/>
    </row>
    <row r="845" spans="3:3" ht="15.75" customHeight="1" x14ac:dyDescent="0.3">
      <c r="C845" s="90"/>
    </row>
    <row r="846" spans="3:3" ht="15.75" customHeight="1" x14ac:dyDescent="0.3">
      <c r="C846" s="90"/>
    </row>
    <row r="847" spans="3:3" ht="15.75" customHeight="1" x14ac:dyDescent="0.3">
      <c r="C847" s="90"/>
    </row>
    <row r="848" spans="3:3" ht="15.75" customHeight="1" x14ac:dyDescent="0.3">
      <c r="C848" s="90"/>
    </row>
    <row r="849" spans="3:3" ht="15.75" customHeight="1" x14ac:dyDescent="0.3">
      <c r="C849" s="90"/>
    </row>
    <row r="850" spans="3:3" ht="15.75" customHeight="1" x14ac:dyDescent="0.3">
      <c r="C850" s="90"/>
    </row>
    <row r="851" spans="3:3" ht="15.75" customHeight="1" x14ac:dyDescent="0.3">
      <c r="C851" s="90"/>
    </row>
    <row r="852" spans="3:3" ht="15.75" customHeight="1" x14ac:dyDescent="0.3">
      <c r="C852" s="90"/>
    </row>
    <row r="853" spans="3:3" ht="15.75" customHeight="1" x14ac:dyDescent="0.3">
      <c r="C853" s="90"/>
    </row>
    <row r="854" spans="3:3" ht="15.75" customHeight="1" x14ac:dyDescent="0.3">
      <c r="C854" s="90"/>
    </row>
    <row r="855" spans="3:3" ht="15.75" customHeight="1" x14ac:dyDescent="0.3">
      <c r="C855" s="90"/>
    </row>
    <row r="856" spans="3:3" ht="15.75" customHeight="1" x14ac:dyDescent="0.3">
      <c r="C856" s="90"/>
    </row>
    <row r="857" spans="3:3" ht="15.75" customHeight="1" x14ac:dyDescent="0.3">
      <c r="C857" s="90"/>
    </row>
    <row r="858" spans="3:3" ht="15.75" customHeight="1" x14ac:dyDescent="0.3">
      <c r="C858" s="90"/>
    </row>
    <row r="859" spans="3:3" ht="15.75" customHeight="1" x14ac:dyDescent="0.3">
      <c r="C859" s="90"/>
    </row>
    <row r="860" spans="3:3" ht="15.75" customHeight="1" x14ac:dyDescent="0.3">
      <c r="C860" s="90"/>
    </row>
    <row r="861" spans="3:3" ht="15.75" customHeight="1" x14ac:dyDescent="0.3">
      <c r="C861" s="90"/>
    </row>
    <row r="862" spans="3:3" ht="15.75" customHeight="1" x14ac:dyDescent="0.3">
      <c r="C862" s="90"/>
    </row>
    <row r="863" spans="3:3" ht="15.75" customHeight="1" x14ac:dyDescent="0.3">
      <c r="C863" s="90"/>
    </row>
    <row r="864" spans="3:3" ht="15.75" customHeight="1" x14ac:dyDescent="0.3">
      <c r="C864" s="90"/>
    </row>
    <row r="865" spans="3:3" ht="15.75" customHeight="1" x14ac:dyDescent="0.3">
      <c r="C865" s="90"/>
    </row>
    <row r="866" spans="3:3" ht="15.75" customHeight="1" x14ac:dyDescent="0.3">
      <c r="C866" s="90"/>
    </row>
    <row r="867" spans="3:3" ht="15.75" customHeight="1" x14ac:dyDescent="0.3">
      <c r="C867" s="90"/>
    </row>
    <row r="868" spans="3:3" ht="15.75" customHeight="1" x14ac:dyDescent="0.3">
      <c r="C868" s="90"/>
    </row>
    <row r="869" spans="3:3" ht="15.75" customHeight="1" x14ac:dyDescent="0.3">
      <c r="C869" s="90"/>
    </row>
    <row r="870" spans="3:3" ht="15.75" customHeight="1" x14ac:dyDescent="0.3">
      <c r="C870" s="90"/>
    </row>
    <row r="871" spans="3:3" ht="15.75" customHeight="1" x14ac:dyDescent="0.3">
      <c r="C871" s="90"/>
    </row>
    <row r="872" spans="3:3" ht="15.75" customHeight="1" x14ac:dyDescent="0.3">
      <c r="C872" s="90"/>
    </row>
    <row r="873" spans="3:3" ht="15.75" customHeight="1" x14ac:dyDescent="0.3">
      <c r="C873" s="90"/>
    </row>
    <row r="874" spans="3:3" ht="15.75" customHeight="1" x14ac:dyDescent="0.3">
      <c r="C874" s="90"/>
    </row>
    <row r="875" spans="3:3" ht="15.75" customHeight="1" x14ac:dyDescent="0.3">
      <c r="C875" s="90"/>
    </row>
    <row r="876" spans="3:3" ht="15.75" customHeight="1" x14ac:dyDescent="0.3">
      <c r="C876" s="90"/>
    </row>
    <row r="877" spans="3:3" ht="15.75" customHeight="1" x14ac:dyDescent="0.3">
      <c r="C877" s="90"/>
    </row>
    <row r="878" spans="3:3" ht="15.75" customHeight="1" x14ac:dyDescent="0.3">
      <c r="C878" s="90"/>
    </row>
    <row r="879" spans="3:3" ht="15.75" customHeight="1" x14ac:dyDescent="0.3">
      <c r="C879" s="90"/>
    </row>
    <row r="880" spans="3:3" ht="15.75" customHeight="1" x14ac:dyDescent="0.3">
      <c r="C880" s="90"/>
    </row>
    <row r="881" spans="3:3" ht="15.75" customHeight="1" x14ac:dyDescent="0.3">
      <c r="C881" s="90"/>
    </row>
    <row r="882" spans="3:3" ht="15.75" customHeight="1" x14ac:dyDescent="0.3">
      <c r="C882" s="90"/>
    </row>
    <row r="883" spans="3:3" ht="15.75" customHeight="1" x14ac:dyDescent="0.3">
      <c r="C883" s="90"/>
    </row>
    <row r="884" spans="3:3" ht="15.75" customHeight="1" x14ac:dyDescent="0.3">
      <c r="C884" s="90"/>
    </row>
    <row r="885" spans="3:3" ht="15.75" customHeight="1" x14ac:dyDescent="0.3">
      <c r="C885" s="90"/>
    </row>
    <row r="886" spans="3:3" ht="15.75" customHeight="1" x14ac:dyDescent="0.3">
      <c r="C886" s="90"/>
    </row>
    <row r="887" spans="3:3" ht="15.75" customHeight="1" x14ac:dyDescent="0.3">
      <c r="C887" s="90"/>
    </row>
    <row r="888" spans="3:3" ht="15.75" customHeight="1" x14ac:dyDescent="0.3">
      <c r="C888" s="90"/>
    </row>
    <row r="889" spans="3:3" ht="15.75" customHeight="1" x14ac:dyDescent="0.3">
      <c r="C889" s="90"/>
    </row>
    <row r="890" spans="3:3" ht="15.75" customHeight="1" x14ac:dyDescent="0.3">
      <c r="C890" s="90"/>
    </row>
    <row r="891" spans="3:3" ht="15.75" customHeight="1" x14ac:dyDescent="0.3">
      <c r="C891" s="90"/>
    </row>
    <row r="892" spans="3:3" ht="15.75" customHeight="1" x14ac:dyDescent="0.3">
      <c r="C892" s="90"/>
    </row>
    <row r="893" spans="3:3" ht="15.75" customHeight="1" x14ac:dyDescent="0.3">
      <c r="C893" s="90"/>
    </row>
    <row r="894" spans="3:3" ht="15.75" customHeight="1" x14ac:dyDescent="0.3">
      <c r="C894" s="90"/>
    </row>
    <row r="895" spans="3:3" ht="15.75" customHeight="1" x14ac:dyDescent="0.3">
      <c r="C895" s="90"/>
    </row>
    <row r="896" spans="3:3" ht="15.75" customHeight="1" x14ac:dyDescent="0.3">
      <c r="C896" s="90"/>
    </row>
    <row r="897" spans="3:3" ht="15.75" customHeight="1" x14ac:dyDescent="0.3">
      <c r="C897" s="90"/>
    </row>
    <row r="898" spans="3:3" ht="15.75" customHeight="1" x14ac:dyDescent="0.3">
      <c r="C898" s="90"/>
    </row>
    <row r="899" spans="3:3" ht="15.75" customHeight="1" x14ac:dyDescent="0.3">
      <c r="C899" s="90"/>
    </row>
    <row r="900" spans="3:3" ht="15.75" customHeight="1" x14ac:dyDescent="0.3">
      <c r="C900" s="90"/>
    </row>
    <row r="901" spans="3:3" ht="15.75" customHeight="1" x14ac:dyDescent="0.3">
      <c r="C901" s="90"/>
    </row>
    <row r="902" spans="3:3" ht="15.75" customHeight="1" x14ac:dyDescent="0.3">
      <c r="C902" s="90"/>
    </row>
    <row r="903" spans="3:3" ht="15.75" customHeight="1" x14ac:dyDescent="0.3">
      <c r="C903" s="90"/>
    </row>
    <row r="904" spans="3:3" ht="15.75" customHeight="1" x14ac:dyDescent="0.3">
      <c r="C904" s="90"/>
    </row>
    <row r="905" spans="3:3" ht="15.75" customHeight="1" x14ac:dyDescent="0.3">
      <c r="C905" s="90"/>
    </row>
    <row r="906" spans="3:3" ht="15.75" customHeight="1" x14ac:dyDescent="0.3">
      <c r="C906" s="90"/>
    </row>
    <row r="907" spans="3:3" ht="15.75" customHeight="1" x14ac:dyDescent="0.3">
      <c r="C907" s="90"/>
    </row>
    <row r="908" spans="3:3" ht="15.75" customHeight="1" x14ac:dyDescent="0.3">
      <c r="C908" s="90"/>
    </row>
    <row r="909" spans="3:3" ht="15.75" customHeight="1" x14ac:dyDescent="0.3">
      <c r="C909" s="90"/>
    </row>
    <row r="910" spans="3:3" ht="15.75" customHeight="1" x14ac:dyDescent="0.3">
      <c r="C910" s="90"/>
    </row>
    <row r="911" spans="3:3" ht="15.75" customHeight="1" x14ac:dyDescent="0.3">
      <c r="C911" s="90"/>
    </row>
    <row r="912" spans="3:3" ht="15.75" customHeight="1" x14ac:dyDescent="0.3">
      <c r="C912" s="90"/>
    </row>
    <row r="913" spans="3:3" ht="15.75" customHeight="1" x14ac:dyDescent="0.3">
      <c r="C913" s="90"/>
    </row>
    <row r="914" spans="3:3" ht="15.75" customHeight="1" x14ac:dyDescent="0.3">
      <c r="C914" s="90"/>
    </row>
    <row r="915" spans="3:3" ht="15.75" customHeight="1" x14ac:dyDescent="0.3">
      <c r="C915" s="90"/>
    </row>
    <row r="916" spans="3:3" ht="15.75" customHeight="1" x14ac:dyDescent="0.3">
      <c r="C916" s="90"/>
    </row>
    <row r="917" spans="3:3" ht="15.75" customHeight="1" x14ac:dyDescent="0.3">
      <c r="C917" s="90"/>
    </row>
    <row r="918" spans="3:3" ht="15.75" customHeight="1" x14ac:dyDescent="0.3">
      <c r="C918" s="90"/>
    </row>
    <row r="919" spans="3:3" ht="15.75" customHeight="1" x14ac:dyDescent="0.3">
      <c r="C919" s="90"/>
    </row>
    <row r="920" spans="3:3" ht="15.75" customHeight="1" x14ac:dyDescent="0.3">
      <c r="C920" s="90"/>
    </row>
    <row r="921" spans="3:3" ht="15.75" customHeight="1" x14ac:dyDescent="0.3">
      <c r="C921" s="90"/>
    </row>
    <row r="922" spans="3:3" ht="15.75" customHeight="1" x14ac:dyDescent="0.3">
      <c r="C922" s="90"/>
    </row>
    <row r="923" spans="3:3" ht="15.75" customHeight="1" x14ac:dyDescent="0.3">
      <c r="C923" s="90"/>
    </row>
    <row r="924" spans="3:3" ht="15.75" customHeight="1" x14ac:dyDescent="0.3">
      <c r="C924" s="90"/>
    </row>
    <row r="925" spans="3:3" ht="15.75" customHeight="1" x14ac:dyDescent="0.3">
      <c r="C925" s="90"/>
    </row>
    <row r="926" spans="3:3" ht="15.75" customHeight="1" x14ac:dyDescent="0.3">
      <c r="C926" s="90"/>
    </row>
    <row r="927" spans="3:3" ht="15.75" customHeight="1" x14ac:dyDescent="0.3">
      <c r="C927" s="90"/>
    </row>
    <row r="928" spans="3:3" ht="15.75" customHeight="1" x14ac:dyDescent="0.3">
      <c r="C928" s="90"/>
    </row>
    <row r="929" spans="3:3" ht="15.75" customHeight="1" x14ac:dyDescent="0.3">
      <c r="C929" s="90"/>
    </row>
    <row r="930" spans="3:3" ht="15.75" customHeight="1" x14ac:dyDescent="0.3">
      <c r="C930" s="90"/>
    </row>
    <row r="931" spans="3:3" ht="15.75" customHeight="1" x14ac:dyDescent="0.3">
      <c r="C931" s="90"/>
    </row>
    <row r="932" spans="3:3" ht="15.75" customHeight="1" x14ac:dyDescent="0.3">
      <c r="C932" s="90"/>
    </row>
    <row r="933" spans="3:3" ht="15.75" customHeight="1" x14ac:dyDescent="0.3">
      <c r="C933" s="90"/>
    </row>
    <row r="934" spans="3:3" ht="15.75" customHeight="1" x14ac:dyDescent="0.3">
      <c r="C934" s="90"/>
    </row>
    <row r="935" spans="3:3" ht="15.75" customHeight="1" x14ac:dyDescent="0.3">
      <c r="C935" s="90"/>
    </row>
    <row r="936" spans="3:3" ht="15.75" customHeight="1" x14ac:dyDescent="0.3">
      <c r="C936" s="90"/>
    </row>
    <row r="937" spans="3:3" ht="15.75" customHeight="1" x14ac:dyDescent="0.3">
      <c r="C937" s="90"/>
    </row>
    <row r="938" spans="3:3" ht="15.75" customHeight="1" x14ac:dyDescent="0.3">
      <c r="C938" s="90"/>
    </row>
    <row r="939" spans="3:3" ht="15.75" customHeight="1" x14ac:dyDescent="0.3">
      <c r="C939" s="90"/>
    </row>
    <row r="940" spans="3:3" ht="15.75" customHeight="1" x14ac:dyDescent="0.3">
      <c r="C940" s="90"/>
    </row>
    <row r="941" spans="3:3" ht="15.75" customHeight="1" x14ac:dyDescent="0.3">
      <c r="C941" s="90"/>
    </row>
    <row r="942" spans="3:3" ht="15.75" customHeight="1" x14ac:dyDescent="0.3">
      <c r="C942" s="90"/>
    </row>
    <row r="943" spans="3:3" ht="15.75" customHeight="1" x14ac:dyDescent="0.3">
      <c r="C943" s="90"/>
    </row>
    <row r="944" spans="3:3" ht="15.75" customHeight="1" x14ac:dyDescent="0.3">
      <c r="C944" s="90"/>
    </row>
    <row r="945" spans="3:3" ht="15.75" customHeight="1" x14ac:dyDescent="0.3">
      <c r="C945" s="90"/>
    </row>
    <row r="946" spans="3:3" ht="15.75" customHeight="1" x14ac:dyDescent="0.3">
      <c r="C946" s="90"/>
    </row>
    <row r="947" spans="3:3" ht="15.75" customHeight="1" x14ac:dyDescent="0.3">
      <c r="C947" s="90"/>
    </row>
    <row r="948" spans="3:3" ht="15.75" customHeight="1" x14ac:dyDescent="0.3">
      <c r="C948" s="90"/>
    </row>
    <row r="949" spans="3:3" ht="15.75" customHeight="1" x14ac:dyDescent="0.3">
      <c r="C949" s="90"/>
    </row>
    <row r="950" spans="3:3" ht="15.75" customHeight="1" x14ac:dyDescent="0.3">
      <c r="C950" s="90"/>
    </row>
    <row r="951" spans="3:3" ht="15.75" customHeight="1" x14ac:dyDescent="0.3">
      <c r="C951" s="90"/>
    </row>
    <row r="952" spans="3:3" ht="15.75" customHeight="1" x14ac:dyDescent="0.3">
      <c r="C952" s="90"/>
    </row>
    <row r="953" spans="3:3" ht="15.75" customHeight="1" x14ac:dyDescent="0.3">
      <c r="C953" s="90"/>
    </row>
    <row r="954" spans="3:3" ht="15.75" customHeight="1" x14ac:dyDescent="0.3">
      <c r="C954" s="90"/>
    </row>
    <row r="955" spans="3:3" ht="15.75" customHeight="1" x14ac:dyDescent="0.3">
      <c r="C955" s="90"/>
    </row>
    <row r="956" spans="3:3" ht="15.75" customHeight="1" x14ac:dyDescent="0.3">
      <c r="C956" s="90"/>
    </row>
    <row r="957" spans="3:3" ht="15.75" customHeight="1" x14ac:dyDescent="0.3">
      <c r="C957" s="90"/>
    </row>
    <row r="958" spans="3:3" ht="15.75" customHeight="1" x14ac:dyDescent="0.3">
      <c r="C958" s="90"/>
    </row>
    <row r="959" spans="3:3" ht="15.75" customHeight="1" x14ac:dyDescent="0.3">
      <c r="C959" s="90"/>
    </row>
    <row r="960" spans="3:3" ht="15.75" customHeight="1" x14ac:dyDescent="0.3">
      <c r="C960" s="90"/>
    </row>
    <row r="961" spans="3:3" ht="15.75" customHeight="1" x14ac:dyDescent="0.3">
      <c r="C961" s="90"/>
    </row>
    <row r="962" spans="3:3" ht="15.75" customHeight="1" x14ac:dyDescent="0.3">
      <c r="C962" s="90"/>
    </row>
    <row r="963" spans="3:3" ht="15.75" customHeight="1" x14ac:dyDescent="0.3">
      <c r="C963" s="90"/>
    </row>
    <row r="964" spans="3:3" ht="15.75" customHeight="1" x14ac:dyDescent="0.3">
      <c r="C964" s="90"/>
    </row>
    <row r="965" spans="3:3" ht="15.75" customHeight="1" x14ac:dyDescent="0.3">
      <c r="C965" s="90"/>
    </row>
    <row r="966" spans="3:3" ht="15.75" customHeight="1" x14ac:dyDescent="0.3">
      <c r="C966" s="90"/>
    </row>
    <row r="967" spans="3:3" ht="15.75" customHeight="1" x14ac:dyDescent="0.3">
      <c r="C967" s="90"/>
    </row>
    <row r="968" spans="3:3" ht="15.75" customHeight="1" x14ac:dyDescent="0.3">
      <c r="C968" s="90"/>
    </row>
    <row r="969" spans="3:3" ht="15.75" customHeight="1" x14ac:dyDescent="0.3">
      <c r="C969" s="90"/>
    </row>
    <row r="970" spans="3:3" ht="15.75" customHeight="1" x14ac:dyDescent="0.3">
      <c r="C970" s="90"/>
    </row>
    <row r="971" spans="3:3" ht="15.75" customHeight="1" x14ac:dyDescent="0.3">
      <c r="C971" s="90"/>
    </row>
    <row r="972" spans="3:3" ht="15.75" customHeight="1" x14ac:dyDescent="0.3">
      <c r="C972" s="90"/>
    </row>
    <row r="973" spans="3:3" ht="15.75" customHeight="1" x14ac:dyDescent="0.3">
      <c r="C973" s="90"/>
    </row>
    <row r="974" spans="3:3" ht="15.75" customHeight="1" x14ac:dyDescent="0.3">
      <c r="C974" s="90"/>
    </row>
    <row r="975" spans="3:3" ht="15.75" customHeight="1" x14ac:dyDescent="0.3">
      <c r="C975" s="90"/>
    </row>
    <row r="976" spans="3:3" ht="15.75" customHeight="1" x14ac:dyDescent="0.3">
      <c r="C976" s="90"/>
    </row>
    <row r="977" spans="3:3" ht="15.75" customHeight="1" x14ac:dyDescent="0.3">
      <c r="C977" s="90"/>
    </row>
    <row r="978" spans="3:3" ht="15.75" customHeight="1" x14ac:dyDescent="0.3">
      <c r="C978" s="90"/>
    </row>
    <row r="979" spans="3:3" ht="15.75" customHeight="1" x14ac:dyDescent="0.3">
      <c r="C979" s="90"/>
    </row>
    <row r="980" spans="3:3" ht="15.75" customHeight="1" x14ac:dyDescent="0.3">
      <c r="C980" s="90"/>
    </row>
    <row r="981" spans="3:3" ht="15.75" customHeight="1" x14ac:dyDescent="0.3">
      <c r="C981" s="90"/>
    </row>
    <row r="982" spans="3:3" ht="15.75" customHeight="1" x14ac:dyDescent="0.3">
      <c r="C982" s="90"/>
    </row>
    <row r="983" spans="3:3" ht="15.75" customHeight="1" x14ac:dyDescent="0.3">
      <c r="C983" s="90"/>
    </row>
    <row r="984" spans="3:3" ht="15.75" customHeight="1" x14ac:dyDescent="0.3">
      <c r="C984" s="90"/>
    </row>
    <row r="985" spans="3:3" ht="15.75" customHeight="1" x14ac:dyDescent="0.3">
      <c r="C985" s="90"/>
    </row>
    <row r="986" spans="3:3" ht="15.75" customHeight="1" x14ac:dyDescent="0.3">
      <c r="C986" s="90"/>
    </row>
    <row r="987" spans="3:3" ht="15.75" customHeight="1" x14ac:dyDescent="0.3">
      <c r="C987" s="90"/>
    </row>
    <row r="988" spans="3:3" ht="15.75" customHeight="1" x14ac:dyDescent="0.3">
      <c r="C988" s="90"/>
    </row>
    <row r="989" spans="3:3" ht="15.75" customHeight="1" x14ac:dyDescent="0.3">
      <c r="C989" s="90"/>
    </row>
    <row r="990" spans="3:3" ht="15.75" customHeight="1" x14ac:dyDescent="0.3">
      <c r="C990" s="90"/>
    </row>
    <row r="991" spans="3:3" ht="15.75" customHeight="1" x14ac:dyDescent="0.3">
      <c r="C991" s="90"/>
    </row>
    <row r="992" spans="3:3" ht="15.75" customHeight="1" x14ac:dyDescent="0.3">
      <c r="C992" s="90"/>
    </row>
    <row r="993" spans="3:3" ht="15.75" customHeight="1" x14ac:dyDescent="0.3">
      <c r="C993" s="90"/>
    </row>
    <row r="994" spans="3:3" ht="15.75" customHeight="1" x14ac:dyDescent="0.3">
      <c r="C994" s="90"/>
    </row>
    <row r="995" spans="3:3" ht="15.75" customHeight="1" x14ac:dyDescent="0.3">
      <c r="C995" s="90"/>
    </row>
    <row r="996" spans="3:3" ht="15.75" customHeight="1" x14ac:dyDescent="0.3">
      <c r="C996" s="90"/>
    </row>
    <row r="997" spans="3:3" ht="15.75" customHeight="1" x14ac:dyDescent="0.3">
      <c r="C997" s="90"/>
    </row>
    <row r="998" spans="3:3" ht="15.75" customHeight="1" x14ac:dyDescent="0.3">
      <c r="C998" s="90"/>
    </row>
    <row r="999" spans="3:3" ht="15.75" customHeight="1" x14ac:dyDescent="0.3">
      <c r="C999" s="90"/>
    </row>
    <row r="1000" spans="3:3" ht="15.75" customHeight="1" x14ac:dyDescent="0.3">
      <c r="C1000" s="90"/>
    </row>
  </sheetData>
  <pageMargins left="0.511811024" right="0.511811024" top="0.78740157499999996" bottom="0.78740157499999996" header="0" footer="0"/>
  <pageSetup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3:D1000"/>
  <sheetViews>
    <sheetView showGridLines="0" workbookViewId="0">
      <selection activeCell="A19" sqref="A1:D1048576"/>
    </sheetView>
  </sheetViews>
  <sheetFormatPr defaultColWidth="12.59765625" defaultRowHeight="15" customHeight="1" x14ac:dyDescent="0.25"/>
  <cols>
    <col min="1" max="1" width="11.5" customWidth="1"/>
    <col min="2" max="2" width="15" customWidth="1"/>
    <col min="3" max="3" width="28.59765625" customWidth="1"/>
    <col min="4" max="4" width="34.59765625" customWidth="1"/>
    <col min="5" max="26" width="7.59765625" customWidth="1"/>
  </cols>
  <sheetData>
    <row r="3" spans="1:4" ht="43.2" x14ac:dyDescent="0.3">
      <c r="A3" s="83" t="s">
        <v>391</v>
      </c>
      <c r="B3" s="83" t="s">
        <v>392</v>
      </c>
      <c r="C3" s="83" t="s">
        <v>393</v>
      </c>
      <c r="D3" s="84" t="s">
        <v>394</v>
      </c>
    </row>
    <row r="4" spans="1:4" ht="72" x14ac:dyDescent="0.25">
      <c r="A4" s="85" t="s">
        <v>462</v>
      </c>
      <c r="B4" s="85" t="s">
        <v>403</v>
      </c>
      <c r="C4" s="86" t="s">
        <v>463</v>
      </c>
      <c r="D4" s="3" t="s">
        <v>464</v>
      </c>
    </row>
    <row r="5" spans="1:4" ht="72" x14ac:dyDescent="0.25">
      <c r="A5" s="85" t="s">
        <v>462</v>
      </c>
      <c r="B5" s="85" t="s">
        <v>405</v>
      </c>
      <c r="C5" s="86" t="s">
        <v>465</v>
      </c>
      <c r="D5" s="3" t="s">
        <v>466</v>
      </c>
    </row>
    <row r="6" spans="1:4" ht="72" x14ac:dyDescent="0.25">
      <c r="A6" s="85" t="s">
        <v>462</v>
      </c>
      <c r="B6" s="85" t="s">
        <v>399</v>
      </c>
      <c r="C6" s="86" t="s">
        <v>467</v>
      </c>
      <c r="D6" s="3" t="s">
        <v>445</v>
      </c>
    </row>
    <row r="7" spans="1:4" ht="72" x14ac:dyDescent="0.25">
      <c r="A7" s="87" t="s">
        <v>468</v>
      </c>
      <c r="B7" s="87" t="s">
        <v>403</v>
      </c>
      <c r="C7" s="88" t="s">
        <v>469</v>
      </c>
      <c r="D7" s="2" t="s">
        <v>470</v>
      </c>
    </row>
    <row r="8" spans="1:4" ht="57.6" x14ac:dyDescent="0.25">
      <c r="A8" s="87" t="s">
        <v>468</v>
      </c>
      <c r="B8" s="87" t="s">
        <v>471</v>
      </c>
      <c r="C8" s="88" t="s">
        <v>472</v>
      </c>
      <c r="D8" s="2" t="s">
        <v>473</v>
      </c>
    </row>
    <row r="9" spans="1:4" ht="72" x14ac:dyDescent="0.25">
      <c r="A9" s="87" t="s">
        <v>468</v>
      </c>
      <c r="B9" s="87" t="s">
        <v>399</v>
      </c>
      <c r="C9" s="88" t="s">
        <v>474</v>
      </c>
      <c r="D9" s="2" t="s">
        <v>445</v>
      </c>
    </row>
    <row r="10" spans="1:4" ht="57.6" x14ac:dyDescent="0.25">
      <c r="A10" s="85" t="s">
        <v>475</v>
      </c>
      <c r="B10" s="85" t="s">
        <v>403</v>
      </c>
      <c r="C10" s="86" t="s">
        <v>476</v>
      </c>
      <c r="D10" s="3" t="s">
        <v>477</v>
      </c>
    </row>
    <row r="11" spans="1:4" ht="57.6" x14ac:dyDescent="0.25">
      <c r="A11" s="85" t="s">
        <v>475</v>
      </c>
      <c r="B11" s="85" t="s">
        <v>405</v>
      </c>
      <c r="C11" s="86" t="s">
        <v>478</v>
      </c>
      <c r="D11" s="3" t="s">
        <v>477</v>
      </c>
    </row>
    <row r="12" spans="1:4" ht="115.2" x14ac:dyDescent="0.25">
      <c r="A12" s="85" t="s">
        <v>475</v>
      </c>
      <c r="B12" s="85" t="s">
        <v>479</v>
      </c>
      <c r="C12" s="86" t="s">
        <v>480</v>
      </c>
      <c r="D12" s="3" t="s">
        <v>481</v>
      </c>
    </row>
    <row r="13" spans="1:4" ht="129.6" x14ac:dyDescent="0.25">
      <c r="A13" s="85" t="s">
        <v>475</v>
      </c>
      <c r="B13" s="85" t="s">
        <v>399</v>
      </c>
      <c r="C13" s="86" t="s">
        <v>482</v>
      </c>
      <c r="D13" s="89" t="s">
        <v>483</v>
      </c>
    </row>
    <row r="14" spans="1:4" ht="72" x14ac:dyDescent="0.25">
      <c r="A14" s="87" t="s">
        <v>484</v>
      </c>
      <c r="B14" s="87" t="s">
        <v>485</v>
      </c>
      <c r="C14" s="88" t="s">
        <v>486</v>
      </c>
      <c r="D14" s="2" t="s">
        <v>487</v>
      </c>
    </row>
    <row r="15" spans="1:4" ht="72" x14ac:dyDescent="0.25">
      <c r="A15" s="87" t="s">
        <v>484</v>
      </c>
      <c r="B15" s="87" t="s">
        <v>405</v>
      </c>
      <c r="C15" s="88" t="s">
        <v>488</v>
      </c>
      <c r="D15" s="2" t="s">
        <v>489</v>
      </c>
    </row>
    <row r="16" spans="1:4" ht="72" x14ac:dyDescent="0.25">
      <c r="A16" s="87" t="s">
        <v>484</v>
      </c>
      <c r="B16" s="87" t="s">
        <v>490</v>
      </c>
      <c r="C16" s="88" t="s">
        <v>491</v>
      </c>
      <c r="D16" s="2" t="s">
        <v>492</v>
      </c>
    </row>
    <row r="17" spans="1:4" ht="57.6" x14ac:dyDescent="0.25">
      <c r="A17" s="87" t="s">
        <v>484</v>
      </c>
      <c r="B17" s="87" t="s">
        <v>471</v>
      </c>
      <c r="C17" s="88" t="s">
        <v>493</v>
      </c>
      <c r="D17" s="2" t="s">
        <v>494</v>
      </c>
    </row>
    <row r="18" spans="1:4" ht="86.4" x14ac:dyDescent="0.25">
      <c r="A18" s="87" t="s">
        <v>484</v>
      </c>
      <c r="B18" s="87" t="s">
        <v>399</v>
      </c>
      <c r="C18" s="88" t="s">
        <v>495</v>
      </c>
      <c r="D18" s="2" t="s">
        <v>496</v>
      </c>
    </row>
    <row r="19" spans="1:4" ht="144" x14ac:dyDescent="0.25">
      <c r="A19" s="85" t="s">
        <v>497</v>
      </c>
      <c r="B19" s="85" t="s">
        <v>498</v>
      </c>
      <c r="C19" s="86" t="s">
        <v>499</v>
      </c>
      <c r="D19" s="3" t="s">
        <v>500</v>
      </c>
    </row>
    <row r="20" spans="1:4" ht="100.8" x14ac:dyDescent="0.25">
      <c r="A20" s="85" t="s">
        <v>497</v>
      </c>
      <c r="B20" s="85" t="s">
        <v>501</v>
      </c>
      <c r="C20" s="86" t="s">
        <v>502</v>
      </c>
      <c r="D20" s="3" t="s">
        <v>503</v>
      </c>
    </row>
    <row r="21" spans="1:4" ht="15.75" customHeight="1" x14ac:dyDescent="0.25">
      <c r="A21" s="85" t="s">
        <v>497</v>
      </c>
      <c r="B21" s="85" t="s">
        <v>471</v>
      </c>
      <c r="C21" s="86" t="s">
        <v>504</v>
      </c>
      <c r="D21" s="3" t="s">
        <v>505</v>
      </c>
    </row>
    <row r="22" spans="1:4" ht="15.75" customHeight="1" x14ac:dyDescent="0.25">
      <c r="A22" s="85" t="s">
        <v>497</v>
      </c>
      <c r="B22" s="85" t="s">
        <v>399</v>
      </c>
      <c r="C22" s="86" t="s">
        <v>506</v>
      </c>
      <c r="D22" s="89" t="s">
        <v>445</v>
      </c>
    </row>
    <row r="23" spans="1:4" ht="15.75" customHeight="1" x14ac:dyDescent="0.25"/>
    <row r="24" spans="1:4" ht="15.75" customHeight="1" x14ac:dyDescent="0.25"/>
    <row r="25" spans="1:4" ht="15.75" customHeight="1" x14ac:dyDescent="0.25"/>
    <row r="26" spans="1:4" ht="15.75" customHeight="1" x14ac:dyDescent="0.25"/>
    <row r="27" spans="1:4" ht="15.75" customHeight="1" x14ac:dyDescent="0.25"/>
    <row r="28" spans="1:4" ht="15.75" customHeight="1" x14ac:dyDescent="0.25"/>
    <row r="29" spans="1:4" ht="15.75" customHeight="1" x14ac:dyDescent="0.25"/>
    <row r="30" spans="1:4" ht="15.75" customHeight="1" x14ac:dyDescent="0.25"/>
    <row r="31" spans="1:4" ht="15.75" customHeight="1" x14ac:dyDescent="0.25"/>
    <row r="32" spans="1:4" ht="15.75" customHeight="1" x14ac:dyDescent="0.25"/>
    <row r="33" spans="3:3" ht="15.75" customHeight="1" x14ac:dyDescent="0.25"/>
    <row r="34" spans="3:3" ht="15.75" customHeight="1" x14ac:dyDescent="0.25"/>
    <row r="35" spans="3:3" ht="15.75" customHeight="1" x14ac:dyDescent="0.25"/>
    <row r="36" spans="3:3" ht="15.75" customHeight="1" x14ac:dyDescent="0.25"/>
    <row r="37" spans="3:3" ht="15.75" customHeight="1" x14ac:dyDescent="0.25"/>
    <row r="38" spans="3:3" ht="15.75" customHeight="1" x14ac:dyDescent="0.25"/>
    <row r="39" spans="3:3" ht="15.75" customHeight="1" x14ac:dyDescent="0.3">
      <c r="C39" s="90"/>
    </row>
    <row r="40" spans="3:3" ht="15.75" customHeight="1" x14ac:dyDescent="0.3">
      <c r="C40" s="90"/>
    </row>
    <row r="41" spans="3:3" ht="15.75" customHeight="1" x14ac:dyDescent="0.3">
      <c r="C41" s="90"/>
    </row>
    <row r="42" spans="3:3" ht="15.75" customHeight="1" x14ac:dyDescent="0.3">
      <c r="C42" s="90"/>
    </row>
    <row r="43" spans="3:3" ht="15.75" customHeight="1" x14ac:dyDescent="0.3">
      <c r="C43" s="90"/>
    </row>
    <row r="44" spans="3:3" ht="15.75" customHeight="1" x14ac:dyDescent="0.3">
      <c r="C44" s="90"/>
    </row>
    <row r="45" spans="3:3" ht="15.75" customHeight="1" x14ac:dyDescent="0.3">
      <c r="C45" s="90"/>
    </row>
    <row r="46" spans="3:3" ht="15.75" customHeight="1" x14ac:dyDescent="0.3">
      <c r="C46" s="90"/>
    </row>
    <row r="47" spans="3:3" ht="15.75" customHeight="1" x14ac:dyDescent="0.3">
      <c r="C47" s="90"/>
    </row>
    <row r="48" spans="3:3" ht="15.75" customHeight="1" x14ac:dyDescent="0.3">
      <c r="C48" s="90"/>
    </row>
    <row r="49" spans="3:3" ht="15.75" customHeight="1" x14ac:dyDescent="0.3">
      <c r="C49" s="90"/>
    </row>
    <row r="50" spans="3:3" ht="15.75" customHeight="1" x14ac:dyDescent="0.3">
      <c r="C50" s="90"/>
    </row>
    <row r="51" spans="3:3" ht="15.75" customHeight="1" x14ac:dyDescent="0.3">
      <c r="C51" s="90"/>
    </row>
    <row r="52" spans="3:3" ht="15.75" customHeight="1" x14ac:dyDescent="0.3">
      <c r="C52" s="90"/>
    </row>
    <row r="53" spans="3:3" ht="15.75" customHeight="1" x14ac:dyDescent="0.3">
      <c r="C53" s="90"/>
    </row>
    <row r="54" spans="3:3" ht="15.75" customHeight="1" x14ac:dyDescent="0.3">
      <c r="C54" s="90"/>
    </row>
    <row r="55" spans="3:3" ht="15.75" customHeight="1" x14ac:dyDescent="0.3">
      <c r="C55" s="90"/>
    </row>
    <row r="56" spans="3:3" ht="15.75" customHeight="1" x14ac:dyDescent="0.3">
      <c r="C56" s="90"/>
    </row>
    <row r="57" spans="3:3" ht="15.75" customHeight="1" x14ac:dyDescent="0.3">
      <c r="C57" s="90"/>
    </row>
    <row r="58" spans="3:3" ht="15.75" customHeight="1" x14ac:dyDescent="0.3">
      <c r="C58" s="90"/>
    </row>
    <row r="59" spans="3:3" ht="15.75" customHeight="1" x14ac:dyDescent="0.3">
      <c r="C59" s="90"/>
    </row>
    <row r="60" spans="3:3" ht="15.75" customHeight="1" x14ac:dyDescent="0.3">
      <c r="C60" s="90"/>
    </row>
    <row r="61" spans="3:3" ht="15.75" customHeight="1" x14ac:dyDescent="0.3">
      <c r="C61" s="90"/>
    </row>
    <row r="62" spans="3:3" ht="15.75" customHeight="1" x14ac:dyDescent="0.3">
      <c r="C62" s="90"/>
    </row>
    <row r="63" spans="3:3" ht="15.75" customHeight="1" x14ac:dyDescent="0.3">
      <c r="C63" s="90"/>
    </row>
    <row r="64" spans="3:3" ht="15.75" customHeight="1" x14ac:dyDescent="0.3">
      <c r="C64" s="90"/>
    </row>
    <row r="65" spans="3:3" ht="15.75" customHeight="1" x14ac:dyDescent="0.3">
      <c r="C65" s="90"/>
    </row>
    <row r="66" spans="3:3" ht="15.75" customHeight="1" x14ac:dyDescent="0.3">
      <c r="C66" s="90"/>
    </row>
    <row r="67" spans="3:3" ht="15.75" customHeight="1" x14ac:dyDescent="0.3">
      <c r="C67" s="90"/>
    </row>
    <row r="68" spans="3:3" ht="15.75" customHeight="1" x14ac:dyDescent="0.3">
      <c r="C68" s="90"/>
    </row>
    <row r="69" spans="3:3" ht="15.75" customHeight="1" x14ac:dyDescent="0.3">
      <c r="C69" s="90"/>
    </row>
    <row r="70" spans="3:3" ht="15.75" customHeight="1" x14ac:dyDescent="0.3">
      <c r="C70" s="90"/>
    </row>
    <row r="71" spans="3:3" ht="15.75" customHeight="1" x14ac:dyDescent="0.3">
      <c r="C71" s="90"/>
    </row>
    <row r="72" spans="3:3" ht="15.75" customHeight="1" x14ac:dyDescent="0.3">
      <c r="C72" s="90"/>
    </row>
    <row r="73" spans="3:3" ht="15.75" customHeight="1" x14ac:dyDescent="0.3">
      <c r="C73" s="90"/>
    </row>
    <row r="74" spans="3:3" ht="15.75" customHeight="1" x14ac:dyDescent="0.3">
      <c r="C74" s="90"/>
    </row>
    <row r="75" spans="3:3" ht="15.75" customHeight="1" x14ac:dyDescent="0.3">
      <c r="C75" s="90"/>
    </row>
    <row r="76" spans="3:3" ht="15.75" customHeight="1" x14ac:dyDescent="0.3">
      <c r="C76" s="90"/>
    </row>
    <row r="77" spans="3:3" ht="15.75" customHeight="1" x14ac:dyDescent="0.3">
      <c r="C77" s="90"/>
    </row>
    <row r="78" spans="3:3" ht="15.75" customHeight="1" x14ac:dyDescent="0.3">
      <c r="C78" s="90"/>
    </row>
    <row r="79" spans="3:3" ht="15.75" customHeight="1" x14ac:dyDescent="0.3">
      <c r="C79" s="90"/>
    </row>
    <row r="80" spans="3:3" ht="15.75" customHeight="1" x14ac:dyDescent="0.3">
      <c r="C80" s="90"/>
    </row>
    <row r="81" spans="3:3" ht="15.75" customHeight="1" x14ac:dyDescent="0.3">
      <c r="C81" s="90"/>
    </row>
    <row r="82" spans="3:3" ht="15.75" customHeight="1" x14ac:dyDescent="0.3">
      <c r="C82" s="90"/>
    </row>
    <row r="83" spans="3:3" ht="15.75" customHeight="1" x14ac:dyDescent="0.3">
      <c r="C83" s="90"/>
    </row>
    <row r="84" spans="3:3" ht="15.75" customHeight="1" x14ac:dyDescent="0.3">
      <c r="C84" s="90"/>
    </row>
    <row r="85" spans="3:3" ht="15.75" customHeight="1" x14ac:dyDescent="0.3">
      <c r="C85" s="90"/>
    </row>
    <row r="86" spans="3:3" ht="15.75" customHeight="1" x14ac:dyDescent="0.3">
      <c r="C86" s="90"/>
    </row>
    <row r="87" spans="3:3" ht="15.75" customHeight="1" x14ac:dyDescent="0.3">
      <c r="C87" s="90"/>
    </row>
    <row r="88" spans="3:3" ht="15.75" customHeight="1" x14ac:dyDescent="0.3">
      <c r="C88" s="90"/>
    </row>
    <row r="89" spans="3:3" ht="15.75" customHeight="1" x14ac:dyDescent="0.3">
      <c r="C89" s="90"/>
    </row>
    <row r="90" spans="3:3" ht="15.75" customHeight="1" x14ac:dyDescent="0.3">
      <c r="C90" s="90"/>
    </row>
    <row r="91" spans="3:3" ht="15.75" customHeight="1" x14ac:dyDescent="0.3">
      <c r="C91" s="90"/>
    </row>
    <row r="92" spans="3:3" ht="15.75" customHeight="1" x14ac:dyDescent="0.3">
      <c r="C92" s="90"/>
    </row>
    <row r="93" spans="3:3" ht="15.75" customHeight="1" x14ac:dyDescent="0.3">
      <c r="C93" s="90"/>
    </row>
    <row r="94" spans="3:3" ht="15.75" customHeight="1" x14ac:dyDescent="0.3">
      <c r="C94" s="90"/>
    </row>
    <row r="95" spans="3:3" ht="15.75" customHeight="1" x14ac:dyDescent="0.3">
      <c r="C95" s="90"/>
    </row>
    <row r="96" spans="3:3" ht="15.75" customHeight="1" x14ac:dyDescent="0.3">
      <c r="C96" s="90"/>
    </row>
    <row r="97" spans="3:3" ht="15.75" customHeight="1" x14ac:dyDescent="0.3">
      <c r="C97" s="90"/>
    </row>
    <row r="98" spans="3:3" ht="15.75" customHeight="1" x14ac:dyDescent="0.3">
      <c r="C98" s="90"/>
    </row>
    <row r="99" spans="3:3" ht="15.75" customHeight="1" x14ac:dyDescent="0.3">
      <c r="C99" s="90"/>
    </row>
    <row r="100" spans="3:3" ht="15.75" customHeight="1" x14ac:dyDescent="0.3">
      <c r="C100" s="90"/>
    </row>
    <row r="101" spans="3:3" ht="15.75" customHeight="1" x14ac:dyDescent="0.3">
      <c r="C101" s="90"/>
    </row>
    <row r="102" spans="3:3" ht="15.75" customHeight="1" x14ac:dyDescent="0.3">
      <c r="C102" s="90"/>
    </row>
    <row r="103" spans="3:3" ht="15.75" customHeight="1" x14ac:dyDescent="0.3">
      <c r="C103" s="90"/>
    </row>
    <row r="104" spans="3:3" ht="15.75" customHeight="1" x14ac:dyDescent="0.3">
      <c r="C104" s="90"/>
    </row>
    <row r="105" spans="3:3" ht="15.75" customHeight="1" x14ac:dyDescent="0.3">
      <c r="C105" s="90"/>
    </row>
    <row r="106" spans="3:3" ht="15.75" customHeight="1" x14ac:dyDescent="0.3">
      <c r="C106" s="90"/>
    </row>
    <row r="107" spans="3:3" ht="15.75" customHeight="1" x14ac:dyDescent="0.3">
      <c r="C107" s="90"/>
    </row>
    <row r="108" spans="3:3" ht="15.75" customHeight="1" x14ac:dyDescent="0.3">
      <c r="C108" s="90"/>
    </row>
    <row r="109" spans="3:3" ht="15.75" customHeight="1" x14ac:dyDescent="0.3">
      <c r="C109" s="90"/>
    </row>
    <row r="110" spans="3:3" ht="15.75" customHeight="1" x14ac:dyDescent="0.3">
      <c r="C110" s="90"/>
    </row>
    <row r="111" spans="3:3" ht="15.75" customHeight="1" x14ac:dyDescent="0.3">
      <c r="C111" s="90"/>
    </row>
    <row r="112" spans="3:3" ht="15.75" customHeight="1" x14ac:dyDescent="0.3">
      <c r="C112" s="90"/>
    </row>
    <row r="113" spans="3:3" ht="15.75" customHeight="1" x14ac:dyDescent="0.3">
      <c r="C113" s="90"/>
    </row>
    <row r="114" spans="3:3" ht="15.75" customHeight="1" x14ac:dyDescent="0.3">
      <c r="C114" s="90"/>
    </row>
    <row r="115" spans="3:3" ht="15.75" customHeight="1" x14ac:dyDescent="0.3">
      <c r="C115" s="90"/>
    </row>
    <row r="116" spans="3:3" ht="15.75" customHeight="1" x14ac:dyDescent="0.3">
      <c r="C116" s="90"/>
    </row>
    <row r="117" spans="3:3" ht="15.75" customHeight="1" x14ac:dyDescent="0.3">
      <c r="C117" s="90"/>
    </row>
    <row r="118" spans="3:3" ht="15.75" customHeight="1" x14ac:dyDescent="0.3">
      <c r="C118" s="90"/>
    </row>
    <row r="119" spans="3:3" ht="15.75" customHeight="1" x14ac:dyDescent="0.3">
      <c r="C119" s="90"/>
    </row>
    <row r="120" spans="3:3" ht="15.75" customHeight="1" x14ac:dyDescent="0.3">
      <c r="C120" s="90"/>
    </row>
    <row r="121" spans="3:3" ht="15.75" customHeight="1" x14ac:dyDescent="0.3">
      <c r="C121" s="90"/>
    </row>
    <row r="122" spans="3:3" ht="15.75" customHeight="1" x14ac:dyDescent="0.3">
      <c r="C122" s="90"/>
    </row>
    <row r="123" spans="3:3" ht="15.75" customHeight="1" x14ac:dyDescent="0.3">
      <c r="C123" s="90"/>
    </row>
    <row r="124" spans="3:3" ht="15.75" customHeight="1" x14ac:dyDescent="0.3">
      <c r="C124" s="90"/>
    </row>
    <row r="125" spans="3:3" ht="15.75" customHeight="1" x14ac:dyDescent="0.3">
      <c r="C125" s="90"/>
    </row>
    <row r="126" spans="3:3" ht="15.75" customHeight="1" x14ac:dyDescent="0.3">
      <c r="C126" s="90"/>
    </row>
    <row r="127" spans="3:3" ht="15.75" customHeight="1" x14ac:dyDescent="0.3">
      <c r="C127" s="90"/>
    </row>
    <row r="128" spans="3:3" ht="15.75" customHeight="1" x14ac:dyDescent="0.3">
      <c r="C128" s="90"/>
    </row>
    <row r="129" spans="3:3" ht="15.75" customHeight="1" x14ac:dyDescent="0.3">
      <c r="C129" s="90"/>
    </row>
    <row r="130" spans="3:3" ht="15.75" customHeight="1" x14ac:dyDescent="0.3">
      <c r="C130" s="90"/>
    </row>
    <row r="131" spans="3:3" ht="15.75" customHeight="1" x14ac:dyDescent="0.3">
      <c r="C131" s="90"/>
    </row>
    <row r="132" spans="3:3" ht="15.75" customHeight="1" x14ac:dyDescent="0.3">
      <c r="C132" s="90"/>
    </row>
    <row r="133" spans="3:3" ht="15.75" customHeight="1" x14ac:dyDescent="0.3">
      <c r="C133" s="90"/>
    </row>
    <row r="134" spans="3:3" ht="15.75" customHeight="1" x14ac:dyDescent="0.3">
      <c r="C134" s="90"/>
    </row>
    <row r="135" spans="3:3" ht="15.75" customHeight="1" x14ac:dyDescent="0.3">
      <c r="C135" s="90"/>
    </row>
    <row r="136" spans="3:3" ht="15.75" customHeight="1" x14ac:dyDescent="0.3">
      <c r="C136" s="90"/>
    </row>
    <row r="137" spans="3:3" ht="15.75" customHeight="1" x14ac:dyDescent="0.3">
      <c r="C137" s="90"/>
    </row>
    <row r="138" spans="3:3" ht="15.75" customHeight="1" x14ac:dyDescent="0.3">
      <c r="C138" s="90"/>
    </row>
    <row r="139" spans="3:3" ht="15.75" customHeight="1" x14ac:dyDescent="0.3">
      <c r="C139" s="90"/>
    </row>
    <row r="140" spans="3:3" ht="15.75" customHeight="1" x14ac:dyDescent="0.3">
      <c r="C140" s="90"/>
    </row>
    <row r="141" spans="3:3" ht="15.75" customHeight="1" x14ac:dyDescent="0.3">
      <c r="C141" s="90"/>
    </row>
    <row r="142" spans="3:3" ht="15.75" customHeight="1" x14ac:dyDescent="0.3">
      <c r="C142" s="90"/>
    </row>
    <row r="143" spans="3:3" ht="15.75" customHeight="1" x14ac:dyDescent="0.3">
      <c r="C143" s="90"/>
    </row>
    <row r="144" spans="3:3" ht="15.75" customHeight="1" x14ac:dyDescent="0.3">
      <c r="C144" s="90"/>
    </row>
    <row r="145" spans="3:3" ht="15.75" customHeight="1" x14ac:dyDescent="0.3">
      <c r="C145" s="90"/>
    </row>
    <row r="146" spans="3:3" ht="15.75" customHeight="1" x14ac:dyDescent="0.3">
      <c r="C146" s="90"/>
    </row>
    <row r="147" spans="3:3" ht="15.75" customHeight="1" x14ac:dyDescent="0.3">
      <c r="C147" s="90"/>
    </row>
    <row r="148" spans="3:3" ht="15.75" customHeight="1" x14ac:dyDescent="0.3">
      <c r="C148" s="90"/>
    </row>
    <row r="149" spans="3:3" ht="15.75" customHeight="1" x14ac:dyDescent="0.3">
      <c r="C149" s="90"/>
    </row>
    <row r="150" spans="3:3" ht="15.75" customHeight="1" x14ac:dyDescent="0.3">
      <c r="C150" s="90"/>
    </row>
    <row r="151" spans="3:3" ht="15.75" customHeight="1" x14ac:dyDescent="0.3">
      <c r="C151" s="90"/>
    </row>
    <row r="152" spans="3:3" ht="15.75" customHeight="1" x14ac:dyDescent="0.3">
      <c r="C152" s="90"/>
    </row>
    <row r="153" spans="3:3" ht="15.75" customHeight="1" x14ac:dyDescent="0.3">
      <c r="C153" s="90"/>
    </row>
    <row r="154" spans="3:3" ht="15.75" customHeight="1" x14ac:dyDescent="0.3">
      <c r="C154" s="90"/>
    </row>
    <row r="155" spans="3:3" ht="15.75" customHeight="1" x14ac:dyDescent="0.3">
      <c r="C155" s="90"/>
    </row>
    <row r="156" spans="3:3" ht="15.75" customHeight="1" x14ac:dyDescent="0.3">
      <c r="C156" s="90"/>
    </row>
    <row r="157" spans="3:3" ht="15.75" customHeight="1" x14ac:dyDescent="0.3">
      <c r="C157" s="90"/>
    </row>
    <row r="158" spans="3:3" ht="15.75" customHeight="1" x14ac:dyDescent="0.3">
      <c r="C158" s="90"/>
    </row>
    <row r="159" spans="3:3" ht="15.75" customHeight="1" x14ac:dyDescent="0.3">
      <c r="C159" s="90"/>
    </row>
    <row r="160" spans="3:3" ht="15.75" customHeight="1" x14ac:dyDescent="0.3">
      <c r="C160" s="90"/>
    </row>
    <row r="161" spans="3:3" ht="15.75" customHeight="1" x14ac:dyDescent="0.3">
      <c r="C161" s="90"/>
    </row>
    <row r="162" spans="3:3" ht="15.75" customHeight="1" x14ac:dyDescent="0.3">
      <c r="C162" s="90"/>
    </row>
    <row r="163" spans="3:3" ht="15.75" customHeight="1" x14ac:dyDescent="0.3">
      <c r="C163" s="90"/>
    </row>
    <row r="164" spans="3:3" ht="15.75" customHeight="1" x14ac:dyDescent="0.3">
      <c r="C164" s="90"/>
    </row>
    <row r="165" spans="3:3" ht="15.75" customHeight="1" x14ac:dyDescent="0.3">
      <c r="C165" s="90"/>
    </row>
    <row r="166" spans="3:3" ht="15.75" customHeight="1" x14ac:dyDescent="0.3">
      <c r="C166" s="90"/>
    </row>
    <row r="167" spans="3:3" ht="15.75" customHeight="1" x14ac:dyDescent="0.3">
      <c r="C167" s="90"/>
    </row>
    <row r="168" spans="3:3" ht="15.75" customHeight="1" x14ac:dyDescent="0.3">
      <c r="C168" s="90"/>
    </row>
    <row r="169" spans="3:3" ht="15.75" customHeight="1" x14ac:dyDescent="0.3">
      <c r="C169" s="90"/>
    </row>
    <row r="170" spans="3:3" ht="15.75" customHeight="1" x14ac:dyDescent="0.3">
      <c r="C170" s="90"/>
    </row>
    <row r="171" spans="3:3" ht="15.75" customHeight="1" x14ac:dyDescent="0.3">
      <c r="C171" s="90"/>
    </row>
    <row r="172" spans="3:3" ht="15.75" customHeight="1" x14ac:dyDescent="0.3">
      <c r="C172" s="90"/>
    </row>
    <row r="173" spans="3:3" ht="15.75" customHeight="1" x14ac:dyDescent="0.3">
      <c r="C173" s="90"/>
    </row>
    <row r="174" spans="3:3" ht="15.75" customHeight="1" x14ac:dyDescent="0.3">
      <c r="C174" s="90"/>
    </row>
    <row r="175" spans="3:3" ht="15.75" customHeight="1" x14ac:dyDescent="0.3">
      <c r="C175" s="90"/>
    </row>
    <row r="176" spans="3:3" ht="15.75" customHeight="1" x14ac:dyDescent="0.3">
      <c r="C176" s="90"/>
    </row>
    <row r="177" spans="3:3" ht="15.75" customHeight="1" x14ac:dyDescent="0.3">
      <c r="C177" s="90"/>
    </row>
    <row r="178" spans="3:3" ht="15.75" customHeight="1" x14ac:dyDescent="0.3">
      <c r="C178" s="90"/>
    </row>
    <row r="179" spans="3:3" ht="15.75" customHeight="1" x14ac:dyDescent="0.3">
      <c r="C179" s="90"/>
    </row>
    <row r="180" spans="3:3" ht="15.75" customHeight="1" x14ac:dyDescent="0.3">
      <c r="C180" s="90"/>
    </row>
    <row r="181" spans="3:3" ht="15.75" customHeight="1" x14ac:dyDescent="0.3">
      <c r="C181" s="90"/>
    </row>
    <row r="182" spans="3:3" ht="15.75" customHeight="1" x14ac:dyDescent="0.3">
      <c r="C182" s="90"/>
    </row>
    <row r="183" spans="3:3" ht="15.75" customHeight="1" x14ac:dyDescent="0.3">
      <c r="C183" s="90"/>
    </row>
    <row r="184" spans="3:3" ht="15.75" customHeight="1" x14ac:dyDescent="0.3">
      <c r="C184" s="90"/>
    </row>
    <row r="185" spans="3:3" ht="15.75" customHeight="1" x14ac:dyDescent="0.3">
      <c r="C185" s="90"/>
    </row>
    <row r="186" spans="3:3" ht="15.75" customHeight="1" x14ac:dyDescent="0.3">
      <c r="C186" s="90"/>
    </row>
    <row r="187" spans="3:3" ht="15.75" customHeight="1" x14ac:dyDescent="0.3">
      <c r="C187" s="90"/>
    </row>
    <row r="188" spans="3:3" ht="15.75" customHeight="1" x14ac:dyDescent="0.3">
      <c r="C188" s="90"/>
    </row>
    <row r="189" spans="3:3" ht="15.75" customHeight="1" x14ac:dyDescent="0.3">
      <c r="C189" s="90"/>
    </row>
    <row r="190" spans="3:3" ht="15.75" customHeight="1" x14ac:dyDescent="0.3">
      <c r="C190" s="90"/>
    </row>
    <row r="191" spans="3:3" ht="15.75" customHeight="1" x14ac:dyDescent="0.3">
      <c r="C191" s="90"/>
    </row>
    <row r="192" spans="3:3" ht="15.75" customHeight="1" x14ac:dyDescent="0.3">
      <c r="C192" s="90"/>
    </row>
    <row r="193" spans="3:3" ht="15.75" customHeight="1" x14ac:dyDescent="0.3">
      <c r="C193" s="90"/>
    </row>
    <row r="194" spans="3:3" ht="15.75" customHeight="1" x14ac:dyDescent="0.3">
      <c r="C194" s="90"/>
    </row>
    <row r="195" spans="3:3" ht="15.75" customHeight="1" x14ac:dyDescent="0.3">
      <c r="C195" s="90"/>
    </row>
    <row r="196" spans="3:3" ht="15.75" customHeight="1" x14ac:dyDescent="0.3">
      <c r="C196" s="90"/>
    </row>
    <row r="197" spans="3:3" ht="15.75" customHeight="1" x14ac:dyDescent="0.3">
      <c r="C197" s="90"/>
    </row>
    <row r="198" spans="3:3" ht="15.75" customHeight="1" x14ac:dyDescent="0.3">
      <c r="C198" s="90"/>
    </row>
    <row r="199" spans="3:3" ht="15.75" customHeight="1" x14ac:dyDescent="0.3">
      <c r="C199" s="90"/>
    </row>
    <row r="200" spans="3:3" ht="15.75" customHeight="1" x14ac:dyDescent="0.3">
      <c r="C200" s="90"/>
    </row>
    <row r="201" spans="3:3" ht="15.75" customHeight="1" x14ac:dyDescent="0.3">
      <c r="C201" s="90"/>
    </row>
    <row r="202" spans="3:3" ht="15.75" customHeight="1" x14ac:dyDescent="0.3">
      <c r="C202" s="90"/>
    </row>
    <row r="203" spans="3:3" ht="15.75" customHeight="1" x14ac:dyDescent="0.3">
      <c r="C203" s="90"/>
    </row>
    <row r="204" spans="3:3" ht="15.75" customHeight="1" x14ac:dyDescent="0.3">
      <c r="C204" s="90"/>
    </row>
    <row r="205" spans="3:3" ht="15.75" customHeight="1" x14ac:dyDescent="0.3">
      <c r="C205" s="90"/>
    </row>
    <row r="206" spans="3:3" ht="15.75" customHeight="1" x14ac:dyDescent="0.3">
      <c r="C206" s="90"/>
    </row>
    <row r="207" spans="3:3" ht="15.75" customHeight="1" x14ac:dyDescent="0.3">
      <c r="C207" s="90"/>
    </row>
    <row r="208" spans="3:3" ht="15.75" customHeight="1" x14ac:dyDescent="0.3">
      <c r="C208" s="90"/>
    </row>
    <row r="209" spans="3:3" ht="15.75" customHeight="1" x14ac:dyDescent="0.3">
      <c r="C209" s="90"/>
    </row>
    <row r="210" spans="3:3" ht="15.75" customHeight="1" x14ac:dyDescent="0.3">
      <c r="C210" s="90"/>
    </row>
    <row r="211" spans="3:3" ht="15.75" customHeight="1" x14ac:dyDescent="0.3">
      <c r="C211" s="90"/>
    </row>
    <row r="212" spans="3:3" ht="15.75" customHeight="1" x14ac:dyDescent="0.3">
      <c r="C212" s="90"/>
    </row>
    <row r="213" spans="3:3" ht="15.75" customHeight="1" x14ac:dyDescent="0.3">
      <c r="C213" s="90"/>
    </row>
    <row r="214" spans="3:3" ht="15.75" customHeight="1" x14ac:dyDescent="0.3">
      <c r="C214" s="90"/>
    </row>
    <row r="215" spans="3:3" ht="15.75" customHeight="1" x14ac:dyDescent="0.3">
      <c r="C215" s="90"/>
    </row>
    <row r="216" spans="3:3" ht="15.75" customHeight="1" x14ac:dyDescent="0.3">
      <c r="C216" s="90"/>
    </row>
    <row r="217" spans="3:3" ht="15.75" customHeight="1" x14ac:dyDescent="0.3">
      <c r="C217" s="90"/>
    </row>
    <row r="218" spans="3:3" ht="15.75" customHeight="1" x14ac:dyDescent="0.3">
      <c r="C218" s="90"/>
    </row>
    <row r="219" spans="3:3" ht="15.75" customHeight="1" x14ac:dyDescent="0.3">
      <c r="C219" s="90"/>
    </row>
    <row r="220" spans="3:3" ht="15.75" customHeight="1" x14ac:dyDescent="0.3">
      <c r="C220" s="90"/>
    </row>
    <row r="221" spans="3:3" ht="15.75" customHeight="1" x14ac:dyDescent="0.3">
      <c r="C221" s="90"/>
    </row>
    <row r="222" spans="3:3" ht="15.75" customHeight="1" x14ac:dyDescent="0.3">
      <c r="C222" s="90"/>
    </row>
    <row r="223" spans="3:3" ht="15.75" customHeight="1" x14ac:dyDescent="0.3">
      <c r="C223" s="90"/>
    </row>
    <row r="224" spans="3:3" ht="15.75" customHeight="1" x14ac:dyDescent="0.3">
      <c r="C224" s="90"/>
    </row>
    <row r="225" spans="3:3" ht="15.75" customHeight="1" x14ac:dyDescent="0.3">
      <c r="C225" s="90"/>
    </row>
    <row r="226" spans="3:3" ht="15.75" customHeight="1" x14ac:dyDescent="0.3">
      <c r="C226" s="90"/>
    </row>
    <row r="227" spans="3:3" ht="15.75" customHeight="1" x14ac:dyDescent="0.3">
      <c r="C227" s="90"/>
    </row>
    <row r="228" spans="3:3" ht="15.75" customHeight="1" x14ac:dyDescent="0.3">
      <c r="C228" s="90"/>
    </row>
    <row r="229" spans="3:3" ht="15.75" customHeight="1" x14ac:dyDescent="0.3">
      <c r="C229" s="90"/>
    </row>
    <row r="230" spans="3:3" ht="15.75" customHeight="1" x14ac:dyDescent="0.3">
      <c r="C230" s="90"/>
    </row>
    <row r="231" spans="3:3" ht="15.75" customHeight="1" x14ac:dyDescent="0.3">
      <c r="C231" s="90"/>
    </row>
    <row r="232" spans="3:3" ht="15.75" customHeight="1" x14ac:dyDescent="0.3">
      <c r="C232" s="90"/>
    </row>
    <row r="233" spans="3:3" ht="15.75" customHeight="1" x14ac:dyDescent="0.3">
      <c r="C233" s="90"/>
    </row>
    <row r="234" spans="3:3" ht="15.75" customHeight="1" x14ac:dyDescent="0.3">
      <c r="C234" s="90"/>
    </row>
    <row r="235" spans="3:3" ht="15.75" customHeight="1" x14ac:dyDescent="0.3">
      <c r="C235" s="90"/>
    </row>
    <row r="236" spans="3:3" ht="15.75" customHeight="1" x14ac:dyDescent="0.3">
      <c r="C236" s="90"/>
    </row>
    <row r="237" spans="3:3" ht="15.75" customHeight="1" x14ac:dyDescent="0.3">
      <c r="C237" s="90"/>
    </row>
    <row r="238" spans="3:3" ht="15.75" customHeight="1" x14ac:dyDescent="0.3">
      <c r="C238" s="90"/>
    </row>
    <row r="239" spans="3:3" ht="15.75" customHeight="1" x14ac:dyDescent="0.3">
      <c r="C239" s="90"/>
    </row>
    <row r="240" spans="3:3" ht="15.75" customHeight="1" x14ac:dyDescent="0.3">
      <c r="C240" s="90"/>
    </row>
    <row r="241" spans="3:3" ht="15.75" customHeight="1" x14ac:dyDescent="0.3">
      <c r="C241" s="90"/>
    </row>
    <row r="242" spans="3:3" ht="15.75" customHeight="1" x14ac:dyDescent="0.3">
      <c r="C242" s="90"/>
    </row>
    <row r="243" spans="3:3" ht="15.75" customHeight="1" x14ac:dyDescent="0.3">
      <c r="C243" s="90"/>
    </row>
    <row r="244" spans="3:3" ht="15.75" customHeight="1" x14ac:dyDescent="0.3">
      <c r="C244" s="90"/>
    </row>
    <row r="245" spans="3:3" ht="15.75" customHeight="1" x14ac:dyDescent="0.3">
      <c r="C245" s="90"/>
    </row>
    <row r="246" spans="3:3" ht="15.75" customHeight="1" x14ac:dyDescent="0.3">
      <c r="C246" s="90"/>
    </row>
    <row r="247" spans="3:3" ht="15.75" customHeight="1" x14ac:dyDescent="0.3">
      <c r="C247" s="90"/>
    </row>
    <row r="248" spans="3:3" ht="15.75" customHeight="1" x14ac:dyDescent="0.3">
      <c r="C248" s="90"/>
    </row>
    <row r="249" spans="3:3" ht="15.75" customHeight="1" x14ac:dyDescent="0.3">
      <c r="C249" s="90"/>
    </row>
    <row r="250" spans="3:3" ht="15.75" customHeight="1" x14ac:dyDescent="0.3">
      <c r="C250" s="90"/>
    </row>
    <row r="251" spans="3:3" ht="15.75" customHeight="1" x14ac:dyDescent="0.3">
      <c r="C251" s="90"/>
    </row>
    <row r="252" spans="3:3" ht="15.75" customHeight="1" x14ac:dyDescent="0.3">
      <c r="C252" s="90"/>
    </row>
    <row r="253" spans="3:3" ht="15.75" customHeight="1" x14ac:dyDescent="0.3">
      <c r="C253" s="90"/>
    </row>
    <row r="254" spans="3:3" ht="15.75" customHeight="1" x14ac:dyDescent="0.3">
      <c r="C254" s="90"/>
    </row>
    <row r="255" spans="3:3" ht="15.75" customHeight="1" x14ac:dyDescent="0.3">
      <c r="C255" s="90"/>
    </row>
    <row r="256" spans="3:3" ht="15.75" customHeight="1" x14ac:dyDescent="0.3">
      <c r="C256" s="90"/>
    </row>
    <row r="257" spans="3:3" ht="15.75" customHeight="1" x14ac:dyDescent="0.3">
      <c r="C257" s="90"/>
    </row>
    <row r="258" spans="3:3" ht="15.75" customHeight="1" x14ac:dyDescent="0.3">
      <c r="C258" s="90"/>
    </row>
    <row r="259" spans="3:3" ht="15.75" customHeight="1" x14ac:dyDescent="0.3">
      <c r="C259" s="90"/>
    </row>
    <row r="260" spans="3:3" ht="15.75" customHeight="1" x14ac:dyDescent="0.3">
      <c r="C260" s="90"/>
    </row>
    <row r="261" spans="3:3" ht="15.75" customHeight="1" x14ac:dyDescent="0.3">
      <c r="C261" s="90"/>
    </row>
    <row r="262" spans="3:3" ht="15.75" customHeight="1" x14ac:dyDescent="0.3">
      <c r="C262" s="90"/>
    </row>
    <row r="263" spans="3:3" ht="15.75" customHeight="1" x14ac:dyDescent="0.3">
      <c r="C263" s="90"/>
    </row>
    <row r="264" spans="3:3" ht="15.75" customHeight="1" x14ac:dyDescent="0.3">
      <c r="C264" s="90"/>
    </row>
    <row r="265" spans="3:3" ht="15.75" customHeight="1" x14ac:dyDescent="0.3">
      <c r="C265" s="90"/>
    </row>
    <row r="266" spans="3:3" ht="15.75" customHeight="1" x14ac:dyDescent="0.3">
      <c r="C266" s="90"/>
    </row>
    <row r="267" spans="3:3" ht="15.75" customHeight="1" x14ac:dyDescent="0.3">
      <c r="C267" s="90"/>
    </row>
    <row r="268" spans="3:3" ht="15.75" customHeight="1" x14ac:dyDescent="0.3">
      <c r="C268" s="90"/>
    </row>
    <row r="269" spans="3:3" ht="15.75" customHeight="1" x14ac:dyDescent="0.3">
      <c r="C269" s="90"/>
    </row>
    <row r="270" spans="3:3" ht="15.75" customHeight="1" x14ac:dyDescent="0.3">
      <c r="C270" s="90"/>
    </row>
    <row r="271" spans="3:3" ht="15.75" customHeight="1" x14ac:dyDescent="0.3">
      <c r="C271" s="90"/>
    </row>
    <row r="272" spans="3:3" ht="15.75" customHeight="1" x14ac:dyDescent="0.3">
      <c r="C272" s="90"/>
    </row>
    <row r="273" spans="3:3" ht="15.75" customHeight="1" x14ac:dyDescent="0.3">
      <c r="C273" s="90"/>
    </row>
    <row r="274" spans="3:3" ht="15.75" customHeight="1" x14ac:dyDescent="0.3">
      <c r="C274" s="90"/>
    </row>
    <row r="275" spans="3:3" ht="15.75" customHeight="1" x14ac:dyDescent="0.3">
      <c r="C275" s="90"/>
    </row>
    <row r="276" spans="3:3" ht="15.75" customHeight="1" x14ac:dyDescent="0.3">
      <c r="C276" s="90"/>
    </row>
    <row r="277" spans="3:3" ht="15.75" customHeight="1" x14ac:dyDescent="0.3">
      <c r="C277" s="90"/>
    </row>
    <row r="278" spans="3:3" ht="15.75" customHeight="1" x14ac:dyDescent="0.3">
      <c r="C278" s="90"/>
    </row>
    <row r="279" spans="3:3" ht="15.75" customHeight="1" x14ac:dyDescent="0.3">
      <c r="C279" s="90"/>
    </row>
    <row r="280" spans="3:3" ht="15.75" customHeight="1" x14ac:dyDescent="0.3">
      <c r="C280" s="90"/>
    </row>
    <row r="281" spans="3:3" ht="15.75" customHeight="1" x14ac:dyDescent="0.3">
      <c r="C281" s="90"/>
    </row>
    <row r="282" spans="3:3" ht="15.75" customHeight="1" x14ac:dyDescent="0.3">
      <c r="C282" s="90"/>
    </row>
    <row r="283" spans="3:3" ht="15.75" customHeight="1" x14ac:dyDescent="0.3">
      <c r="C283" s="90"/>
    </row>
    <row r="284" spans="3:3" ht="15.75" customHeight="1" x14ac:dyDescent="0.3">
      <c r="C284" s="90"/>
    </row>
    <row r="285" spans="3:3" ht="15.75" customHeight="1" x14ac:dyDescent="0.3">
      <c r="C285" s="90"/>
    </row>
    <row r="286" spans="3:3" ht="15.75" customHeight="1" x14ac:dyDescent="0.3">
      <c r="C286" s="90"/>
    </row>
    <row r="287" spans="3:3" ht="15.75" customHeight="1" x14ac:dyDescent="0.3">
      <c r="C287" s="90"/>
    </row>
    <row r="288" spans="3:3" ht="15.75" customHeight="1" x14ac:dyDescent="0.3">
      <c r="C288" s="90"/>
    </row>
    <row r="289" spans="3:3" ht="15.75" customHeight="1" x14ac:dyDescent="0.3">
      <c r="C289" s="90"/>
    </row>
    <row r="290" spans="3:3" ht="15.75" customHeight="1" x14ac:dyDescent="0.3">
      <c r="C290" s="90"/>
    </row>
    <row r="291" spans="3:3" ht="15.75" customHeight="1" x14ac:dyDescent="0.3">
      <c r="C291" s="90"/>
    </row>
    <row r="292" spans="3:3" ht="15.75" customHeight="1" x14ac:dyDescent="0.3">
      <c r="C292" s="90"/>
    </row>
    <row r="293" spans="3:3" ht="15.75" customHeight="1" x14ac:dyDescent="0.3">
      <c r="C293" s="90"/>
    </row>
    <row r="294" spans="3:3" ht="15.75" customHeight="1" x14ac:dyDescent="0.3">
      <c r="C294" s="90"/>
    </row>
    <row r="295" spans="3:3" ht="15.75" customHeight="1" x14ac:dyDescent="0.3">
      <c r="C295" s="90"/>
    </row>
    <row r="296" spans="3:3" ht="15.75" customHeight="1" x14ac:dyDescent="0.3">
      <c r="C296" s="90"/>
    </row>
    <row r="297" spans="3:3" ht="15.75" customHeight="1" x14ac:dyDescent="0.3">
      <c r="C297" s="90"/>
    </row>
    <row r="298" spans="3:3" ht="15.75" customHeight="1" x14ac:dyDescent="0.3">
      <c r="C298" s="90"/>
    </row>
    <row r="299" spans="3:3" ht="15.75" customHeight="1" x14ac:dyDescent="0.3">
      <c r="C299" s="90"/>
    </row>
    <row r="300" spans="3:3" ht="15.75" customHeight="1" x14ac:dyDescent="0.3">
      <c r="C300" s="90"/>
    </row>
    <row r="301" spans="3:3" ht="15.75" customHeight="1" x14ac:dyDescent="0.3">
      <c r="C301" s="90"/>
    </row>
    <row r="302" spans="3:3" ht="15.75" customHeight="1" x14ac:dyDescent="0.3">
      <c r="C302" s="90"/>
    </row>
    <row r="303" spans="3:3" ht="15.75" customHeight="1" x14ac:dyDescent="0.3">
      <c r="C303" s="90"/>
    </row>
    <row r="304" spans="3:3" ht="15.75" customHeight="1" x14ac:dyDescent="0.3">
      <c r="C304" s="90"/>
    </row>
    <row r="305" spans="3:3" ht="15.75" customHeight="1" x14ac:dyDescent="0.3">
      <c r="C305" s="90"/>
    </row>
    <row r="306" spans="3:3" ht="15.75" customHeight="1" x14ac:dyDescent="0.3">
      <c r="C306" s="90"/>
    </row>
    <row r="307" spans="3:3" ht="15.75" customHeight="1" x14ac:dyDescent="0.3">
      <c r="C307" s="90"/>
    </row>
    <row r="308" spans="3:3" ht="15.75" customHeight="1" x14ac:dyDescent="0.3">
      <c r="C308" s="90"/>
    </row>
    <row r="309" spans="3:3" ht="15.75" customHeight="1" x14ac:dyDescent="0.3">
      <c r="C309" s="90"/>
    </row>
    <row r="310" spans="3:3" ht="15.75" customHeight="1" x14ac:dyDescent="0.3">
      <c r="C310" s="90"/>
    </row>
    <row r="311" spans="3:3" ht="15.75" customHeight="1" x14ac:dyDescent="0.3">
      <c r="C311" s="90"/>
    </row>
    <row r="312" spans="3:3" ht="15.75" customHeight="1" x14ac:dyDescent="0.3">
      <c r="C312" s="90"/>
    </row>
    <row r="313" spans="3:3" ht="15.75" customHeight="1" x14ac:dyDescent="0.3">
      <c r="C313" s="90"/>
    </row>
    <row r="314" spans="3:3" ht="15.75" customHeight="1" x14ac:dyDescent="0.3">
      <c r="C314" s="90"/>
    </row>
    <row r="315" spans="3:3" ht="15.75" customHeight="1" x14ac:dyDescent="0.3">
      <c r="C315" s="90"/>
    </row>
    <row r="316" spans="3:3" ht="15.75" customHeight="1" x14ac:dyDescent="0.3">
      <c r="C316" s="90"/>
    </row>
    <row r="317" spans="3:3" ht="15.75" customHeight="1" x14ac:dyDescent="0.3">
      <c r="C317" s="90"/>
    </row>
    <row r="318" spans="3:3" ht="15.75" customHeight="1" x14ac:dyDescent="0.3">
      <c r="C318" s="90"/>
    </row>
    <row r="319" spans="3:3" ht="15.75" customHeight="1" x14ac:dyDescent="0.3">
      <c r="C319" s="90"/>
    </row>
    <row r="320" spans="3:3" ht="15.75" customHeight="1" x14ac:dyDescent="0.3">
      <c r="C320" s="90"/>
    </row>
    <row r="321" spans="3:3" ht="15.75" customHeight="1" x14ac:dyDescent="0.3">
      <c r="C321" s="90"/>
    </row>
    <row r="322" spans="3:3" ht="15.75" customHeight="1" x14ac:dyDescent="0.3">
      <c r="C322" s="90"/>
    </row>
    <row r="323" spans="3:3" ht="15.75" customHeight="1" x14ac:dyDescent="0.3">
      <c r="C323" s="90"/>
    </row>
    <row r="324" spans="3:3" ht="15.75" customHeight="1" x14ac:dyDescent="0.3">
      <c r="C324" s="90"/>
    </row>
    <row r="325" spans="3:3" ht="15.75" customHeight="1" x14ac:dyDescent="0.3">
      <c r="C325" s="90"/>
    </row>
    <row r="326" spans="3:3" ht="15.75" customHeight="1" x14ac:dyDescent="0.3">
      <c r="C326" s="90"/>
    </row>
    <row r="327" spans="3:3" ht="15.75" customHeight="1" x14ac:dyDescent="0.3">
      <c r="C327" s="90"/>
    </row>
    <row r="328" spans="3:3" ht="15.75" customHeight="1" x14ac:dyDescent="0.3">
      <c r="C328" s="90"/>
    </row>
    <row r="329" spans="3:3" ht="15.75" customHeight="1" x14ac:dyDescent="0.3">
      <c r="C329" s="90"/>
    </row>
    <row r="330" spans="3:3" ht="15.75" customHeight="1" x14ac:dyDescent="0.3">
      <c r="C330" s="90"/>
    </row>
    <row r="331" spans="3:3" ht="15.75" customHeight="1" x14ac:dyDescent="0.3">
      <c r="C331" s="90"/>
    </row>
    <row r="332" spans="3:3" ht="15.75" customHeight="1" x14ac:dyDescent="0.3">
      <c r="C332" s="90"/>
    </row>
    <row r="333" spans="3:3" ht="15.75" customHeight="1" x14ac:dyDescent="0.3">
      <c r="C333" s="90"/>
    </row>
    <row r="334" spans="3:3" ht="15.75" customHeight="1" x14ac:dyDescent="0.3">
      <c r="C334" s="90"/>
    </row>
    <row r="335" spans="3:3" ht="15.75" customHeight="1" x14ac:dyDescent="0.3">
      <c r="C335" s="90"/>
    </row>
    <row r="336" spans="3:3" ht="15.75" customHeight="1" x14ac:dyDescent="0.3">
      <c r="C336" s="90"/>
    </row>
    <row r="337" spans="3:3" ht="15.75" customHeight="1" x14ac:dyDescent="0.3">
      <c r="C337" s="90"/>
    </row>
    <row r="338" spans="3:3" ht="15.75" customHeight="1" x14ac:dyDescent="0.3">
      <c r="C338" s="90"/>
    </row>
    <row r="339" spans="3:3" ht="15.75" customHeight="1" x14ac:dyDescent="0.3">
      <c r="C339" s="90"/>
    </row>
    <row r="340" spans="3:3" ht="15.75" customHeight="1" x14ac:dyDescent="0.3">
      <c r="C340" s="90"/>
    </row>
    <row r="341" spans="3:3" ht="15.75" customHeight="1" x14ac:dyDescent="0.3">
      <c r="C341" s="90"/>
    </row>
    <row r="342" spans="3:3" ht="15.75" customHeight="1" x14ac:dyDescent="0.3">
      <c r="C342" s="90"/>
    </row>
    <row r="343" spans="3:3" ht="15.75" customHeight="1" x14ac:dyDescent="0.3">
      <c r="C343" s="90"/>
    </row>
    <row r="344" spans="3:3" ht="15.75" customHeight="1" x14ac:dyDescent="0.3">
      <c r="C344" s="90"/>
    </row>
    <row r="345" spans="3:3" ht="15.75" customHeight="1" x14ac:dyDescent="0.3">
      <c r="C345" s="90"/>
    </row>
    <row r="346" spans="3:3" ht="15.75" customHeight="1" x14ac:dyDescent="0.3">
      <c r="C346" s="90"/>
    </row>
    <row r="347" spans="3:3" ht="15.75" customHeight="1" x14ac:dyDescent="0.3">
      <c r="C347" s="90"/>
    </row>
    <row r="348" spans="3:3" ht="15.75" customHeight="1" x14ac:dyDescent="0.3">
      <c r="C348" s="90"/>
    </row>
    <row r="349" spans="3:3" ht="15.75" customHeight="1" x14ac:dyDescent="0.3">
      <c r="C349" s="90"/>
    </row>
    <row r="350" spans="3:3" ht="15.75" customHeight="1" x14ac:dyDescent="0.3">
      <c r="C350" s="90"/>
    </row>
    <row r="351" spans="3:3" ht="15.75" customHeight="1" x14ac:dyDescent="0.3">
      <c r="C351" s="90"/>
    </row>
    <row r="352" spans="3:3" ht="15.75" customHeight="1" x14ac:dyDescent="0.3">
      <c r="C352" s="90"/>
    </row>
    <row r="353" spans="3:3" ht="15.75" customHeight="1" x14ac:dyDescent="0.3">
      <c r="C353" s="90"/>
    </row>
    <row r="354" spans="3:3" ht="15.75" customHeight="1" x14ac:dyDescent="0.3">
      <c r="C354" s="90"/>
    </row>
    <row r="355" spans="3:3" ht="15.75" customHeight="1" x14ac:dyDescent="0.3">
      <c r="C355" s="90"/>
    </row>
    <row r="356" spans="3:3" ht="15.75" customHeight="1" x14ac:dyDescent="0.3">
      <c r="C356" s="90"/>
    </row>
    <row r="357" spans="3:3" ht="15.75" customHeight="1" x14ac:dyDescent="0.3">
      <c r="C357" s="90"/>
    </row>
    <row r="358" spans="3:3" ht="15.75" customHeight="1" x14ac:dyDescent="0.3">
      <c r="C358" s="90"/>
    </row>
    <row r="359" spans="3:3" ht="15.75" customHeight="1" x14ac:dyDescent="0.3">
      <c r="C359" s="90"/>
    </row>
    <row r="360" spans="3:3" ht="15.75" customHeight="1" x14ac:dyDescent="0.3">
      <c r="C360" s="90"/>
    </row>
    <row r="361" spans="3:3" ht="15.75" customHeight="1" x14ac:dyDescent="0.3">
      <c r="C361" s="90"/>
    </row>
    <row r="362" spans="3:3" ht="15.75" customHeight="1" x14ac:dyDescent="0.3">
      <c r="C362" s="90"/>
    </row>
    <row r="363" spans="3:3" ht="15.75" customHeight="1" x14ac:dyDescent="0.3">
      <c r="C363" s="90"/>
    </row>
    <row r="364" spans="3:3" ht="15.75" customHeight="1" x14ac:dyDescent="0.3">
      <c r="C364" s="90"/>
    </row>
    <row r="365" spans="3:3" ht="15.75" customHeight="1" x14ac:dyDescent="0.3">
      <c r="C365" s="90"/>
    </row>
    <row r="366" spans="3:3" ht="15.75" customHeight="1" x14ac:dyDescent="0.3">
      <c r="C366" s="90"/>
    </row>
    <row r="367" spans="3:3" ht="15.75" customHeight="1" x14ac:dyDescent="0.3">
      <c r="C367" s="90"/>
    </row>
    <row r="368" spans="3:3" ht="15.75" customHeight="1" x14ac:dyDescent="0.3">
      <c r="C368" s="90"/>
    </row>
    <row r="369" spans="3:3" ht="15.75" customHeight="1" x14ac:dyDescent="0.3">
      <c r="C369" s="90"/>
    </row>
    <row r="370" spans="3:3" ht="15.75" customHeight="1" x14ac:dyDescent="0.3">
      <c r="C370" s="90"/>
    </row>
    <row r="371" spans="3:3" ht="15.75" customHeight="1" x14ac:dyDescent="0.3">
      <c r="C371" s="90"/>
    </row>
    <row r="372" spans="3:3" ht="15.75" customHeight="1" x14ac:dyDescent="0.3">
      <c r="C372" s="90"/>
    </row>
    <row r="373" spans="3:3" ht="15.75" customHeight="1" x14ac:dyDescent="0.3">
      <c r="C373" s="90"/>
    </row>
    <row r="374" spans="3:3" ht="15.75" customHeight="1" x14ac:dyDescent="0.3">
      <c r="C374" s="90"/>
    </row>
    <row r="375" spans="3:3" ht="15.75" customHeight="1" x14ac:dyDescent="0.3">
      <c r="C375" s="90"/>
    </row>
    <row r="376" spans="3:3" ht="15.75" customHeight="1" x14ac:dyDescent="0.3">
      <c r="C376" s="90"/>
    </row>
    <row r="377" spans="3:3" ht="15.75" customHeight="1" x14ac:dyDescent="0.3">
      <c r="C377" s="90"/>
    </row>
    <row r="378" spans="3:3" ht="15.75" customHeight="1" x14ac:dyDescent="0.3">
      <c r="C378" s="90"/>
    </row>
    <row r="379" spans="3:3" ht="15.75" customHeight="1" x14ac:dyDescent="0.3">
      <c r="C379" s="90"/>
    </row>
    <row r="380" spans="3:3" ht="15.75" customHeight="1" x14ac:dyDescent="0.3">
      <c r="C380" s="90"/>
    </row>
    <row r="381" spans="3:3" ht="15.75" customHeight="1" x14ac:dyDescent="0.3">
      <c r="C381" s="90"/>
    </row>
    <row r="382" spans="3:3" ht="15.75" customHeight="1" x14ac:dyDescent="0.3">
      <c r="C382" s="90"/>
    </row>
    <row r="383" spans="3:3" ht="15.75" customHeight="1" x14ac:dyDescent="0.3">
      <c r="C383" s="90"/>
    </row>
    <row r="384" spans="3:3" ht="15.75" customHeight="1" x14ac:dyDescent="0.3">
      <c r="C384" s="90"/>
    </row>
    <row r="385" spans="3:3" ht="15.75" customHeight="1" x14ac:dyDescent="0.3">
      <c r="C385" s="90"/>
    </row>
    <row r="386" spans="3:3" ht="15.75" customHeight="1" x14ac:dyDescent="0.3">
      <c r="C386" s="90"/>
    </row>
    <row r="387" spans="3:3" ht="15.75" customHeight="1" x14ac:dyDescent="0.3">
      <c r="C387" s="90"/>
    </row>
    <row r="388" spans="3:3" ht="15.75" customHeight="1" x14ac:dyDescent="0.3">
      <c r="C388" s="90"/>
    </row>
    <row r="389" spans="3:3" ht="15.75" customHeight="1" x14ac:dyDescent="0.3">
      <c r="C389" s="90"/>
    </row>
    <row r="390" spans="3:3" ht="15.75" customHeight="1" x14ac:dyDescent="0.3">
      <c r="C390" s="90"/>
    </row>
    <row r="391" spans="3:3" ht="15.75" customHeight="1" x14ac:dyDescent="0.3">
      <c r="C391" s="90"/>
    </row>
    <row r="392" spans="3:3" ht="15.75" customHeight="1" x14ac:dyDescent="0.3">
      <c r="C392" s="90"/>
    </row>
    <row r="393" spans="3:3" ht="15.75" customHeight="1" x14ac:dyDescent="0.3">
      <c r="C393" s="90"/>
    </row>
    <row r="394" spans="3:3" ht="15.75" customHeight="1" x14ac:dyDescent="0.3">
      <c r="C394" s="90"/>
    </row>
    <row r="395" spans="3:3" ht="15.75" customHeight="1" x14ac:dyDescent="0.3">
      <c r="C395" s="90"/>
    </row>
    <row r="396" spans="3:3" ht="15.75" customHeight="1" x14ac:dyDescent="0.3">
      <c r="C396" s="90"/>
    </row>
    <row r="397" spans="3:3" ht="15.75" customHeight="1" x14ac:dyDescent="0.3">
      <c r="C397" s="90"/>
    </row>
    <row r="398" spans="3:3" ht="15.75" customHeight="1" x14ac:dyDescent="0.3">
      <c r="C398" s="90"/>
    </row>
    <row r="399" spans="3:3" ht="15.75" customHeight="1" x14ac:dyDescent="0.3">
      <c r="C399" s="90"/>
    </row>
    <row r="400" spans="3:3" ht="15.75" customHeight="1" x14ac:dyDescent="0.3">
      <c r="C400" s="90"/>
    </row>
    <row r="401" spans="3:3" ht="15.75" customHeight="1" x14ac:dyDescent="0.3">
      <c r="C401" s="90"/>
    </row>
    <row r="402" spans="3:3" ht="15.75" customHeight="1" x14ac:dyDescent="0.3">
      <c r="C402" s="90"/>
    </row>
    <row r="403" spans="3:3" ht="15.75" customHeight="1" x14ac:dyDescent="0.3">
      <c r="C403" s="90"/>
    </row>
    <row r="404" spans="3:3" ht="15.75" customHeight="1" x14ac:dyDescent="0.3">
      <c r="C404" s="90"/>
    </row>
    <row r="405" spans="3:3" ht="15.75" customHeight="1" x14ac:dyDescent="0.3">
      <c r="C405" s="90"/>
    </row>
    <row r="406" spans="3:3" ht="15.75" customHeight="1" x14ac:dyDescent="0.3">
      <c r="C406" s="90"/>
    </row>
    <row r="407" spans="3:3" ht="15.75" customHeight="1" x14ac:dyDescent="0.3">
      <c r="C407" s="90"/>
    </row>
    <row r="408" spans="3:3" ht="15.75" customHeight="1" x14ac:dyDescent="0.3">
      <c r="C408" s="90"/>
    </row>
    <row r="409" spans="3:3" ht="15.75" customHeight="1" x14ac:dyDescent="0.3">
      <c r="C409" s="90"/>
    </row>
    <row r="410" spans="3:3" ht="15.75" customHeight="1" x14ac:dyDescent="0.3">
      <c r="C410" s="90"/>
    </row>
    <row r="411" spans="3:3" ht="15.75" customHeight="1" x14ac:dyDescent="0.3">
      <c r="C411" s="90"/>
    </row>
    <row r="412" spans="3:3" ht="15.75" customHeight="1" x14ac:dyDescent="0.3">
      <c r="C412" s="90"/>
    </row>
    <row r="413" spans="3:3" ht="15.75" customHeight="1" x14ac:dyDescent="0.3">
      <c r="C413" s="90"/>
    </row>
    <row r="414" spans="3:3" ht="15.75" customHeight="1" x14ac:dyDescent="0.3">
      <c r="C414" s="90"/>
    </row>
    <row r="415" spans="3:3" ht="15.75" customHeight="1" x14ac:dyDescent="0.3">
      <c r="C415" s="90"/>
    </row>
    <row r="416" spans="3:3" ht="15.75" customHeight="1" x14ac:dyDescent="0.3">
      <c r="C416" s="90"/>
    </row>
    <row r="417" spans="3:3" ht="15.75" customHeight="1" x14ac:dyDescent="0.3">
      <c r="C417" s="90"/>
    </row>
    <row r="418" spans="3:3" ht="15.75" customHeight="1" x14ac:dyDescent="0.3">
      <c r="C418" s="90"/>
    </row>
    <row r="419" spans="3:3" ht="15.75" customHeight="1" x14ac:dyDescent="0.3">
      <c r="C419" s="90"/>
    </row>
    <row r="420" spans="3:3" ht="15.75" customHeight="1" x14ac:dyDescent="0.3">
      <c r="C420" s="90"/>
    </row>
    <row r="421" spans="3:3" ht="15.75" customHeight="1" x14ac:dyDescent="0.3">
      <c r="C421" s="90"/>
    </row>
    <row r="422" spans="3:3" ht="15.75" customHeight="1" x14ac:dyDescent="0.3">
      <c r="C422" s="90"/>
    </row>
    <row r="423" spans="3:3" ht="15.75" customHeight="1" x14ac:dyDescent="0.3">
      <c r="C423" s="90"/>
    </row>
    <row r="424" spans="3:3" ht="15.75" customHeight="1" x14ac:dyDescent="0.3">
      <c r="C424" s="90"/>
    </row>
    <row r="425" spans="3:3" ht="15.75" customHeight="1" x14ac:dyDescent="0.3">
      <c r="C425" s="90"/>
    </row>
    <row r="426" spans="3:3" ht="15.75" customHeight="1" x14ac:dyDescent="0.3">
      <c r="C426" s="90"/>
    </row>
    <row r="427" spans="3:3" ht="15.75" customHeight="1" x14ac:dyDescent="0.3">
      <c r="C427" s="90"/>
    </row>
    <row r="428" spans="3:3" ht="15.75" customHeight="1" x14ac:dyDescent="0.3">
      <c r="C428" s="90"/>
    </row>
    <row r="429" spans="3:3" ht="15.75" customHeight="1" x14ac:dyDescent="0.3">
      <c r="C429" s="90"/>
    </row>
    <row r="430" spans="3:3" ht="15.75" customHeight="1" x14ac:dyDescent="0.3">
      <c r="C430" s="90"/>
    </row>
    <row r="431" spans="3:3" ht="15.75" customHeight="1" x14ac:dyDescent="0.3">
      <c r="C431" s="90"/>
    </row>
    <row r="432" spans="3:3" ht="15.75" customHeight="1" x14ac:dyDescent="0.3">
      <c r="C432" s="90"/>
    </row>
    <row r="433" spans="3:3" ht="15.75" customHeight="1" x14ac:dyDescent="0.3">
      <c r="C433" s="90"/>
    </row>
    <row r="434" spans="3:3" ht="15.75" customHeight="1" x14ac:dyDescent="0.3">
      <c r="C434" s="90"/>
    </row>
    <row r="435" spans="3:3" ht="15.75" customHeight="1" x14ac:dyDescent="0.3">
      <c r="C435" s="90"/>
    </row>
    <row r="436" spans="3:3" ht="15.75" customHeight="1" x14ac:dyDescent="0.3">
      <c r="C436" s="90"/>
    </row>
    <row r="437" spans="3:3" ht="15.75" customHeight="1" x14ac:dyDescent="0.3">
      <c r="C437" s="90"/>
    </row>
    <row r="438" spans="3:3" ht="15.75" customHeight="1" x14ac:dyDescent="0.3">
      <c r="C438" s="90"/>
    </row>
    <row r="439" spans="3:3" ht="15.75" customHeight="1" x14ac:dyDescent="0.3">
      <c r="C439" s="90"/>
    </row>
    <row r="440" spans="3:3" ht="15.75" customHeight="1" x14ac:dyDescent="0.3">
      <c r="C440" s="90"/>
    </row>
    <row r="441" spans="3:3" ht="15.75" customHeight="1" x14ac:dyDescent="0.3">
      <c r="C441" s="90"/>
    </row>
    <row r="442" spans="3:3" ht="15.75" customHeight="1" x14ac:dyDescent="0.3">
      <c r="C442" s="90"/>
    </row>
    <row r="443" spans="3:3" ht="15.75" customHeight="1" x14ac:dyDescent="0.3">
      <c r="C443" s="90"/>
    </row>
    <row r="444" spans="3:3" ht="15.75" customHeight="1" x14ac:dyDescent="0.3">
      <c r="C444" s="90"/>
    </row>
    <row r="445" spans="3:3" ht="15.75" customHeight="1" x14ac:dyDescent="0.3">
      <c r="C445" s="90"/>
    </row>
    <row r="446" spans="3:3" ht="15.75" customHeight="1" x14ac:dyDescent="0.3">
      <c r="C446" s="90"/>
    </row>
    <row r="447" spans="3:3" ht="15.75" customHeight="1" x14ac:dyDescent="0.3">
      <c r="C447" s="90"/>
    </row>
    <row r="448" spans="3:3" ht="15.75" customHeight="1" x14ac:dyDescent="0.3">
      <c r="C448" s="90"/>
    </row>
    <row r="449" spans="3:3" ht="15.75" customHeight="1" x14ac:dyDescent="0.3">
      <c r="C449" s="90"/>
    </row>
    <row r="450" spans="3:3" ht="15.75" customHeight="1" x14ac:dyDescent="0.3">
      <c r="C450" s="90"/>
    </row>
    <row r="451" spans="3:3" ht="15.75" customHeight="1" x14ac:dyDescent="0.3">
      <c r="C451" s="90"/>
    </row>
    <row r="452" spans="3:3" ht="15.75" customHeight="1" x14ac:dyDescent="0.3">
      <c r="C452" s="90"/>
    </row>
    <row r="453" spans="3:3" ht="15.75" customHeight="1" x14ac:dyDescent="0.3">
      <c r="C453" s="90"/>
    </row>
    <row r="454" spans="3:3" ht="15.75" customHeight="1" x14ac:dyDescent="0.3">
      <c r="C454" s="90"/>
    </row>
    <row r="455" spans="3:3" ht="15.75" customHeight="1" x14ac:dyDescent="0.3">
      <c r="C455" s="90"/>
    </row>
    <row r="456" spans="3:3" ht="15.75" customHeight="1" x14ac:dyDescent="0.3">
      <c r="C456" s="90"/>
    </row>
    <row r="457" spans="3:3" ht="15.75" customHeight="1" x14ac:dyDescent="0.3">
      <c r="C457" s="90"/>
    </row>
    <row r="458" spans="3:3" ht="15.75" customHeight="1" x14ac:dyDescent="0.3">
      <c r="C458" s="90"/>
    </row>
    <row r="459" spans="3:3" ht="15.75" customHeight="1" x14ac:dyDescent="0.3">
      <c r="C459" s="90"/>
    </row>
    <row r="460" spans="3:3" ht="15.75" customHeight="1" x14ac:dyDescent="0.3">
      <c r="C460" s="90"/>
    </row>
    <row r="461" spans="3:3" ht="15.75" customHeight="1" x14ac:dyDescent="0.3">
      <c r="C461" s="90"/>
    </row>
    <row r="462" spans="3:3" ht="15.75" customHeight="1" x14ac:dyDescent="0.3">
      <c r="C462" s="90"/>
    </row>
    <row r="463" spans="3:3" ht="15.75" customHeight="1" x14ac:dyDescent="0.3">
      <c r="C463" s="90"/>
    </row>
    <row r="464" spans="3:3" ht="15.75" customHeight="1" x14ac:dyDescent="0.3">
      <c r="C464" s="90"/>
    </row>
    <row r="465" spans="3:3" ht="15.75" customHeight="1" x14ac:dyDescent="0.3">
      <c r="C465" s="90"/>
    </row>
    <row r="466" spans="3:3" ht="15.75" customHeight="1" x14ac:dyDescent="0.3">
      <c r="C466" s="90"/>
    </row>
    <row r="467" spans="3:3" ht="15.75" customHeight="1" x14ac:dyDescent="0.3">
      <c r="C467" s="90"/>
    </row>
    <row r="468" spans="3:3" ht="15.75" customHeight="1" x14ac:dyDescent="0.3">
      <c r="C468" s="90"/>
    </row>
    <row r="469" spans="3:3" ht="15.75" customHeight="1" x14ac:dyDescent="0.3">
      <c r="C469" s="90"/>
    </row>
    <row r="470" spans="3:3" ht="15.75" customHeight="1" x14ac:dyDescent="0.3">
      <c r="C470" s="90"/>
    </row>
    <row r="471" spans="3:3" ht="15.75" customHeight="1" x14ac:dyDescent="0.3">
      <c r="C471" s="90"/>
    </row>
    <row r="472" spans="3:3" ht="15.75" customHeight="1" x14ac:dyDescent="0.3">
      <c r="C472" s="90"/>
    </row>
    <row r="473" spans="3:3" ht="15.75" customHeight="1" x14ac:dyDescent="0.3">
      <c r="C473" s="90"/>
    </row>
    <row r="474" spans="3:3" ht="15.75" customHeight="1" x14ac:dyDescent="0.3">
      <c r="C474" s="90"/>
    </row>
    <row r="475" spans="3:3" ht="15.75" customHeight="1" x14ac:dyDescent="0.3">
      <c r="C475" s="90"/>
    </row>
    <row r="476" spans="3:3" ht="15.75" customHeight="1" x14ac:dyDescent="0.3">
      <c r="C476" s="90"/>
    </row>
    <row r="477" spans="3:3" ht="15.75" customHeight="1" x14ac:dyDescent="0.3">
      <c r="C477" s="90"/>
    </row>
    <row r="478" spans="3:3" ht="15.75" customHeight="1" x14ac:dyDescent="0.3">
      <c r="C478" s="90"/>
    </row>
    <row r="479" spans="3:3" ht="15.75" customHeight="1" x14ac:dyDescent="0.3">
      <c r="C479" s="90"/>
    </row>
    <row r="480" spans="3:3" ht="15.75" customHeight="1" x14ac:dyDescent="0.3">
      <c r="C480" s="90"/>
    </row>
    <row r="481" spans="3:3" ht="15.75" customHeight="1" x14ac:dyDescent="0.3">
      <c r="C481" s="90"/>
    </row>
    <row r="482" spans="3:3" ht="15.75" customHeight="1" x14ac:dyDescent="0.3">
      <c r="C482" s="90"/>
    </row>
    <row r="483" spans="3:3" ht="15.75" customHeight="1" x14ac:dyDescent="0.3">
      <c r="C483" s="90"/>
    </row>
    <row r="484" spans="3:3" ht="15.75" customHeight="1" x14ac:dyDescent="0.3">
      <c r="C484" s="90"/>
    </row>
    <row r="485" spans="3:3" ht="15.75" customHeight="1" x14ac:dyDescent="0.3">
      <c r="C485" s="90"/>
    </row>
    <row r="486" spans="3:3" ht="15.75" customHeight="1" x14ac:dyDescent="0.3">
      <c r="C486" s="90"/>
    </row>
    <row r="487" spans="3:3" ht="15.75" customHeight="1" x14ac:dyDescent="0.3">
      <c r="C487" s="90"/>
    </row>
    <row r="488" spans="3:3" ht="15.75" customHeight="1" x14ac:dyDescent="0.3">
      <c r="C488" s="90"/>
    </row>
    <row r="489" spans="3:3" ht="15.75" customHeight="1" x14ac:dyDescent="0.3">
      <c r="C489" s="90"/>
    </row>
    <row r="490" spans="3:3" ht="15.75" customHeight="1" x14ac:dyDescent="0.3">
      <c r="C490" s="90"/>
    </row>
    <row r="491" spans="3:3" ht="15.75" customHeight="1" x14ac:dyDescent="0.3">
      <c r="C491" s="90"/>
    </row>
    <row r="492" spans="3:3" ht="15.75" customHeight="1" x14ac:dyDescent="0.3">
      <c r="C492" s="90"/>
    </row>
    <row r="493" spans="3:3" ht="15.75" customHeight="1" x14ac:dyDescent="0.3">
      <c r="C493" s="90"/>
    </row>
    <row r="494" spans="3:3" ht="15.75" customHeight="1" x14ac:dyDescent="0.3">
      <c r="C494" s="90"/>
    </row>
    <row r="495" spans="3:3" ht="15.75" customHeight="1" x14ac:dyDescent="0.3">
      <c r="C495" s="90"/>
    </row>
    <row r="496" spans="3:3" ht="15.75" customHeight="1" x14ac:dyDescent="0.3">
      <c r="C496" s="90"/>
    </row>
    <row r="497" spans="3:3" ht="15.75" customHeight="1" x14ac:dyDescent="0.3">
      <c r="C497" s="90"/>
    </row>
    <row r="498" spans="3:3" ht="15.75" customHeight="1" x14ac:dyDescent="0.3">
      <c r="C498" s="90"/>
    </row>
    <row r="499" spans="3:3" ht="15.75" customHeight="1" x14ac:dyDescent="0.3">
      <c r="C499" s="90"/>
    </row>
    <row r="500" spans="3:3" ht="15.75" customHeight="1" x14ac:dyDescent="0.3">
      <c r="C500" s="90"/>
    </row>
    <row r="501" spans="3:3" ht="15.75" customHeight="1" x14ac:dyDescent="0.3">
      <c r="C501" s="90"/>
    </row>
    <row r="502" spans="3:3" ht="15.75" customHeight="1" x14ac:dyDescent="0.3">
      <c r="C502" s="90"/>
    </row>
    <row r="503" spans="3:3" ht="15.75" customHeight="1" x14ac:dyDescent="0.3">
      <c r="C503" s="90"/>
    </row>
    <row r="504" spans="3:3" ht="15.75" customHeight="1" x14ac:dyDescent="0.3">
      <c r="C504" s="90"/>
    </row>
    <row r="505" spans="3:3" ht="15.75" customHeight="1" x14ac:dyDescent="0.3">
      <c r="C505" s="90"/>
    </row>
    <row r="506" spans="3:3" ht="15.75" customHeight="1" x14ac:dyDescent="0.3">
      <c r="C506" s="90"/>
    </row>
    <row r="507" spans="3:3" ht="15.75" customHeight="1" x14ac:dyDescent="0.3">
      <c r="C507" s="90"/>
    </row>
    <row r="508" spans="3:3" ht="15.75" customHeight="1" x14ac:dyDescent="0.3">
      <c r="C508" s="90"/>
    </row>
    <row r="509" spans="3:3" ht="15.75" customHeight="1" x14ac:dyDescent="0.3">
      <c r="C509" s="90"/>
    </row>
    <row r="510" spans="3:3" ht="15.75" customHeight="1" x14ac:dyDescent="0.3">
      <c r="C510" s="90"/>
    </row>
    <row r="511" spans="3:3" ht="15.75" customHeight="1" x14ac:dyDescent="0.3">
      <c r="C511" s="90"/>
    </row>
    <row r="512" spans="3:3" ht="15.75" customHeight="1" x14ac:dyDescent="0.3">
      <c r="C512" s="90"/>
    </row>
    <row r="513" spans="3:3" ht="15.75" customHeight="1" x14ac:dyDescent="0.3">
      <c r="C513" s="90"/>
    </row>
    <row r="514" spans="3:3" ht="15.75" customHeight="1" x14ac:dyDescent="0.3">
      <c r="C514" s="90"/>
    </row>
    <row r="515" spans="3:3" ht="15.75" customHeight="1" x14ac:dyDescent="0.3">
      <c r="C515" s="90"/>
    </row>
    <row r="516" spans="3:3" ht="15.75" customHeight="1" x14ac:dyDescent="0.3">
      <c r="C516" s="90"/>
    </row>
    <row r="517" spans="3:3" ht="15.75" customHeight="1" x14ac:dyDescent="0.3">
      <c r="C517" s="90"/>
    </row>
    <row r="518" spans="3:3" ht="15.75" customHeight="1" x14ac:dyDescent="0.3">
      <c r="C518" s="90"/>
    </row>
    <row r="519" spans="3:3" ht="15.75" customHeight="1" x14ac:dyDescent="0.3">
      <c r="C519" s="90"/>
    </row>
    <row r="520" spans="3:3" ht="15.75" customHeight="1" x14ac:dyDescent="0.3">
      <c r="C520" s="90"/>
    </row>
    <row r="521" spans="3:3" ht="15.75" customHeight="1" x14ac:dyDescent="0.3">
      <c r="C521" s="90"/>
    </row>
    <row r="522" spans="3:3" ht="15.75" customHeight="1" x14ac:dyDescent="0.3">
      <c r="C522" s="90"/>
    </row>
    <row r="523" spans="3:3" ht="15.75" customHeight="1" x14ac:dyDescent="0.3">
      <c r="C523" s="90"/>
    </row>
    <row r="524" spans="3:3" ht="15.75" customHeight="1" x14ac:dyDescent="0.3">
      <c r="C524" s="90"/>
    </row>
    <row r="525" spans="3:3" ht="15.75" customHeight="1" x14ac:dyDescent="0.3">
      <c r="C525" s="90"/>
    </row>
    <row r="526" spans="3:3" ht="15.75" customHeight="1" x14ac:dyDescent="0.3">
      <c r="C526" s="90"/>
    </row>
    <row r="527" spans="3:3" ht="15.75" customHeight="1" x14ac:dyDescent="0.3">
      <c r="C527" s="90"/>
    </row>
    <row r="528" spans="3:3" ht="15.75" customHeight="1" x14ac:dyDescent="0.3">
      <c r="C528" s="90"/>
    </row>
    <row r="529" spans="3:3" ht="15.75" customHeight="1" x14ac:dyDescent="0.3">
      <c r="C529" s="90"/>
    </row>
    <row r="530" spans="3:3" ht="15.75" customHeight="1" x14ac:dyDescent="0.3">
      <c r="C530" s="90"/>
    </row>
    <row r="531" spans="3:3" ht="15.75" customHeight="1" x14ac:dyDescent="0.3">
      <c r="C531" s="90"/>
    </row>
    <row r="532" spans="3:3" ht="15.75" customHeight="1" x14ac:dyDescent="0.3">
      <c r="C532" s="90"/>
    </row>
    <row r="533" spans="3:3" ht="15.75" customHeight="1" x14ac:dyDescent="0.3">
      <c r="C533" s="90"/>
    </row>
    <row r="534" spans="3:3" ht="15.75" customHeight="1" x14ac:dyDescent="0.3">
      <c r="C534" s="90"/>
    </row>
    <row r="535" spans="3:3" ht="15.75" customHeight="1" x14ac:dyDescent="0.3">
      <c r="C535" s="90"/>
    </row>
    <row r="536" spans="3:3" ht="15.75" customHeight="1" x14ac:dyDescent="0.3">
      <c r="C536" s="90"/>
    </row>
    <row r="537" spans="3:3" ht="15.75" customHeight="1" x14ac:dyDescent="0.3">
      <c r="C537" s="90"/>
    </row>
    <row r="538" spans="3:3" ht="15.75" customHeight="1" x14ac:dyDescent="0.3">
      <c r="C538" s="90"/>
    </row>
    <row r="539" spans="3:3" ht="15.75" customHeight="1" x14ac:dyDescent="0.3">
      <c r="C539" s="90"/>
    </row>
    <row r="540" spans="3:3" ht="15.75" customHeight="1" x14ac:dyDescent="0.3">
      <c r="C540" s="90"/>
    </row>
    <row r="541" spans="3:3" ht="15.75" customHeight="1" x14ac:dyDescent="0.3">
      <c r="C541" s="90"/>
    </row>
    <row r="542" spans="3:3" ht="15.75" customHeight="1" x14ac:dyDescent="0.3">
      <c r="C542" s="90"/>
    </row>
    <row r="543" spans="3:3" ht="15.75" customHeight="1" x14ac:dyDescent="0.3">
      <c r="C543" s="90"/>
    </row>
    <row r="544" spans="3:3" ht="15.75" customHeight="1" x14ac:dyDescent="0.3">
      <c r="C544" s="90"/>
    </row>
    <row r="545" spans="3:3" ht="15.75" customHeight="1" x14ac:dyDescent="0.3">
      <c r="C545" s="90"/>
    </row>
    <row r="546" spans="3:3" ht="15.75" customHeight="1" x14ac:dyDescent="0.3">
      <c r="C546" s="90"/>
    </row>
    <row r="547" spans="3:3" ht="15.75" customHeight="1" x14ac:dyDescent="0.3">
      <c r="C547" s="90"/>
    </row>
    <row r="548" spans="3:3" ht="15.75" customHeight="1" x14ac:dyDescent="0.3">
      <c r="C548" s="90"/>
    </row>
    <row r="549" spans="3:3" ht="15.75" customHeight="1" x14ac:dyDescent="0.3">
      <c r="C549" s="90"/>
    </row>
    <row r="550" spans="3:3" ht="15.75" customHeight="1" x14ac:dyDescent="0.3">
      <c r="C550" s="90"/>
    </row>
    <row r="551" spans="3:3" ht="15.75" customHeight="1" x14ac:dyDescent="0.3">
      <c r="C551" s="90"/>
    </row>
    <row r="552" spans="3:3" ht="15.75" customHeight="1" x14ac:dyDescent="0.3">
      <c r="C552" s="90"/>
    </row>
    <row r="553" spans="3:3" ht="15.75" customHeight="1" x14ac:dyDescent="0.3">
      <c r="C553" s="90"/>
    </row>
    <row r="554" spans="3:3" ht="15.75" customHeight="1" x14ac:dyDescent="0.3">
      <c r="C554" s="90"/>
    </row>
    <row r="555" spans="3:3" ht="15.75" customHeight="1" x14ac:dyDescent="0.3">
      <c r="C555" s="90"/>
    </row>
    <row r="556" spans="3:3" ht="15.75" customHeight="1" x14ac:dyDescent="0.3">
      <c r="C556" s="90"/>
    </row>
    <row r="557" spans="3:3" ht="15.75" customHeight="1" x14ac:dyDescent="0.3">
      <c r="C557" s="90"/>
    </row>
    <row r="558" spans="3:3" ht="15.75" customHeight="1" x14ac:dyDescent="0.3">
      <c r="C558" s="90"/>
    </row>
    <row r="559" spans="3:3" ht="15.75" customHeight="1" x14ac:dyDescent="0.3">
      <c r="C559" s="90"/>
    </row>
    <row r="560" spans="3:3" ht="15.75" customHeight="1" x14ac:dyDescent="0.3">
      <c r="C560" s="90"/>
    </row>
    <row r="561" spans="3:3" ht="15.75" customHeight="1" x14ac:dyDescent="0.3">
      <c r="C561" s="90"/>
    </row>
    <row r="562" spans="3:3" ht="15.75" customHeight="1" x14ac:dyDescent="0.3">
      <c r="C562" s="90"/>
    </row>
    <row r="563" spans="3:3" ht="15.75" customHeight="1" x14ac:dyDescent="0.3">
      <c r="C563" s="90"/>
    </row>
    <row r="564" spans="3:3" ht="15.75" customHeight="1" x14ac:dyDescent="0.3">
      <c r="C564" s="90"/>
    </row>
    <row r="565" spans="3:3" ht="15.75" customHeight="1" x14ac:dyDescent="0.3">
      <c r="C565" s="90"/>
    </row>
    <row r="566" spans="3:3" ht="15.75" customHeight="1" x14ac:dyDescent="0.3">
      <c r="C566" s="90"/>
    </row>
    <row r="567" spans="3:3" ht="15.75" customHeight="1" x14ac:dyDescent="0.3">
      <c r="C567" s="90"/>
    </row>
    <row r="568" spans="3:3" ht="15.75" customHeight="1" x14ac:dyDescent="0.3">
      <c r="C568" s="90"/>
    </row>
    <row r="569" spans="3:3" ht="15.75" customHeight="1" x14ac:dyDescent="0.3">
      <c r="C569" s="90"/>
    </row>
    <row r="570" spans="3:3" ht="15.75" customHeight="1" x14ac:dyDescent="0.3">
      <c r="C570" s="90"/>
    </row>
    <row r="571" spans="3:3" ht="15.75" customHeight="1" x14ac:dyDescent="0.3">
      <c r="C571" s="90"/>
    </row>
    <row r="572" spans="3:3" ht="15.75" customHeight="1" x14ac:dyDescent="0.3">
      <c r="C572" s="90"/>
    </row>
    <row r="573" spans="3:3" ht="15.75" customHeight="1" x14ac:dyDescent="0.3">
      <c r="C573" s="90"/>
    </row>
    <row r="574" spans="3:3" ht="15.75" customHeight="1" x14ac:dyDescent="0.3">
      <c r="C574" s="90"/>
    </row>
    <row r="575" spans="3:3" ht="15.75" customHeight="1" x14ac:dyDescent="0.3">
      <c r="C575" s="90"/>
    </row>
    <row r="576" spans="3:3" ht="15.75" customHeight="1" x14ac:dyDescent="0.3">
      <c r="C576" s="90"/>
    </row>
    <row r="577" spans="3:3" ht="15.75" customHeight="1" x14ac:dyDescent="0.3">
      <c r="C577" s="90"/>
    </row>
    <row r="578" spans="3:3" ht="15.75" customHeight="1" x14ac:dyDescent="0.3">
      <c r="C578" s="90"/>
    </row>
    <row r="579" spans="3:3" ht="15.75" customHeight="1" x14ac:dyDescent="0.3">
      <c r="C579" s="90"/>
    </row>
    <row r="580" spans="3:3" ht="15.75" customHeight="1" x14ac:dyDescent="0.3">
      <c r="C580" s="90"/>
    </row>
    <row r="581" spans="3:3" ht="15.75" customHeight="1" x14ac:dyDescent="0.3">
      <c r="C581" s="90"/>
    </row>
    <row r="582" spans="3:3" ht="15.75" customHeight="1" x14ac:dyDescent="0.3">
      <c r="C582" s="90"/>
    </row>
    <row r="583" spans="3:3" ht="15.75" customHeight="1" x14ac:dyDescent="0.3">
      <c r="C583" s="90"/>
    </row>
    <row r="584" spans="3:3" ht="15.75" customHeight="1" x14ac:dyDescent="0.3">
      <c r="C584" s="90"/>
    </row>
    <row r="585" spans="3:3" ht="15.75" customHeight="1" x14ac:dyDescent="0.3">
      <c r="C585" s="90"/>
    </row>
    <row r="586" spans="3:3" ht="15.75" customHeight="1" x14ac:dyDescent="0.3">
      <c r="C586" s="90"/>
    </row>
    <row r="587" spans="3:3" ht="15.75" customHeight="1" x14ac:dyDescent="0.3">
      <c r="C587" s="90"/>
    </row>
    <row r="588" spans="3:3" ht="15.75" customHeight="1" x14ac:dyDescent="0.3">
      <c r="C588" s="90"/>
    </row>
    <row r="589" spans="3:3" ht="15.75" customHeight="1" x14ac:dyDescent="0.3">
      <c r="C589" s="90"/>
    </row>
    <row r="590" spans="3:3" ht="15.75" customHeight="1" x14ac:dyDescent="0.3">
      <c r="C590" s="90"/>
    </row>
    <row r="591" spans="3:3" ht="15.75" customHeight="1" x14ac:dyDescent="0.3">
      <c r="C591" s="90"/>
    </row>
    <row r="592" spans="3:3" ht="15.75" customHeight="1" x14ac:dyDescent="0.3">
      <c r="C592" s="90"/>
    </row>
    <row r="593" spans="3:3" ht="15.75" customHeight="1" x14ac:dyDescent="0.3">
      <c r="C593" s="90"/>
    </row>
    <row r="594" spans="3:3" ht="15.75" customHeight="1" x14ac:dyDescent="0.3">
      <c r="C594" s="90"/>
    </row>
    <row r="595" spans="3:3" ht="15.75" customHeight="1" x14ac:dyDescent="0.3">
      <c r="C595" s="90"/>
    </row>
    <row r="596" spans="3:3" ht="15.75" customHeight="1" x14ac:dyDescent="0.3">
      <c r="C596" s="90"/>
    </row>
    <row r="597" spans="3:3" ht="15.75" customHeight="1" x14ac:dyDescent="0.3">
      <c r="C597" s="90"/>
    </row>
    <row r="598" spans="3:3" ht="15.75" customHeight="1" x14ac:dyDescent="0.3">
      <c r="C598" s="90"/>
    </row>
    <row r="599" spans="3:3" ht="15.75" customHeight="1" x14ac:dyDescent="0.3">
      <c r="C599" s="90"/>
    </row>
    <row r="600" spans="3:3" ht="15.75" customHeight="1" x14ac:dyDescent="0.3">
      <c r="C600" s="90"/>
    </row>
    <row r="601" spans="3:3" ht="15.75" customHeight="1" x14ac:dyDescent="0.3">
      <c r="C601" s="90"/>
    </row>
    <row r="602" spans="3:3" ht="15.75" customHeight="1" x14ac:dyDescent="0.3">
      <c r="C602" s="90"/>
    </row>
    <row r="603" spans="3:3" ht="15.75" customHeight="1" x14ac:dyDescent="0.3">
      <c r="C603" s="90"/>
    </row>
    <row r="604" spans="3:3" ht="15.75" customHeight="1" x14ac:dyDescent="0.3">
      <c r="C604" s="90"/>
    </row>
    <row r="605" spans="3:3" ht="15.75" customHeight="1" x14ac:dyDescent="0.3">
      <c r="C605" s="90"/>
    </row>
    <row r="606" spans="3:3" ht="15.75" customHeight="1" x14ac:dyDescent="0.3">
      <c r="C606" s="90"/>
    </row>
    <row r="607" spans="3:3" ht="15.75" customHeight="1" x14ac:dyDescent="0.3">
      <c r="C607" s="90"/>
    </row>
    <row r="608" spans="3:3" ht="15.75" customHeight="1" x14ac:dyDescent="0.3">
      <c r="C608" s="90"/>
    </row>
    <row r="609" spans="3:3" ht="15.75" customHeight="1" x14ac:dyDescent="0.3">
      <c r="C609" s="90"/>
    </row>
    <row r="610" spans="3:3" ht="15.75" customHeight="1" x14ac:dyDescent="0.3">
      <c r="C610" s="90"/>
    </row>
    <row r="611" spans="3:3" ht="15.75" customHeight="1" x14ac:dyDescent="0.3">
      <c r="C611" s="90"/>
    </row>
    <row r="612" spans="3:3" ht="15.75" customHeight="1" x14ac:dyDescent="0.3">
      <c r="C612" s="90"/>
    </row>
    <row r="613" spans="3:3" ht="15.75" customHeight="1" x14ac:dyDescent="0.3">
      <c r="C613" s="90"/>
    </row>
    <row r="614" spans="3:3" ht="15.75" customHeight="1" x14ac:dyDescent="0.3">
      <c r="C614" s="90"/>
    </row>
    <row r="615" spans="3:3" ht="15.75" customHeight="1" x14ac:dyDescent="0.3">
      <c r="C615" s="90"/>
    </row>
    <row r="616" spans="3:3" ht="15.75" customHeight="1" x14ac:dyDescent="0.3">
      <c r="C616" s="90"/>
    </row>
    <row r="617" spans="3:3" ht="15.75" customHeight="1" x14ac:dyDescent="0.3">
      <c r="C617" s="90"/>
    </row>
    <row r="618" spans="3:3" ht="15.75" customHeight="1" x14ac:dyDescent="0.3">
      <c r="C618" s="90"/>
    </row>
    <row r="619" spans="3:3" ht="15.75" customHeight="1" x14ac:dyDescent="0.3">
      <c r="C619" s="90"/>
    </row>
    <row r="620" spans="3:3" ht="15.75" customHeight="1" x14ac:dyDescent="0.3">
      <c r="C620" s="90"/>
    </row>
    <row r="621" spans="3:3" ht="15.75" customHeight="1" x14ac:dyDescent="0.3">
      <c r="C621" s="90"/>
    </row>
    <row r="622" spans="3:3" ht="15.75" customHeight="1" x14ac:dyDescent="0.3">
      <c r="C622" s="90"/>
    </row>
    <row r="623" spans="3:3" ht="15.75" customHeight="1" x14ac:dyDescent="0.3">
      <c r="C623" s="90"/>
    </row>
    <row r="624" spans="3:3" ht="15.75" customHeight="1" x14ac:dyDescent="0.3">
      <c r="C624" s="90"/>
    </row>
    <row r="625" spans="3:3" ht="15.75" customHeight="1" x14ac:dyDescent="0.3">
      <c r="C625" s="90"/>
    </row>
    <row r="626" spans="3:3" ht="15.75" customHeight="1" x14ac:dyDescent="0.3">
      <c r="C626" s="90"/>
    </row>
    <row r="627" spans="3:3" ht="15.75" customHeight="1" x14ac:dyDescent="0.3">
      <c r="C627" s="90"/>
    </row>
    <row r="628" spans="3:3" ht="15.75" customHeight="1" x14ac:dyDescent="0.3">
      <c r="C628" s="90"/>
    </row>
    <row r="629" spans="3:3" ht="15.75" customHeight="1" x14ac:dyDescent="0.3">
      <c r="C629" s="90"/>
    </row>
    <row r="630" spans="3:3" ht="15.75" customHeight="1" x14ac:dyDescent="0.3">
      <c r="C630" s="90"/>
    </row>
    <row r="631" spans="3:3" ht="15.75" customHeight="1" x14ac:dyDescent="0.3">
      <c r="C631" s="90"/>
    </row>
    <row r="632" spans="3:3" ht="15.75" customHeight="1" x14ac:dyDescent="0.3">
      <c r="C632" s="90"/>
    </row>
    <row r="633" spans="3:3" ht="15.75" customHeight="1" x14ac:dyDescent="0.3">
      <c r="C633" s="90"/>
    </row>
    <row r="634" spans="3:3" ht="15.75" customHeight="1" x14ac:dyDescent="0.3">
      <c r="C634" s="90"/>
    </row>
    <row r="635" spans="3:3" ht="15.75" customHeight="1" x14ac:dyDescent="0.3">
      <c r="C635" s="90"/>
    </row>
    <row r="636" spans="3:3" ht="15.75" customHeight="1" x14ac:dyDescent="0.3">
      <c r="C636" s="90"/>
    </row>
    <row r="637" spans="3:3" ht="15.75" customHeight="1" x14ac:dyDescent="0.3">
      <c r="C637" s="90"/>
    </row>
    <row r="638" spans="3:3" ht="15.75" customHeight="1" x14ac:dyDescent="0.3">
      <c r="C638" s="90"/>
    </row>
    <row r="639" spans="3:3" ht="15.75" customHeight="1" x14ac:dyDescent="0.3">
      <c r="C639" s="90"/>
    </row>
    <row r="640" spans="3:3" ht="15.75" customHeight="1" x14ac:dyDescent="0.3">
      <c r="C640" s="90"/>
    </row>
    <row r="641" spans="3:3" ht="15.75" customHeight="1" x14ac:dyDescent="0.3">
      <c r="C641" s="90"/>
    </row>
    <row r="642" spans="3:3" ht="15.75" customHeight="1" x14ac:dyDescent="0.3">
      <c r="C642" s="90"/>
    </row>
    <row r="643" spans="3:3" ht="15.75" customHeight="1" x14ac:dyDescent="0.3">
      <c r="C643" s="90"/>
    </row>
    <row r="644" spans="3:3" ht="15.75" customHeight="1" x14ac:dyDescent="0.3">
      <c r="C644" s="90"/>
    </row>
    <row r="645" spans="3:3" ht="15.75" customHeight="1" x14ac:dyDescent="0.3">
      <c r="C645" s="90"/>
    </row>
    <row r="646" spans="3:3" ht="15.75" customHeight="1" x14ac:dyDescent="0.3">
      <c r="C646" s="90"/>
    </row>
    <row r="647" spans="3:3" ht="15.75" customHeight="1" x14ac:dyDescent="0.3">
      <c r="C647" s="90"/>
    </row>
    <row r="648" spans="3:3" ht="15.75" customHeight="1" x14ac:dyDescent="0.3">
      <c r="C648" s="90"/>
    </row>
    <row r="649" spans="3:3" ht="15.75" customHeight="1" x14ac:dyDescent="0.3">
      <c r="C649" s="90"/>
    </row>
    <row r="650" spans="3:3" ht="15.75" customHeight="1" x14ac:dyDescent="0.3">
      <c r="C650" s="90"/>
    </row>
    <row r="651" spans="3:3" ht="15.75" customHeight="1" x14ac:dyDescent="0.3">
      <c r="C651" s="90"/>
    </row>
    <row r="652" spans="3:3" ht="15.75" customHeight="1" x14ac:dyDescent="0.3">
      <c r="C652" s="90"/>
    </row>
    <row r="653" spans="3:3" ht="15.75" customHeight="1" x14ac:dyDescent="0.3">
      <c r="C653" s="90"/>
    </row>
    <row r="654" spans="3:3" ht="15.75" customHeight="1" x14ac:dyDescent="0.3">
      <c r="C654" s="90"/>
    </row>
    <row r="655" spans="3:3" ht="15.75" customHeight="1" x14ac:dyDescent="0.3">
      <c r="C655" s="90"/>
    </row>
    <row r="656" spans="3:3" ht="15.75" customHeight="1" x14ac:dyDescent="0.3">
      <c r="C656" s="90"/>
    </row>
    <row r="657" spans="3:3" ht="15.75" customHeight="1" x14ac:dyDescent="0.3">
      <c r="C657" s="90"/>
    </row>
    <row r="658" spans="3:3" ht="15.75" customHeight="1" x14ac:dyDescent="0.3">
      <c r="C658" s="90"/>
    </row>
    <row r="659" spans="3:3" ht="15.75" customHeight="1" x14ac:dyDescent="0.3">
      <c r="C659" s="90"/>
    </row>
    <row r="660" spans="3:3" ht="15.75" customHeight="1" x14ac:dyDescent="0.3">
      <c r="C660" s="90"/>
    </row>
    <row r="661" spans="3:3" ht="15.75" customHeight="1" x14ac:dyDescent="0.3">
      <c r="C661" s="90"/>
    </row>
    <row r="662" spans="3:3" ht="15.75" customHeight="1" x14ac:dyDescent="0.3">
      <c r="C662" s="90"/>
    </row>
    <row r="663" spans="3:3" ht="15.75" customHeight="1" x14ac:dyDescent="0.3">
      <c r="C663" s="90"/>
    </row>
    <row r="664" spans="3:3" ht="15.75" customHeight="1" x14ac:dyDescent="0.3">
      <c r="C664" s="90"/>
    </row>
    <row r="665" spans="3:3" ht="15.75" customHeight="1" x14ac:dyDescent="0.3">
      <c r="C665" s="90"/>
    </row>
    <row r="666" spans="3:3" ht="15.75" customHeight="1" x14ac:dyDescent="0.3">
      <c r="C666" s="90"/>
    </row>
    <row r="667" spans="3:3" ht="15.75" customHeight="1" x14ac:dyDescent="0.3">
      <c r="C667" s="90"/>
    </row>
    <row r="668" spans="3:3" ht="15.75" customHeight="1" x14ac:dyDescent="0.3">
      <c r="C668" s="90"/>
    </row>
    <row r="669" spans="3:3" ht="15.75" customHeight="1" x14ac:dyDescent="0.3">
      <c r="C669" s="90"/>
    </row>
    <row r="670" spans="3:3" ht="15.75" customHeight="1" x14ac:dyDescent="0.3">
      <c r="C670" s="90"/>
    </row>
    <row r="671" spans="3:3" ht="15.75" customHeight="1" x14ac:dyDescent="0.3">
      <c r="C671" s="90"/>
    </row>
    <row r="672" spans="3:3" ht="15.75" customHeight="1" x14ac:dyDescent="0.3">
      <c r="C672" s="90"/>
    </row>
    <row r="673" spans="3:3" ht="15.75" customHeight="1" x14ac:dyDescent="0.3">
      <c r="C673" s="90"/>
    </row>
    <row r="674" spans="3:3" ht="15.75" customHeight="1" x14ac:dyDescent="0.3">
      <c r="C674" s="90"/>
    </row>
    <row r="675" spans="3:3" ht="15.75" customHeight="1" x14ac:dyDescent="0.3">
      <c r="C675" s="90"/>
    </row>
    <row r="676" spans="3:3" ht="15.75" customHeight="1" x14ac:dyDescent="0.3">
      <c r="C676" s="90"/>
    </row>
    <row r="677" spans="3:3" ht="15.75" customHeight="1" x14ac:dyDescent="0.3">
      <c r="C677" s="90"/>
    </row>
    <row r="678" spans="3:3" ht="15.75" customHeight="1" x14ac:dyDescent="0.3">
      <c r="C678" s="90"/>
    </row>
    <row r="679" spans="3:3" ht="15.75" customHeight="1" x14ac:dyDescent="0.3">
      <c r="C679" s="90"/>
    </row>
    <row r="680" spans="3:3" ht="15.75" customHeight="1" x14ac:dyDescent="0.3">
      <c r="C680" s="90"/>
    </row>
    <row r="681" spans="3:3" ht="15.75" customHeight="1" x14ac:dyDescent="0.3">
      <c r="C681" s="90"/>
    </row>
    <row r="682" spans="3:3" ht="15.75" customHeight="1" x14ac:dyDescent="0.3">
      <c r="C682" s="90"/>
    </row>
    <row r="683" spans="3:3" ht="15.75" customHeight="1" x14ac:dyDescent="0.3">
      <c r="C683" s="90"/>
    </row>
    <row r="684" spans="3:3" ht="15.75" customHeight="1" x14ac:dyDescent="0.3">
      <c r="C684" s="90"/>
    </row>
    <row r="685" spans="3:3" ht="15.75" customHeight="1" x14ac:dyDescent="0.3">
      <c r="C685" s="90"/>
    </row>
    <row r="686" spans="3:3" ht="15.75" customHeight="1" x14ac:dyDescent="0.3">
      <c r="C686" s="90"/>
    </row>
    <row r="687" spans="3:3" ht="15.75" customHeight="1" x14ac:dyDescent="0.3">
      <c r="C687" s="90"/>
    </row>
    <row r="688" spans="3:3" ht="15.75" customHeight="1" x14ac:dyDescent="0.3">
      <c r="C688" s="90"/>
    </row>
    <row r="689" spans="3:3" ht="15.75" customHeight="1" x14ac:dyDescent="0.3">
      <c r="C689" s="90"/>
    </row>
    <row r="690" spans="3:3" ht="15.75" customHeight="1" x14ac:dyDescent="0.3">
      <c r="C690" s="90"/>
    </row>
    <row r="691" spans="3:3" ht="15.75" customHeight="1" x14ac:dyDescent="0.3">
      <c r="C691" s="90"/>
    </row>
    <row r="692" spans="3:3" ht="15.75" customHeight="1" x14ac:dyDescent="0.3">
      <c r="C692" s="90"/>
    </row>
    <row r="693" spans="3:3" ht="15.75" customHeight="1" x14ac:dyDescent="0.3">
      <c r="C693" s="90"/>
    </row>
    <row r="694" spans="3:3" ht="15.75" customHeight="1" x14ac:dyDescent="0.3">
      <c r="C694" s="90"/>
    </row>
    <row r="695" spans="3:3" ht="15.75" customHeight="1" x14ac:dyDescent="0.3">
      <c r="C695" s="90"/>
    </row>
    <row r="696" spans="3:3" ht="15.75" customHeight="1" x14ac:dyDescent="0.3">
      <c r="C696" s="90"/>
    </row>
    <row r="697" spans="3:3" ht="15.75" customHeight="1" x14ac:dyDescent="0.3">
      <c r="C697" s="90"/>
    </row>
    <row r="698" spans="3:3" ht="15.75" customHeight="1" x14ac:dyDescent="0.3">
      <c r="C698" s="90"/>
    </row>
    <row r="699" spans="3:3" ht="15.75" customHeight="1" x14ac:dyDescent="0.3">
      <c r="C699" s="90"/>
    </row>
    <row r="700" spans="3:3" ht="15.75" customHeight="1" x14ac:dyDescent="0.3">
      <c r="C700" s="90"/>
    </row>
    <row r="701" spans="3:3" ht="15.75" customHeight="1" x14ac:dyDescent="0.3">
      <c r="C701" s="90"/>
    </row>
    <row r="702" spans="3:3" ht="15.75" customHeight="1" x14ac:dyDescent="0.3">
      <c r="C702" s="90"/>
    </row>
    <row r="703" spans="3:3" ht="15.75" customHeight="1" x14ac:dyDescent="0.3">
      <c r="C703" s="90"/>
    </row>
    <row r="704" spans="3:3" ht="15.75" customHeight="1" x14ac:dyDescent="0.3">
      <c r="C704" s="90"/>
    </row>
    <row r="705" spans="3:3" ht="15.75" customHeight="1" x14ac:dyDescent="0.3">
      <c r="C705" s="90"/>
    </row>
    <row r="706" spans="3:3" ht="15.75" customHeight="1" x14ac:dyDescent="0.3">
      <c r="C706" s="90"/>
    </row>
    <row r="707" spans="3:3" ht="15.75" customHeight="1" x14ac:dyDescent="0.3">
      <c r="C707" s="90"/>
    </row>
    <row r="708" spans="3:3" ht="15.75" customHeight="1" x14ac:dyDescent="0.3">
      <c r="C708" s="90"/>
    </row>
    <row r="709" spans="3:3" ht="15.75" customHeight="1" x14ac:dyDescent="0.3">
      <c r="C709" s="90"/>
    </row>
    <row r="710" spans="3:3" ht="15.75" customHeight="1" x14ac:dyDescent="0.3">
      <c r="C710" s="90"/>
    </row>
    <row r="711" spans="3:3" ht="15.75" customHeight="1" x14ac:dyDescent="0.3">
      <c r="C711" s="90"/>
    </row>
    <row r="712" spans="3:3" ht="15.75" customHeight="1" x14ac:dyDescent="0.3">
      <c r="C712" s="90"/>
    </row>
    <row r="713" spans="3:3" ht="15.75" customHeight="1" x14ac:dyDescent="0.3">
      <c r="C713" s="90"/>
    </row>
    <row r="714" spans="3:3" ht="15.75" customHeight="1" x14ac:dyDescent="0.3">
      <c r="C714" s="90"/>
    </row>
    <row r="715" spans="3:3" ht="15.75" customHeight="1" x14ac:dyDescent="0.3">
      <c r="C715" s="90"/>
    </row>
    <row r="716" spans="3:3" ht="15.75" customHeight="1" x14ac:dyDescent="0.3">
      <c r="C716" s="90"/>
    </row>
    <row r="717" spans="3:3" ht="15.75" customHeight="1" x14ac:dyDescent="0.3">
      <c r="C717" s="90"/>
    </row>
    <row r="718" spans="3:3" ht="15.75" customHeight="1" x14ac:dyDescent="0.3">
      <c r="C718" s="90"/>
    </row>
    <row r="719" spans="3:3" ht="15.75" customHeight="1" x14ac:dyDescent="0.3">
      <c r="C719" s="90"/>
    </row>
    <row r="720" spans="3:3" ht="15.75" customHeight="1" x14ac:dyDescent="0.3">
      <c r="C720" s="90"/>
    </row>
    <row r="721" spans="3:3" ht="15.75" customHeight="1" x14ac:dyDescent="0.3">
      <c r="C721" s="90"/>
    </row>
    <row r="722" spans="3:3" ht="15.75" customHeight="1" x14ac:dyDescent="0.3">
      <c r="C722" s="90"/>
    </row>
    <row r="723" spans="3:3" ht="15.75" customHeight="1" x14ac:dyDescent="0.3">
      <c r="C723" s="90"/>
    </row>
    <row r="724" spans="3:3" ht="15.75" customHeight="1" x14ac:dyDescent="0.3">
      <c r="C724" s="90"/>
    </row>
    <row r="725" spans="3:3" ht="15.75" customHeight="1" x14ac:dyDescent="0.3">
      <c r="C725" s="90"/>
    </row>
    <row r="726" spans="3:3" ht="15.75" customHeight="1" x14ac:dyDescent="0.3">
      <c r="C726" s="90"/>
    </row>
    <row r="727" spans="3:3" ht="15.75" customHeight="1" x14ac:dyDescent="0.3">
      <c r="C727" s="90"/>
    </row>
    <row r="728" spans="3:3" ht="15.75" customHeight="1" x14ac:dyDescent="0.3">
      <c r="C728" s="90"/>
    </row>
    <row r="729" spans="3:3" ht="15.75" customHeight="1" x14ac:dyDescent="0.3">
      <c r="C729" s="90"/>
    </row>
    <row r="730" spans="3:3" ht="15.75" customHeight="1" x14ac:dyDescent="0.3">
      <c r="C730" s="90"/>
    </row>
    <row r="731" spans="3:3" ht="15.75" customHeight="1" x14ac:dyDescent="0.3">
      <c r="C731" s="90"/>
    </row>
    <row r="732" spans="3:3" ht="15.75" customHeight="1" x14ac:dyDescent="0.3">
      <c r="C732" s="90"/>
    </row>
    <row r="733" spans="3:3" ht="15.75" customHeight="1" x14ac:dyDescent="0.3">
      <c r="C733" s="90"/>
    </row>
    <row r="734" spans="3:3" ht="15.75" customHeight="1" x14ac:dyDescent="0.3">
      <c r="C734" s="90"/>
    </row>
    <row r="735" spans="3:3" ht="15.75" customHeight="1" x14ac:dyDescent="0.3">
      <c r="C735" s="90"/>
    </row>
    <row r="736" spans="3:3" ht="15.75" customHeight="1" x14ac:dyDescent="0.3">
      <c r="C736" s="90"/>
    </row>
    <row r="737" spans="3:3" ht="15.75" customHeight="1" x14ac:dyDescent="0.3">
      <c r="C737" s="90"/>
    </row>
    <row r="738" spans="3:3" ht="15.75" customHeight="1" x14ac:dyDescent="0.3">
      <c r="C738" s="90"/>
    </row>
    <row r="739" spans="3:3" ht="15.75" customHeight="1" x14ac:dyDescent="0.3">
      <c r="C739" s="90"/>
    </row>
    <row r="740" spans="3:3" ht="15.75" customHeight="1" x14ac:dyDescent="0.3">
      <c r="C740" s="90"/>
    </row>
    <row r="741" spans="3:3" ht="15.75" customHeight="1" x14ac:dyDescent="0.3">
      <c r="C741" s="90"/>
    </row>
    <row r="742" spans="3:3" ht="15.75" customHeight="1" x14ac:dyDescent="0.3">
      <c r="C742" s="90"/>
    </row>
    <row r="743" spans="3:3" ht="15.75" customHeight="1" x14ac:dyDescent="0.3">
      <c r="C743" s="90"/>
    </row>
    <row r="744" spans="3:3" ht="15.75" customHeight="1" x14ac:dyDescent="0.3">
      <c r="C744" s="90"/>
    </row>
    <row r="745" spans="3:3" ht="15.75" customHeight="1" x14ac:dyDescent="0.3">
      <c r="C745" s="90"/>
    </row>
    <row r="746" spans="3:3" ht="15.75" customHeight="1" x14ac:dyDescent="0.3">
      <c r="C746" s="90"/>
    </row>
    <row r="747" spans="3:3" ht="15.75" customHeight="1" x14ac:dyDescent="0.3">
      <c r="C747" s="90"/>
    </row>
    <row r="748" spans="3:3" ht="15.75" customHeight="1" x14ac:dyDescent="0.3">
      <c r="C748" s="90"/>
    </row>
    <row r="749" spans="3:3" ht="15.75" customHeight="1" x14ac:dyDescent="0.3">
      <c r="C749" s="90"/>
    </row>
    <row r="750" spans="3:3" ht="15.75" customHeight="1" x14ac:dyDescent="0.3">
      <c r="C750" s="90"/>
    </row>
    <row r="751" spans="3:3" ht="15.75" customHeight="1" x14ac:dyDescent="0.3">
      <c r="C751" s="90"/>
    </row>
    <row r="752" spans="3:3" ht="15.75" customHeight="1" x14ac:dyDescent="0.3">
      <c r="C752" s="90"/>
    </row>
    <row r="753" spans="3:3" ht="15.75" customHeight="1" x14ac:dyDescent="0.3">
      <c r="C753" s="90"/>
    </row>
    <row r="754" spans="3:3" ht="15.75" customHeight="1" x14ac:dyDescent="0.3">
      <c r="C754" s="90"/>
    </row>
    <row r="755" spans="3:3" ht="15.75" customHeight="1" x14ac:dyDescent="0.3">
      <c r="C755" s="90"/>
    </row>
    <row r="756" spans="3:3" ht="15.75" customHeight="1" x14ac:dyDescent="0.3">
      <c r="C756" s="90"/>
    </row>
    <row r="757" spans="3:3" ht="15.75" customHeight="1" x14ac:dyDescent="0.3">
      <c r="C757" s="90"/>
    </row>
    <row r="758" spans="3:3" ht="15.75" customHeight="1" x14ac:dyDescent="0.3">
      <c r="C758" s="90"/>
    </row>
    <row r="759" spans="3:3" ht="15.75" customHeight="1" x14ac:dyDescent="0.3">
      <c r="C759" s="90"/>
    </row>
    <row r="760" spans="3:3" ht="15.75" customHeight="1" x14ac:dyDescent="0.3">
      <c r="C760" s="90"/>
    </row>
    <row r="761" spans="3:3" ht="15.75" customHeight="1" x14ac:dyDescent="0.3">
      <c r="C761" s="90"/>
    </row>
    <row r="762" spans="3:3" ht="15.75" customHeight="1" x14ac:dyDescent="0.3">
      <c r="C762" s="90"/>
    </row>
    <row r="763" spans="3:3" ht="15.75" customHeight="1" x14ac:dyDescent="0.3">
      <c r="C763" s="90"/>
    </row>
    <row r="764" spans="3:3" ht="15.75" customHeight="1" x14ac:dyDescent="0.3">
      <c r="C764" s="90"/>
    </row>
    <row r="765" spans="3:3" ht="15.75" customHeight="1" x14ac:dyDescent="0.3">
      <c r="C765" s="90"/>
    </row>
    <row r="766" spans="3:3" ht="15.75" customHeight="1" x14ac:dyDescent="0.3">
      <c r="C766" s="90"/>
    </row>
    <row r="767" spans="3:3" ht="15.75" customHeight="1" x14ac:dyDescent="0.3">
      <c r="C767" s="90"/>
    </row>
    <row r="768" spans="3:3" ht="15.75" customHeight="1" x14ac:dyDescent="0.3">
      <c r="C768" s="90"/>
    </row>
    <row r="769" spans="3:3" ht="15.75" customHeight="1" x14ac:dyDescent="0.3">
      <c r="C769" s="90"/>
    </row>
    <row r="770" spans="3:3" ht="15.75" customHeight="1" x14ac:dyDescent="0.3">
      <c r="C770" s="90"/>
    </row>
    <row r="771" spans="3:3" ht="15.75" customHeight="1" x14ac:dyDescent="0.3">
      <c r="C771" s="90"/>
    </row>
    <row r="772" spans="3:3" ht="15.75" customHeight="1" x14ac:dyDescent="0.3">
      <c r="C772" s="90"/>
    </row>
    <row r="773" spans="3:3" ht="15.75" customHeight="1" x14ac:dyDescent="0.3">
      <c r="C773" s="90"/>
    </row>
    <row r="774" spans="3:3" ht="15.75" customHeight="1" x14ac:dyDescent="0.3">
      <c r="C774" s="90"/>
    </row>
    <row r="775" spans="3:3" ht="15.75" customHeight="1" x14ac:dyDescent="0.3">
      <c r="C775" s="90"/>
    </row>
    <row r="776" spans="3:3" ht="15.75" customHeight="1" x14ac:dyDescent="0.3">
      <c r="C776" s="90"/>
    </row>
    <row r="777" spans="3:3" ht="15.75" customHeight="1" x14ac:dyDescent="0.3">
      <c r="C777" s="90"/>
    </row>
    <row r="778" spans="3:3" ht="15.75" customHeight="1" x14ac:dyDescent="0.3">
      <c r="C778" s="90"/>
    </row>
    <row r="779" spans="3:3" ht="15.75" customHeight="1" x14ac:dyDescent="0.3">
      <c r="C779" s="90"/>
    </row>
    <row r="780" spans="3:3" ht="15.75" customHeight="1" x14ac:dyDescent="0.3">
      <c r="C780" s="90"/>
    </row>
    <row r="781" spans="3:3" ht="15.75" customHeight="1" x14ac:dyDescent="0.3">
      <c r="C781" s="90"/>
    </row>
    <row r="782" spans="3:3" ht="15.75" customHeight="1" x14ac:dyDescent="0.3">
      <c r="C782" s="90"/>
    </row>
    <row r="783" spans="3:3" ht="15.75" customHeight="1" x14ac:dyDescent="0.3">
      <c r="C783" s="90"/>
    </row>
    <row r="784" spans="3:3" ht="15.75" customHeight="1" x14ac:dyDescent="0.3">
      <c r="C784" s="90"/>
    </row>
    <row r="785" spans="3:3" ht="15.75" customHeight="1" x14ac:dyDescent="0.3">
      <c r="C785" s="90"/>
    </row>
    <row r="786" spans="3:3" ht="15.75" customHeight="1" x14ac:dyDescent="0.3">
      <c r="C786" s="90"/>
    </row>
    <row r="787" spans="3:3" ht="15.75" customHeight="1" x14ac:dyDescent="0.3">
      <c r="C787" s="90"/>
    </row>
    <row r="788" spans="3:3" ht="15.75" customHeight="1" x14ac:dyDescent="0.3">
      <c r="C788" s="90"/>
    </row>
    <row r="789" spans="3:3" ht="15.75" customHeight="1" x14ac:dyDescent="0.3">
      <c r="C789" s="90"/>
    </row>
    <row r="790" spans="3:3" ht="15.75" customHeight="1" x14ac:dyDescent="0.3">
      <c r="C790" s="90"/>
    </row>
    <row r="791" spans="3:3" ht="15.75" customHeight="1" x14ac:dyDescent="0.3">
      <c r="C791" s="90"/>
    </row>
    <row r="792" spans="3:3" ht="15.75" customHeight="1" x14ac:dyDescent="0.3">
      <c r="C792" s="90"/>
    </row>
    <row r="793" spans="3:3" ht="15.75" customHeight="1" x14ac:dyDescent="0.3">
      <c r="C793" s="90"/>
    </row>
    <row r="794" spans="3:3" ht="15.75" customHeight="1" x14ac:dyDescent="0.3">
      <c r="C794" s="90"/>
    </row>
    <row r="795" spans="3:3" ht="15.75" customHeight="1" x14ac:dyDescent="0.3">
      <c r="C795" s="90"/>
    </row>
    <row r="796" spans="3:3" ht="15.75" customHeight="1" x14ac:dyDescent="0.3">
      <c r="C796" s="90"/>
    </row>
    <row r="797" spans="3:3" ht="15.75" customHeight="1" x14ac:dyDescent="0.3">
      <c r="C797" s="90"/>
    </row>
    <row r="798" spans="3:3" ht="15.75" customHeight="1" x14ac:dyDescent="0.3">
      <c r="C798" s="90"/>
    </row>
    <row r="799" spans="3:3" ht="15.75" customHeight="1" x14ac:dyDescent="0.3">
      <c r="C799" s="90"/>
    </row>
    <row r="800" spans="3:3" ht="15.75" customHeight="1" x14ac:dyDescent="0.3">
      <c r="C800" s="90"/>
    </row>
    <row r="801" spans="3:3" ht="15.75" customHeight="1" x14ac:dyDescent="0.3">
      <c r="C801" s="90"/>
    </row>
    <row r="802" spans="3:3" ht="15.75" customHeight="1" x14ac:dyDescent="0.3">
      <c r="C802" s="90"/>
    </row>
    <row r="803" spans="3:3" ht="15.75" customHeight="1" x14ac:dyDescent="0.3">
      <c r="C803" s="90"/>
    </row>
    <row r="804" spans="3:3" ht="15.75" customHeight="1" x14ac:dyDescent="0.3">
      <c r="C804" s="90"/>
    </row>
    <row r="805" spans="3:3" ht="15.75" customHeight="1" x14ac:dyDescent="0.3">
      <c r="C805" s="90"/>
    </row>
    <row r="806" spans="3:3" ht="15.75" customHeight="1" x14ac:dyDescent="0.3">
      <c r="C806" s="90"/>
    </row>
    <row r="807" spans="3:3" ht="15.75" customHeight="1" x14ac:dyDescent="0.3">
      <c r="C807" s="90"/>
    </row>
    <row r="808" spans="3:3" ht="15.75" customHeight="1" x14ac:dyDescent="0.3">
      <c r="C808" s="90"/>
    </row>
    <row r="809" spans="3:3" ht="15.75" customHeight="1" x14ac:dyDescent="0.3">
      <c r="C809" s="90"/>
    </row>
    <row r="810" spans="3:3" ht="15.75" customHeight="1" x14ac:dyDescent="0.3">
      <c r="C810" s="90"/>
    </row>
    <row r="811" spans="3:3" ht="15.75" customHeight="1" x14ac:dyDescent="0.3">
      <c r="C811" s="90"/>
    </row>
    <row r="812" spans="3:3" ht="15.75" customHeight="1" x14ac:dyDescent="0.3">
      <c r="C812" s="90"/>
    </row>
    <row r="813" spans="3:3" ht="15.75" customHeight="1" x14ac:dyDescent="0.3">
      <c r="C813" s="90"/>
    </row>
    <row r="814" spans="3:3" ht="15.75" customHeight="1" x14ac:dyDescent="0.3">
      <c r="C814" s="90"/>
    </row>
    <row r="815" spans="3:3" ht="15.75" customHeight="1" x14ac:dyDescent="0.3">
      <c r="C815" s="90"/>
    </row>
    <row r="816" spans="3:3" ht="15.75" customHeight="1" x14ac:dyDescent="0.3">
      <c r="C816" s="90"/>
    </row>
    <row r="817" spans="3:3" ht="15.75" customHeight="1" x14ac:dyDescent="0.3">
      <c r="C817" s="90"/>
    </row>
    <row r="818" spans="3:3" ht="15.75" customHeight="1" x14ac:dyDescent="0.3">
      <c r="C818" s="90"/>
    </row>
    <row r="819" spans="3:3" ht="15.75" customHeight="1" x14ac:dyDescent="0.3">
      <c r="C819" s="90"/>
    </row>
    <row r="820" spans="3:3" ht="15.75" customHeight="1" x14ac:dyDescent="0.3">
      <c r="C820" s="90"/>
    </row>
    <row r="821" spans="3:3" ht="15.75" customHeight="1" x14ac:dyDescent="0.3">
      <c r="C821" s="90"/>
    </row>
    <row r="822" spans="3:3" ht="15.75" customHeight="1" x14ac:dyDescent="0.3">
      <c r="C822" s="90"/>
    </row>
    <row r="823" spans="3:3" ht="15.75" customHeight="1" x14ac:dyDescent="0.3">
      <c r="C823" s="90"/>
    </row>
    <row r="824" spans="3:3" ht="15.75" customHeight="1" x14ac:dyDescent="0.3">
      <c r="C824" s="90"/>
    </row>
    <row r="825" spans="3:3" ht="15.75" customHeight="1" x14ac:dyDescent="0.3">
      <c r="C825" s="90"/>
    </row>
    <row r="826" spans="3:3" ht="15.75" customHeight="1" x14ac:dyDescent="0.3">
      <c r="C826" s="90"/>
    </row>
    <row r="827" spans="3:3" ht="15.75" customHeight="1" x14ac:dyDescent="0.3">
      <c r="C827" s="90"/>
    </row>
    <row r="828" spans="3:3" ht="15.75" customHeight="1" x14ac:dyDescent="0.3">
      <c r="C828" s="90"/>
    </row>
    <row r="829" spans="3:3" ht="15.75" customHeight="1" x14ac:dyDescent="0.3">
      <c r="C829" s="90"/>
    </row>
    <row r="830" spans="3:3" ht="15.75" customHeight="1" x14ac:dyDescent="0.3">
      <c r="C830" s="90"/>
    </row>
    <row r="831" spans="3:3" ht="15.75" customHeight="1" x14ac:dyDescent="0.3">
      <c r="C831" s="90"/>
    </row>
    <row r="832" spans="3:3" ht="15.75" customHeight="1" x14ac:dyDescent="0.3">
      <c r="C832" s="90"/>
    </row>
    <row r="833" spans="3:3" ht="15.75" customHeight="1" x14ac:dyDescent="0.3">
      <c r="C833" s="90"/>
    </row>
    <row r="834" spans="3:3" ht="15.75" customHeight="1" x14ac:dyDescent="0.3">
      <c r="C834" s="90"/>
    </row>
    <row r="835" spans="3:3" ht="15.75" customHeight="1" x14ac:dyDescent="0.3">
      <c r="C835" s="90"/>
    </row>
    <row r="836" spans="3:3" ht="15.75" customHeight="1" x14ac:dyDescent="0.3">
      <c r="C836" s="90"/>
    </row>
    <row r="837" spans="3:3" ht="15.75" customHeight="1" x14ac:dyDescent="0.3">
      <c r="C837" s="90"/>
    </row>
    <row r="838" spans="3:3" ht="15.75" customHeight="1" x14ac:dyDescent="0.3">
      <c r="C838" s="90"/>
    </row>
    <row r="839" spans="3:3" ht="15.75" customHeight="1" x14ac:dyDescent="0.3">
      <c r="C839" s="90"/>
    </row>
    <row r="840" spans="3:3" ht="15.75" customHeight="1" x14ac:dyDescent="0.3">
      <c r="C840" s="90"/>
    </row>
    <row r="841" spans="3:3" ht="15.75" customHeight="1" x14ac:dyDescent="0.3">
      <c r="C841" s="90"/>
    </row>
    <row r="842" spans="3:3" ht="15.75" customHeight="1" x14ac:dyDescent="0.3">
      <c r="C842" s="90"/>
    </row>
    <row r="843" spans="3:3" ht="15.75" customHeight="1" x14ac:dyDescent="0.3">
      <c r="C843" s="90"/>
    </row>
    <row r="844" spans="3:3" ht="15.75" customHeight="1" x14ac:dyDescent="0.3">
      <c r="C844" s="90"/>
    </row>
    <row r="845" spans="3:3" ht="15.75" customHeight="1" x14ac:dyDescent="0.3">
      <c r="C845" s="90"/>
    </row>
    <row r="846" spans="3:3" ht="15.75" customHeight="1" x14ac:dyDescent="0.3">
      <c r="C846" s="90"/>
    </row>
    <row r="847" spans="3:3" ht="15.75" customHeight="1" x14ac:dyDescent="0.3">
      <c r="C847" s="90"/>
    </row>
    <row r="848" spans="3:3" ht="15.75" customHeight="1" x14ac:dyDescent="0.3">
      <c r="C848" s="90"/>
    </row>
    <row r="849" spans="3:3" ht="15.75" customHeight="1" x14ac:dyDescent="0.3">
      <c r="C849" s="90"/>
    </row>
    <row r="850" spans="3:3" ht="15.75" customHeight="1" x14ac:dyDescent="0.3">
      <c r="C850" s="90"/>
    </row>
    <row r="851" spans="3:3" ht="15.75" customHeight="1" x14ac:dyDescent="0.3">
      <c r="C851" s="90"/>
    </row>
    <row r="852" spans="3:3" ht="15.75" customHeight="1" x14ac:dyDescent="0.3">
      <c r="C852" s="90"/>
    </row>
    <row r="853" spans="3:3" ht="15.75" customHeight="1" x14ac:dyDescent="0.3">
      <c r="C853" s="90"/>
    </row>
    <row r="854" spans="3:3" ht="15.75" customHeight="1" x14ac:dyDescent="0.3">
      <c r="C854" s="90"/>
    </row>
    <row r="855" spans="3:3" ht="15.75" customHeight="1" x14ac:dyDescent="0.3">
      <c r="C855" s="90"/>
    </row>
    <row r="856" spans="3:3" ht="15.75" customHeight="1" x14ac:dyDescent="0.3">
      <c r="C856" s="90"/>
    </row>
    <row r="857" spans="3:3" ht="15.75" customHeight="1" x14ac:dyDescent="0.3">
      <c r="C857" s="90"/>
    </row>
    <row r="858" spans="3:3" ht="15.75" customHeight="1" x14ac:dyDescent="0.3">
      <c r="C858" s="90"/>
    </row>
    <row r="859" spans="3:3" ht="15.75" customHeight="1" x14ac:dyDescent="0.3">
      <c r="C859" s="90"/>
    </row>
    <row r="860" spans="3:3" ht="15.75" customHeight="1" x14ac:dyDescent="0.3">
      <c r="C860" s="90"/>
    </row>
    <row r="861" spans="3:3" ht="15.75" customHeight="1" x14ac:dyDescent="0.3">
      <c r="C861" s="90"/>
    </row>
    <row r="862" spans="3:3" ht="15.75" customHeight="1" x14ac:dyDescent="0.3">
      <c r="C862" s="90"/>
    </row>
    <row r="863" spans="3:3" ht="15.75" customHeight="1" x14ac:dyDescent="0.3">
      <c r="C863" s="90"/>
    </row>
    <row r="864" spans="3:3" ht="15.75" customHeight="1" x14ac:dyDescent="0.3">
      <c r="C864" s="90"/>
    </row>
    <row r="865" spans="3:3" ht="15.75" customHeight="1" x14ac:dyDescent="0.3">
      <c r="C865" s="90"/>
    </row>
    <row r="866" spans="3:3" ht="15.75" customHeight="1" x14ac:dyDescent="0.3">
      <c r="C866" s="90"/>
    </row>
    <row r="867" spans="3:3" ht="15.75" customHeight="1" x14ac:dyDescent="0.3">
      <c r="C867" s="90"/>
    </row>
    <row r="868" spans="3:3" ht="15.75" customHeight="1" x14ac:dyDescent="0.3">
      <c r="C868" s="90"/>
    </row>
    <row r="869" spans="3:3" ht="15.75" customHeight="1" x14ac:dyDescent="0.3">
      <c r="C869" s="90"/>
    </row>
    <row r="870" spans="3:3" ht="15.75" customHeight="1" x14ac:dyDescent="0.3">
      <c r="C870" s="90"/>
    </row>
    <row r="871" spans="3:3" ht="15.75" customHeight="1" x14ac:dyDescent="0.3">
      <c r="C871" s="90"/>
    </row>
    <row r="872" spans="3:3" ht="15.75" customHeight="1" x14ac:dyDescent="0.3">
      <c r="C872" s="90"/>
    </row>
    <row r="873" spans="3:3" ht="15.75" customHeight="1" x14ac:dyDescent="0.3">
      <c r="C873" s="90"/>
    </row>
    <row r="874" spans="3:3" ht="15.75" customHeight="1" x14ac:dyDescent="0.3">
      <c r="C874" s="90"/>
    </row>
    <row r="875" spans="3:3" ht="15.75" customHeight="1" x14ac:dyDescent="0.3">
      <c r="C875" s="90"/>
    </row>
    <row r="876" spans="3:3" ht="15.75" customHeight="1" x14ac:dyDescent="0.3">
      <c r="C876" s="90"/>
    </row>
    <row r="877" spans="3:3" ht="15.75" customHeight="1" x14ac:dyDescent="0.3">
      <c r="C877" s="90"/>
    </row>
    <row r="878" spans="3:3" ht="15.75" customHeight="1" x14ac:dyDescent="0.3">
      <c r="C878" s="90"/>
    </row>
    <row r="879" spans="3:3" ht="15.75" customHeight="1" x14ac:dyDescent="0.3">
      <c r="C879" s="90"/>
    </row>
    <row r="880" spans="3:3" ht="15.75" customHeight="1" x14ac:dyDescent="0.3">
      <c r="C880" s="90"/>
    </row>
    <row r="881" spans="3:3" ht="15.75" customHeight="1" x14ac:dyDescent="0.3">
      <c r="C881" s="90"/>
    </row>
    <row r="882" spans="3:3" ht="15.75" customHeight="1" x14ac:dyDescent="0.3">
      <c r="C882" s="90"/>
    </row>
    <row r="883" spans="3:3" ht="15.75" customHeight="1" x14ac:dyDescent="0.3">
      <c r="C883" s="90"/>
    </row>
    <row r="884" spans="3:3" ht="15.75" customHeight="1" x14ac:dyDescent="0.3">
      <c r="C884" s="90"/>
    </row>
    <row r="885" spans="3:3" ht="15.75" customHeight="1" x14ac:dyDescent="0.3">
      <c r="C885" s="90"/>
    </row>
    <row r="886" spans="3:3" ht="15.75" customHeight="1" x14ac:dyDescent="0.3">
      <c r="C886" s="90"/>
    </row>
    <row r="887" spans="3:3" ht="15.75" customHeight="1" x14ac:dyDescent="0.3">
      <c r="C887" s="90"/>
    </row>
    <row r="888" spans="3:3" ht="15.75" customHeight="1" x14ac:dyDescent="0.3">
      <c r="C888" s="90"/>
    </row>
    <row r="889" spans="3:3" ht="15.75" customHeight="1" x14ac:dyDescent="0.3">
      <c r="C889" s="90"/>
    </row>
    <row r="890" spans="3:3" ht="15.75" customHeight="1" x14ac:dyDescent="0.3">
      <c r="C890" s="90"/>
    </row>
    <row r="891" spans="3:3" ht="15.75" customHeight="1" x14ac:dyDescent="0.3">
      <c r="C891" s="90"/>
    </row>
    <row r="892" spans="3:3" ht="15.75" customHeight="1" x14ac:dyDescent="0.3">
      <c r="C892" s="90"/>
    </row>
    <row r="893" spans="3:3" ht="15.75" customHeight="1" x14ac:dyDescent="0.3">
      <c r="C893" s="90"/>
    </row>
    <row r="894" spans="3:3" ht="15.75" customHeight="1" x14ac:dyDescent="0.3">
      <c r="C894" s="90"/>
    </row>
    <row r="895" spans="3:3" ht="15.75" customHeight="1" x14ac:dyDescent="0.3">
      <c r="C895" s="90"/>
    </row>
    <row r="896" spans="3:3" ht="15.75" customHeight="1" x14ac:dyDescent="0.3">
      <c r="C896" s="90"/>
    </row>
    <row r="897" spans="3:3" ht="15.75" customHeight="1" x14ac:dyDescent="0.3">
      <c r="C897" s="90"/>
    </row>
    <row r="898" spans="3:3" ht="15.75" customHeight="1" x14ac:dyDescent="0.3">
      <c r="C898" s="90"/>
    </row>
    <row r="899" spans="3:3" ht="15.75" customHeight="1" x14ac:dyDescent="0.3">
      <c r="C899" s="90"/>
    </row>
    <row r="900" spans="3:3" ht="15.75" customHeight="1" x14ac:dyDescent="0.3">
      <c r="C900" s="90"/>
    </row>
    <row r="901" spans="3:3" ht="15.75" customHeight="1" x14ac:dyDescent="0.3">
      <c r="C901" s="90"/>
    </row>
    <row r="902" spans="3:3" ht="15.75" customHeight="1" x14ac:dyDescent="0.3">
      <c r="C902" s="90"/>
    </row>
    <row r="903" spans="3:3" ht="15.75" customHeight="1" x14ac:dyDescent="0.3">
      <c r="C903" s="90"/>
    </row>
    <row r="904" spans="3:3" ht="15.75" customHeight="1" x14ac:dyDescent="0.3">
      <c r="C904" s="90"/>
    </row>
    <row r="905" spans="3:3" ht="15.75" customHeight="1" x14ac:dyDescent="0.3">
      <c r="C905" s="90"/>
    </row>
    <row r="906" spans="3:3" ht="15.75" customHeight="1" x14ac:dyDescent="0.3">
      <c r="C906" s="90"/>
    </row>
    <row r="907" spans="3:3" ht="15.75" customHeight="1" x14ac:dyDescent="0.3">
      <c r="C907" s="90"/>
    </row>
    <row r="908" spans="3:3" ht="15.75" customHeight="1" x14ac:dyDescent="0.3">
      <c r="C908" s="90"/>
    </row>
    <row r="909" spans="3:3" ht="15.75" customHeight="1" x14ac:dyDescent="0.3">
      <c r="C909" s="90"/>
    </row>
    <row r="910" spans="3:3" ht="15.75" customHeight="1" x14ac:dyDescent="0.3">
      <c r="C910" s="90"/>
    </row>
    <row r="911" spans="3:3" ht="15.75" customHeight="1" x14ac:dyDescent="0.3">
      <c r="C911" s="90"/>
    </row>
    <row r="912" spans="3:3" ht="15.75" customHeight="1" x14ac:dyDescent="0.3">
      <c r="C912" s="90"/>
    </row>
    <row r="913" spans="3:3" ht="15.75" customHeight="1" x14ac:dyDescent="0.3">
      <c r="C913" s="90"/>
    </row>
    <row r="914" spans="3:3" ht="15.75" customHeight="1" x14ac:dyDescent="0.3">
      <c r="C914" s="90"/>
    </row>
    <row r="915" spans="3:3" ht="15.75" customHeight="1" x14ac:dyDescent="0.3">
      <c r="C915" s="90"/>
    </row>
    <row r="916" spans="3:3" ht="15.75" customHeight="1" x14ac:dyDescent="0.3">
      <c r="C916" s="90"/>
    </row>
    <row r="917" spans="3:3" ht="15.75" customHeight="1" x14ac:dyDescent="0.3">
      <c r="C917" s="90"/>
    </row>
    <row r="918" spans="3:3" ht="15.75" customHeight="1" x14ac:dyDescent="0.3">
      <c r="C918" s="90"/>
    </row>
    <row r="919" spans="3:3" ht="15.75" customHeight="1" x14ac:dyDescent="0.3">
      <c r="C919" s="90"/>
    </row>
    <row r="920" spans="3:3" ht="15.75" customHeight="1" x14ac:dyDescent="0.3">
      <c r="C920" s="90"/>
    </row>
    <row r="921" spans="3:3" ht="15.75" customHeight="1" x14ac:dyDescent="0.3">
      <c r="C921" s="90"/>
    </row>
    <row r="922" spans="3:3" ht="15.75" customHeight="1" x14ac:dyDescent="0.3">
      <c r="C922" s="90"/>
    </row>
    <row r="923" spans="3:3" ht="15.75" customHeight="1" x14ac:dyDescent="0.3">
      <c r="C923" s="90"/>
    </row>
    <row r="924" spans="3:3" ht="15.75" customHeight="1" x14ac:dyDescent="0.3">
      <c r="C924" s="90"/>
    </row>
    <row r="925" spans="3:3" ht="15.75" customHeight="1" x14ac:dyDescent="0.3">
      <c r="C925" s="90"/>
    </row>
    <row r="926" spans="3:3" ht="15.75" customHeight="1" x14ac:dyDescent="0.3">
      <c r="C926" s="90"/>
    </row>
    <row r="927" spans="3:3" ht="15.75" customHeight="1" x14ac:dyDescent="0.3">
      <c r="C927" s="90"/>
    </row>
    <row r="928" spans="3:3" ht="15.75" customHeight="1" x14ac:dyDescent="0.3">
      <c r="C928" s="90"/>
    </row>
    <row r="929" spans="3:3" ht="15.75" customHeight="1" x14ac:dyDescent="0.3">
      <c r="C929" s="90"/>
    </row>
    <row r="930" spans="3:3" ht="15.75" customHeight="1" x14ac:dyDescent="0.3">
      <c r="C930" s="90"/>
    </row>
    <row r="931" spans="3:3" ht="15.75" customHeight="1" x14ac:dyDescent="0.3">
      <c r="C931" s="90"/>
    </row>
    <row r="932" spans="3:3" ht="15.75" customHeight="1" x14ac:dyDescent="0.3">
      <c r="C932" s="90"/>
    </row>
    <row r="933" spans="3:3" ht="15.75" customHeight="1" x14ac:dyDescent="0.3">
      <c r="C933" s="90"/>
    </row>
    <row r="934" spans="3:3" ht="15.75" customHeight="1" x14ac:dyDescent="0.3">
      <c r="C934" s="90"/>
    </row>
    <row r="935" spans="3:3" ht="15.75" customHeight="1" x14ac:dyDescent="0.3">
      <c r="C935" s="90"/>
    </row>
    <row r="936" spans="3:3" ht="15.75" customHeight="1" x14ac:dyDescent="0.3">
      <c r="C936" s="90"/>
    </row>
    <row r="937" spans="3:3" ht="15.75" customHeight="1" x14ac:dyDescent="0.3">
      <c r="C937" s="90"/>
    </row>
    <row r="938" spans="3:3" ht="15.75" customHeight="1" x14ac:dyDescent="0.3">
      <c r="C938" s="90"/>
    </row>
    <row r="939" spans="3:3" ht="15.75" customHeight="1" x14ac:dyDescent="0.3">
      <c r="C939" s="90"/>
    </row>
    <row r="940" spans="3:3" ht="15.75" customHeight="1" x14ac:dyDescent="0.3">
      <c r="C940" s="90"/>
    </row>
    <row r="941" spans="3:3" ht="15.75" customHeight="1" x14ac:dyDescent="0.3">
      <c r="C941" s="90"/>
    </row>
    <row r="942" spans="3:3" ht="15.75" customHeight="1" x14ac:dyDescent="0.3">
      <c r="C942" s="90"/>
    </row>
    <row r="943" spans="3:3" ht="15.75" customHeight="1" x14ac:dyDescent="0.3">
      <c r="C943" s="90"/>
    </row>
    <row r="944" spans="3:3" ht="15.75" customHeight="1" x14ac:dyDescent="0.3">
      <c r="C944" s="90"/>
    </row>
    <row r="945" spans="3:3" ht="15.75" customHeight="1" x14ac:dyDescent="0.3">
      <c r="C945" s="90"/>
    </row>
    <row r="946" spans="3:3" ht="15.75" customHeight="1" x14ac:dyDescent="0.3">
      <c r="C946" s="90"/>
    </row>
    <row r="947" spans="3:3" ht="15.75" customHeight="1" x14ac:dyDescent="0.3">
      <c r="C947" s="90"/>
    </row>
    <row r="948" spans="3:3" ht="15.75" customHeight="1" x14ac:dyDescent="0.3">
      <c r="C948" s="90"/>
    </row>
    <row r="949" spans="3:3" ht="15.75" customHeight="1" x14ac:dyDescent="0.3">
      <c r="C949" s="90"/>
    </row>
    <row r="950" spans="3:3" ht="15.75" customHeight="1" x14ac:dyDescent="0.3">
      <c r="C950" s="90"/>
    </row>
    <row r="951" spans="3:3" ht="15.75" customHeight="1" x14ac:dyDescent="0.3">
      <c r="C951" s="90"/>
    </row>
    <row r="952" spans="3:3" ht="15.75" customHeight="1" x14ac:dyDescent="0.3">
      <c r="C952" s="90"/>
    </row>
    <row r="953" spans="3:3" ht="15.75" customHeight="1" x14ac:dyDescent="0.3">
      <c r="C953" s="90"/>
    </row>
    <row r="954" spans="3:3" ht="15.75" customHeight="1" x14ac:dyDescent="0.3">
      <c r="C954" s="90"/>
    </row>
    <row r="955" spans="3:3" ht="15.75" customHeight="1" x14ac:dyDescent="0.3">
      <c r="C955" s="90"/>
    </row>
    <row r="956" spans="3:3" ht="15.75" customHeight="1" x14ac:dyDescent="0.3">
      <c r="C956" s="90"/>
    </row>
    <row r="957" spans="3:3" ht="15.75" customHeight="1" x14ac:dyDescent="0.3">
      <c r="C957" s="90"/>
    </row>
    <row r="958" spans="3:3" ht="15.75" customHeight="1" x14ac:dyDescent="0.3">
      <c r="C958" s="90"/>
    </row>
    <row r="959" spans="3:3" ht="15.75" customHeight="1" x14ac:dyDescent="0.3">
      <c r="C959" s="90"/>
    </row>
    <row r="960" spans="3:3" ht="15.75" customHeight="1" x14ac:dyDescent="0.3">
      <c r="C960" s="90"/>
    </row>
    <row r="961" spans="3:3" ht="15.75" customHeight="1" x14ac:dyDescent="0.3">
      <c r="C961" s="90"/>
    </row>
    <row r="962" spans="3:3" ht="15.75" customHeight="1" x14ac:dyDescent="0.3">
      <c r="C962" s="90"/>
    </row>
    <row r="963" spans="3:3" ht="15.75" customHeight="1" x14ac:dyDescent="0.3">
      <c r="C963" s="90"/>
    </row>
    <row r="964" spans="3:3" ht="15.75" customHeight="1" x14ac:dyDescent="0.3">
      <c r="C964" s="90"/>
    </row>
    <row r="965" spans="3:3" ht="15.75" customHeight="1" x14ac:dyDescent="0.3">
      <c r="C965" s="90"/>
    </row>
    <row r="966" spans="3:3" ht="15.75" customHeight="1" x14ac:dyDescent="0.3">
      <c r="C966" s="90"/>
    </row>
    <row r="967" spans="3:3" ht="15.75" customHeight="1" x14ac:dyDescent="0.3">
      <c r="C967" s="90"/>
    </row>
    <row r="968" spans="3:3" ht="15.75" customHeight="1" x14ac:dyDescent="0.3">
      <c r="C968" s="90"/>
    </row>
    <row r="969" spans="3:3" ht="15.75" customHeight="1" x14ac:dyDescent="0.3">
      <c r="C969" s="90"/>
    </row>
    <row r="970" spans="3:3" ht="15.75" customHeight="1" x14ac:dyDescent="0.3">
      <c r="C970" s="90"/>
    </row>
    <row r="971" spans="3:3" ht="15.75" customHeight="1" x14ac:dyDescent="0.3">
      <c r="C971" s="90"/>
    </row>
    <row r="972" spans="3:3" ht="15.75" customHeight="1" x14ac:dyDescent="0.3">
      <c r="C972" s="90"/>
    </row>
    <row r="973" spans="3:3" ht="15.75" customHeight="1" x14ac:dyDescent="0.3">
      <c r="C973" s="90"/>
    </row>
    <row r="974" spans="3:3" ht="15.75" customHeight="1" x14ac:dyDescent="0.3">
      <c r="C974" s="90"/>
    </row>
    <row r="975" spans="3:3" ht="15.75" customHeight="1" x14ac:dyDescent="0.3">
      <c r="C975" s="90"/>
    </row>
    <row r="976" spans="3:3" ht="15.75" customHeight="1" x14ac:dyDescent="0.3">
      <c r="C976" s="90"/>
    </row>
    <row r="977" spans="3:3" ht="15.75" customHeight="1" x14ac:dyDescent="0.3">
      <c r="C977" s="90"/>
    </row>
    <row r="978" spans="3:3" ht="15.75" customHeight="1" x14ac:dyDescent="0.3">
      <c r="C978" s="90"/>
    </row>
    <row r="979" spans="3:3" ht="15.75" customHeight="1" x14ac:dyDescent="0.3">
      <c r="C979" s="90"/>
    </row>
    <row r="980" spans="3:3" ht="15.75" customHeight="1" x14ac:dyDescent="0.3">
      <c r="C980" s="90"/>
    </row>
    <row r="981" spans="3:3" ht="15.75" customHeight="1" x14ac:dyDescent="0.3">
      <c r="C981" s="90"/>
    </row>
    <row r="982" spans="3:3" ht="15.75" customHeight="1" x14ac:dyDescent="0.3">
      <c r="C982" s="90"/>
    </row>
    <row r="983" spans="3:3" ht="15.75" customHeight="1" x14ac:dyDescent="0.3">
      <c r="C983" s="90"/>
    </row>
    <row r="984" spans="3:3" ht="15.75" customHeight="1" x14ac:dyDescent="0.3">
      <c r="C984" s="90"/>
    </row>
    <row r="985" spans="3:3" ht="15.75" customHeight="1" x14ac:dyDescent="0.3">
      <c r="C985" s="90"/>
    </row>
    <row r="986" spans="3:3" ht="15.75" customHeight="1" x14ac:dyDescent="0.3">
      <c r="C986" s="90"/>
    </row>
    <row r="987" spans="3:3" ht="15.75" customHeight="1" x14ac:dyDescent="0.3">
      <c r="C987" s="90"/>
    </row>
    <row r="988" spans="3:3" ht="15.75" customHeight="1" x14ac:dyDescent="0.3">
      <c r="C988" s="90"/>
    </row>
    <row r="989" spans="3:3" ht="15.75" customHeight="1" x14ac:dyDescent="0.3">
      <c r="C989" s="90"/>
    </row>
    <row r="990" spans="3:3" ht="15.75" customHeight="1" x14ac:dyDescent="0.3">
      <c r="C990" s="90"/>
    </row>
    <row r="991" spans="3:3" ht="15.75" customHeight="1" x14ac:dyDescent="0.3">
      <c r="C991" s="90"/>
    </row>
    <row r="992" spans="3:3" ht="15.75" customHeight="1" x14ac:dyDescent="0.3">
      <c r="C992" s="90"/>
    </row>
    <row r="993" spans="3:3" ht="15.75" customHeight="1" x14ac:dyDescent="0.3">
      <c r="C993" s="90"/>
    </row>
    <row r="994" spans="3:3" ht="15.75" customHeight="1" x14ac:dyDescent="0.3">
      <c r="C994" s="90"/>
    </row>
    <row r="995" spans="3:3" ht="15.75" customHeight="1" x14ac:dyDescent="0.3">
      <c r="C995" s="90"/>
    </row>
    <row r="996" spans="3:3" ht="15.75" customHeight="1" x14ac:dyDescent="0.3">
      <c r="C996" s="90"/>
    </row>
    <row r="997" spans="3:3" ht="15.75" customHeight="1" x14ac:dyDescent="0.3">
      <c r="C997" s="90"/>
    </row>
    <row r="998" spans="3:3" ht="15.75" customHeight="1" x14ac:dyDescent="0.3">
      <c r="C998" s="90"/>
    </row>
    <row r="999" spans="3:3" ht="15.75" customHeight="1" x14ac:dyDescent="0.3">
      <c r="C999" s="90"/>
    </row>
    <row r="1000" spans="3:3" ht="15.75" customHeight="1" x14ac:dyDescent="0.3">
      <c r="C1000" s="90"/>
    </row>
  </sheetData>
  <pageMargins left="0.511811024" right="0.511811024" top="0.78740157499999996" bottom="0.78740157499999996" header="0" footer="0"/>
  <pageSetup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3:J993"/>
  <sheetViews>
    <sheetView showGridLines="0" tabSelected="1" topLeftCell="A3" zoomScale="80" zoomScaleNormal="80" workbookViewId="0">
      <selection activeCell="C5" sqref="C5"/>
    </sheetView>
  </sheetViews>
  <sheetFormatPr defaultColWidth="12.59765625" defaultRowHeight="15" customHeight="1" x14ac:dyDescent="0.25"/>
  <cols>
    <col min="1" max="1" width="11.5" customWidth="1"/>
    <col min="2" max="2" width="15" customWidth="1"/>
    <col min="3" max="3" width="28.59765625" customWidth="1"/>
    <col min="4" max="4" width="34.59765625" customWidth="1"/>
    <col min="5" max="6" width="7.59765625" customWidth="1"/>
    <col min="7" max="10" width="25.3984375" customWidth="1"/>
    <col min="11" max="26" width="7.59765625" customWidth="1"/>
  </cols>
  <sheetData>
    <row r="3" spans="1:10" ht="43.2" x14ac:dyDescent="0.3">
      <c r="A3" s="83" t="s">
        <v>391</v>
      </c>
      <c r="B3" s="83" t="s">
        <v>392</v>
      </c>
      <c r="C3" s="83" t="s">
        <v>393</v>
      </c>
      <c r="D3" s="84" t="s">
        <v>394</v>
      </c>
      <c r="G3" s="83" t="s">
        <v>990</v>
      </c>
      <c r="H3" s="83" t="s">
        <v>991</v>
      </c>
      <c r="I3" s="83" t="s">
        <v>992</v>
      </c>
      <c r="J3" s="83" t="s">
        <v>993</v>
      </c>
    </row>
    <row r="4" spans="1:10" ht="111" thickBot="1" x14ac:dyDescent="0.3">
      <c r="A4" s="85" t="s">
        <v>965</v>
      </c>
      <c r="B4" s="85" t="s">
        <v>966</v>
      </c>
      <c r="C4" s="86" t="s">
        <v>967</v>
      </c>
      <c r="D4" s="3" t="s">
        <v>971</v>
      </c>
      <c r="G4" s="438" t="s">
        <v>994</v>
      </c>
      <c r="H4" s="438" t="s">
        <v>995</v>
      </c>
      <c r="I4" s="438" t="s">
        <v>996</v>
      </c>
      <c r="J4" s="439" t="s">
        <v>997</v>
      </c>
    </row>
    <row r="5" spans="1:10" ht="111" thickBot="1" x14ac:dyDescent="0.3">
      <c r="A5" s="85" t="s">
        <v>965</v>
      </c>
      <c r="B5" s="85" t="s">
        <v>408</v>
      </c>
      <c r="C5" s="86" t="s">
        <v>968</v>
      </c>
      <c r="D5" s="3" t="s">
        <v>970</v>
      </c>
      <c r="G5" s="438" t="s">
        <v>998</v>
      </c>
      <c r="H5" s="438" t="s">
        <v>999</v>
      </c>
      <c r="I5" s="438" t="s">
        <v>1000</v>
      </c>
      <c r="J5" s="439" t="s">
        <v>1001</v>
      </c>
    </row>
    <row r="6" spans="1:10" ht="124.8" thickBot="1" x14ac:dyDescent="0.3">
      <c r="A6" s="85" t="s">
        <v>965</v>
      </c>
      <c r="B6" s="85" t="s">
        <v>399</v>
      </c>
      <c r="C6" s="86" t="s">
        <v>969</v>
      </c>
      <c r="D6" s="3" t="s">
        <v>445</v>
      </c>
      <c r="G6" s="438" t="s">
        <v>978</v>
      </c>
      <c r="H6" s="438" t="s">
        <v>999</v>
      </c>
      <c r="I6" s="438" t="s">
        <v>1002</v>
      </c>
      <c r="J6" s="439" t="s">
        <v>1003</v>
      </c>
    </row>
    <row r="7" spans="1:10" ht="124.8" thickBot="1" x14ac:dyDescent="0.3">
      <c r="A7" s="87" t="s">
        <v>972</v>
      </c>
      <c r="B7" s="87" t="s">
        <v>973</v>
      </c>
      <c r="C7" s="88" t="s">
        <v>974</v>
      </c>
      <c r="D7" s="2" t="s">
        <v>976</v>
      </c>
      <c r="G7" s="438" t="s">
        <v>1004</v>
      </c>
      <c r="H7" s="438" t="s">
        <v>999</v>
      </c>
      <c r="I7" s="438" t="s">
        <v>1005</v>
      </c>
      <c r="J7" s="439" t="s">
        <v>1006</v>
      </c>
    </row>
    <row r="8" spans="1:10" ht="111" thickBot="1" x14ac:dyDescent="0.3">
      <c r="A8" s="87" t="s">
        <v>972</v>
      </c>
      <c r="B8" s="87" t="s">
        <v>399</v>
      </c>
      <c r="C8" s="88" t="s">
        <v>975</v>
      </c>
      <c r="D8" s="2" t="s">
        <v>445</v>
      </c>
      <c r="G8" s="438" t="s">
        <v>1007</v>
      </c>
      <c r="H8" s="438" t="s">
        <v>995</v>
      </c>
      <c r="I8" s="438" t="s">
        <v>1008</v>
      </c>
      <c r="J8" s="439" t="s">
        <v>1009</v>
      </c>
    </row>
    <row r="9" spans="1:10" ht="124.8" thickBot="1" x14ac:dyDescent="0.3">
      <c r="A9" s="85" t="s">
        <v>977</v>
      </c>
      <c r="B9" s="85" t="s">
        <v>979</v>
      </c>
      <c r="C9" s="86" t="s">
        <v>984</v>
      </c>
      <c r="D9" s="3" t="s">
        <v>985</v>
      </c>
      <c r="G9" s="438" t="s">
        <v>1010</v>
      </c>
      <c r="H9" s="438" t="s">
        <v>999</v>
      </c>
      <c r="I9" s="438" t="s">
        <v>1011</v>
      </c>
      <c r="J9" s="439" t="s">
        <v>1012</v>
      </c>
    </row>
    <row r="10" spans="1:10" ht="87" thickBot="1" x14ac:dyDescent="0.3">
      <c r="A10" s="85" t="s">
        <v>977</v>
      </c>
      <c r="B10" s="85" t="s">
        <v>399</v>
      </c>
      <c r="C10" s="86" t="s">
        <v>983</v>
      </c>
      <c r="D10" s="3" t="s">
        <v>986</v>
      </c>
      <c r="G10" s="438" t="s">
        <v>1013</v>
      </c>
      <c r="H10" s="438" t="s">
        <v>999</v>
      </c>
      <c r="I10" s="438" t="s">
        <v>1014</v>
      </c>
      <c r="J10" s="439" t="s">
        <v>1015</v>
      </c>
    </row>
    <row r="11" spans="1:10" ht="124.8" thickBot="1" x14ac:dyDescent="0.3">
      <c r="A11" s="87" t="s">
        <v>978</v>
      </c>
      <c r="B11" s="87" t="s">
        <v>979</v>
      </c>
      <c r="C11" s="88" t="s">
        <v>981</v>
      </c>
      <c r="D11" s="2" t="s">
        <v>982</v>
      </c>
      <c r="G11" s="438" t="s">
        <v>1016</v>
      </c>
      <c r="H11" s="438" t="s">
        <v>999</v>
      </c>
      <c r="I11" s="438" t="s">
        <v>1017</v>
      </c>
      <c r="J11" s="439" t="s">
        <v>1018</v>
      </c>
    </row>
    <row r="12" spans="1:10" ht="72.599999999999994" thickBot="1" x14ac:dyDescent="0.3">
      <c r="A12" s="87" t="s">
        <v>978</v>
      </c>
      <c r="B12" s="87" t="s">
        <v>399</v>
      </c>
      <c r="C12" s="88" t="s">
        <v>980</v>
      </c>
      <c r="D12" s="2" t="s">
        <v>445</v>
      </c>
      <c r="G12" s="438" t="s">
        <v>1019</v>
      </c>
      <c r="H12" s="438" t="s">
        <v>999</v>
      </c>
      <c r="I12" s="438" t="s">
        <v>1020</v>
      </c>
      <c r="J12" s="439" t="s">
        <v>1021</v>
      </c>
    </row>
    <row r="13" spans="1:10" ht="124.8" thickBot="1" x14ac:dyDescent="0.3">
      <c r="A13" s="435" t="s">
        <v>987</v>
      </c>
      <c r="B13" s="85" t="s">
        <v>973</v>
      </c>
      <c r="C13" s="436" t="s">
        <v>988</v>
      </c>
      <c r="D13" s="437" t="s">
        <v>982</v>
      </c>
      <c r="G13" s="438" t="s">
        <v>1022</v>
      </c>
      <c r="H13" s="438" t="s">
        <v>995</v>
      </c>
      <c r="I13" s="438" t="s">
        <v>1023</v>
      </c>
      <c r="J13" s="439" t="s">
        <v>1024</v>
      </c>
    </row>
    <row r="14" spans="1:10" ht="138.6" thickBot="1" x14ac:dyDescent="0.3">
      <c r="A14" s="435" t="s">
        <v>987</v>
      </c>
      <c r="B14" s="85" t="s">
        <v>399</v>
      </c>
      <c r="C14" s="436" t="s">
        <v>989</v>
      </c>
      <c r="D14" s="437" t="s">
        <v>445</v>
      </c>
      <c r="G14" s="438" t="s">
        <v>1025</v>
      </c>
      <c r="H14" s="438" t="s">
        <v>999</v>
      </c>
      <c r="I14" s="438" t="s">
        <v>1026</v>
      </c>
      <c r="J14" s="439" t="s">
        <v>1027</v>
      </c>
    </row>
    <row r="15" spans="1:10" ht="111" thickBot="1" x14ac:dyDescent="0.3">
      <c r="G15" s="438" t="s">
        <v>1028</v>
      </c>
      <c r="H15" s="438" t="s">
        <v>1029</v>
      </c>
      <c r="I15" s="438" t="s">
        <v>1030</v>
      </c>
      <c r="J15" s="439" t="s">
        <v>1031</v>
      </c>
    </row>
    <row r="16" spans="1:10" ht="15.75" customHeight="1" thickBot="1" x14ac:dyDescent="0.3">
      <c r="G16" s="438" t="s">
        <v>1019</v>
      </c>
      <c r="H16" s="438" t="s">
        <v>1029</v>
      </c>
      <c r="I16" s="438" t="s">
        <v>1032</v>
      </c>
      <c r="J16" s="439" t="s">
        <v>1033</v>
      </c>
    </row>
    <row r="17" spans="3:10" ht="15.75" customHeight="1" thickBot="1" x14ac:dyDescent="0.3">
      <c r="G17" s="438" t="s">
        <v>1034</v>
      </c>
      <c r="H17" s="438" t="s">
        <v>999</v>
      </c>
      <c r="I17" s="438" t="s">
        <v>1035</v>
      </c>
      <c r="J17" s="439" t="s">
        <v>1036</v>
      </c>
    </row>
    <row r="18" spans="3:10" ht="15.75" customHeight="1" x14ac:dyDescent="0.25"/>
    <row r="19" spans="3:10" ht="15.75" customHeight="1" x14ac:dyDescent="0.25"/>
    <row r="20" spans="3:10" ht="15.75" customHeight="1" x14ac:dyDescent="0.25"/>
    <row r="21" spans="3:10" ht="15.75" customHeight="1" x14ac:dyDescent="0.25"/>
    <row r="22" spans="3:10" ht="15.75" customHeight="1" x14ac:dyDescent="0.25"/>
    <row r="23" spans="3:10" ht="15.75" customHeight="1" x14ac:dyDescent="0.25"/>
    <row r="24" spans="3:10" ht="15.75" customHeight="1" x14ac:dyDescent="0.25"/>
    <row r="25" spans="3:10" ht="15.75" customHeight="1" x14ac:dyDescent="0.25"/>
    <row r="26" spans="3:10" ht="15.75" customHeight="1" x14ac:dyDescent="0.25"/>
    <row r="27" spans="3:10" ht="15.75" customHeight="1" x14ac:dyDescent="0.25"/>
    <row r="28" spans="3:10" ht="15.75" customHeight="1" x14ac:dyDescent="0.25"/>
    <row r="29" spans="3:10" ht="15.75" customHeight="1" x14ac:dyDescent="0.25"/>
    <row r="30" spans="3:10" ht="15.75" customHeight="1" x14ac:dyDescent="0.25"/>
    <row r="31" spans="3:10" ht="15.75" customHeight="1" x14ac:dyDescent="0.3">
      <c r="C31" s="90"/>
    </row>
    <row r="32" spans="3:10" ht="15.75" customHeight="1" x14ac:dyDescent="0.3">
      <c r="C32" s="90"/>
    </row>
    <row r="33" spans="3:3" ht="15.75" customHeight="1" x14ac:dyDescent="0.3">
      <c r="C33" s="90"/>
    </row>
    <row r="34" spans="3:3" ht="15.75" customHeight="1" x14ac:dyDescent="0.3">
      <c r="C34" s="90"/>
    </row>
    <row r="35" spans="3:3" ht="15.75" customHeight="1" x14ac:dyDescent="0.3">
      <c r="C35" s="90"/>
    </row>
    <row r="36" spans="3:3" ht="15.75" customHeight="1" x14ac:dyDescent="0.3">
      <c r="C36" s="90"/>
    </row>
    <row r="37" spans="3:3" ht="15.75" customHeight="1" x14ac:dyDescent="0.3">
      <c r="C37" s="90"/>
    </row>
    <row r="38" spans="3:3" ht="15.75" customHeight="1" x14ac:dyDescent="0.3">
      <c r="C38" s="90"/>
    </row>
    <row r="39" spans="3:3" ht="15.75" customHeight="1" x14ac:dyDescent="0.3">
      <c r="C39" s="90"/>
    </row>
    <row r="40" spans="3:3" ht="15.75" customHeight="1" x14ac:dyDescent="0.3">
      <c r="C40" s="90"/>
    </row>
    <row r="41" spans="3:3" ht="15.75" customHeight="1" x14ac:dyDescent="0.3">
      <c r="C41" s="90"/>
    </row>
    <row r="42" spans="3:3" ht="15.75" customHeight="1" x14ac:dyDescent="0.3">
      <c r="C42" s="90"/>
    </row>
    <row r="43" spans="3:3" ht="15.75" customHeight="1" x14ac:dyDescent="0.3">
      <c r="C43" s="90"/>
    </row>
    <row r="44" spans="3:3" ht="15.75" customHeight="1" x14ac:dyDescent="0.3">
      <c r="C44" s="90"/>
    </row>
    <row r="45" spans="3:3" ht="15.75" customHeight="1" x14ac:dyDescent="0.3">
      <c r="C45" s="90"/>
    </row>
    <row r="46" spans="3:3" ht="15.75" customHeight="1" x14ac:dyDescent="0.3">
      <c r="C46" s="90"/>
    </row>
    <row r="47" spans="3:3" ht="15.75" customHeight="1" x14ac:dyDescent="0.3">
      <c r="C47" s="90"/>
    </row>
    <row r="48" spans="3:3" ht="15.75" customHeight="1" x14ac:dyDescent="0.3">
      <c r="C48" s="90"/>
    </row>
    <row r="49" spans="3:3" ht="15.75" customHeight="1" x14ac:dyDescent="0.3">
      <c r="C49" s="90"/>
    </row>
    <row r="50" spans="3:3" ht="15.75" customHeight="1" x14ac:dyDescent="0.3">
      <c r="C50" s="90"/>
    </row>
    <row r="51" spans="3:3" ht="15.75" customHeight="1" x14ac:dyDescent="0.3">
      <c r="C51" s="90"/>
    </row>
    <row r="52" spans="3:3" ht="15.75" customHeight="1" x14ac:dyDescent="0.3">
      <c r="C52" s="90"/>
    </row>
    <row r="53" spans="3:3" ht="15.75" customHeight="1" x14ac:dyDescent="0.3">
      <c r="C53" s="90"/>
    </row>
    <row r="54" spans="3:3" ht="15.75" customHeight="1" x14ac:dyDescent="0.3">
      <c r="C54" s="90"/>
    </row>
    <row r="55" spans="3:3" ht="15.75" customHeight="1" x14ac:dyDescent="0.3">
      <c r="C55" s="90"/>
    </row>
    <row r="56" spans="3:3" ht="15.75" customHeight="1" x14ac:dyDescent="0.3">
      <c r="C56" s="90"/>
    </row>
    <row r="57" spans="3:3" ht="15.75" customHeight="1" x14ac:dyDescent="0.3">
      <c r="C57" s="90"/>
    </row>
    <row r="58" spans="3:3" ht="15.75" customHeight="1" x14ac:dyDescent="0.3">
      <c r="C58" s="90"/>
    </row>
    <row r="59" spans="3:3" ht="15.75" customHeight="1" x14ac:dyDescent="0.3">
      <c r="C59" s="90"/>
    </row>
    <row r="60" spans="3:3" ht="15.75" customHeight="1" x14ac:dyDescent="0.3">
      <c r="C60" s="90"/>
    </row>
    <row r="61" spans="3:3" ht="15.75" customHeight="1" x14ac:dyDescent="0.3">
      <c r="C61" s="90"/>
    </row>
    <row r="62" spans="3:3" ht="15.75" customHeight="1" x14ac:dyDescent="0.3">
      <c r="C62" s="90"/>
    </row>
    <row r="63" spans="3:3" ht="15.75" customHeight="1" x14ac:dyDescent="0.3">
      <c r="C63" s="90"/>
    </row>
    <row r="64" spans="3:3" ht="15.75" customHeight="1" x14ac:dyDescent="0.3">
      <c r="C64" s="90"/>
    </row>
    <row r="65" spans="3:3" ht="15.75" customHeight="1" x14ac:dyDescent="0.3">
      <c r="C65" s="90"/>
    </row>
    <row r="66" spans="3:3" ht="15.75" customHeight="1" x14ac:dyDescent="0.3">
      <c r="C66" s="90"/>
    </row>
    <row r="67" spans="3:3" ht="15.75" customHeight="1" x14ac:dyDescent="0.3">
      <c r="C67" s="90"/>
    </row>
    <row r="68" spans="3:3" ht="15.75" customHeight="1" x14ac:dyDescent="0.3">
      <c r="C68" s="90"/>
    </row>
    <row r="69" spans="3:3" ht="15.75" customHeight="1" x14ac:dyDescent="0.3">
      <c r="C69" s="90"/>
    </row>
    <row r="70" spans="3:3" ht="15.75" customHeight="1" x14ac:dyDescent="0.3">
      <c r="C70" s="90"/>
    </row>
    <row r="71" spans="3:3" ht="15.75" customHeight="1" x14ac:dyDescent="0.3">
      <c r="C71" s="90"/>
    </row>
    <row r="72" spans="3:3" ht="15.75" customHeight="1" x14ac:dyDescent="0.3">
      <c r="C72" s="90"/>
    </row>
    <row r="73" spans="3:3" ht="15.75" customHeight="1" x14ac:dyDescent="0.3">
      <c r="C73" s="90"/>
    </row>
    <row r="74" spans="3:3" ht="15.75" customHeight="1" x14ac:dyDescent="0.3">
      <c r="C74" s="90"/>
    </row>
    <row r="75" spans="3:3" ht="15.75" customHeight="1" x14ac:dyDescent="0.3">
      <c r="C75" s="90"/>
    </row>
    <row r="76" spans="3:3" ht="15.75" customHeight="1" x14ac:dyDescent="0.3">
      <c r="C76" s="90"/>
    </row>
    <row r="77" spans="3:3" ht="15.75" customHeight="1" x14ac:dyDescent="0.3">
      <c r="C77" s="90"/>
    </row>
    <row r="78" spans="3:3" ht="15.75" customHeight="1" x14ac:dyDescent="0.3">
      <c r="C78" s="90"/>
    </row>
    <row r="79" spans="3:3" ht="15.75" customHeight="1" x14ac:dyDescent="0.3">
      <c r="C79" s="90"/>
    </row>
    <row r="80" spans="3:3" ht="15.75" customHeight="1" x14ac:dyDescent="0.3">
      <c r="C80" s="90"/>
    </row>
    <row r="81" spans="3:3" ht="15.75" customHeight="1" x14ac:dyDescent="0.3">
      <c r="C81" s="90"/>
    </row>
    <row r="82" spans="3:3" ht="15.75" customHeight="1" x14ac:dyDescent="0.3">
      <c r="C82" s="90"/>
    </row>
    <row r="83" spans="3:3" ht="15.75" customHeight="1" x14ac:dyDescent="0.3">
      <c r="C83" s="90"/>
    </row>
    <row r="84" spans="3:3" ht="15.75" customHeight="1" x14ac:dyDescent="0.3">
      <c r="C84" s="90"/>
    </row>
    <row r="85" spans="3:3" ht="15.75" customHeight="1" x14ac:dyDescent="0.3">
      <c r="C85" s="90"/>
    </row>
    <row r="86" spans="3:3" ht="15.75" customHeight="1" x14ac:dyDescent="0.3">
      <c r="C86" s="90"/>
    </row>
    <row r="87" spans="3:3" ht="15.75" customHeight="1" x14ac:dyDescent="0.3">
      <c r="C87" s="90"/>
    </row>
    <row r="88" spans="3:3" ht="15.75" customHeight="1" x14ac:dyDescent="0.3">
      <c r="C88" s="90"/>
    </row>
    <row r="89" spans="3:3" ht="15.75" customHeight="1" x14ac:dyDescent="0.3">
      <c r="C89" s="90"/>
    </row>
    <row r="90" spans="3:3" ht="15.75" customHeight="1" x14ac:dyDescent="0.3">
      <c r="C90" s="90"/>
    </row>
    <row r="91" spans="3:3" ht="15.75" customHeight="1" x14ac:dyDescent="0.3">
      <c r="C91" s="90"/>
    </row>
    <row r="92" spans="3:3" ht="15.75" customHeight="1" x14ac:dyDescent="0.3">
      <c r="C92" s="90"/>
    </row>
    <row r="93" spans="3:3" ht="15.75" customHeight="1" x14ac:dyDescent="0.3">
      <c r="C93" s="90"/>
    </row>
    <row r="94" spans="3:3" ht="15.75" customHeight="1" x14ac:dyDescent="0.3">
      <c r="C94" s="90"/>
    </row>
    <row r="95" spans="3:3" ht="15.75" customHeight="1" x14ac:dyDescent="0.3">
      <c r="C95" s="90"/>
    </row>
    <row r="96" spans="3:3" ht="15.75" customHeight="1" x14ac:dyDescent="0.3">
      <c r="C96" s="90"/>
    </row>
    <row r="97" spans="3:3" ht="15.75" customHeight="1" x14ac:dyDescent="0.3">
      <c r="C97" s="90"/>
    </row>
    <row r="98" spans="3:3" ht="15.75" customHeight="1" x14ac:dyDescent="0.3">
      <c r="C98" s="90"/>
    </row>
    <row r="99" spans="3:3" ht="15.75" customHeight="1" x14ac:dyDescent="0.3">
      <c r="C99" s="90"/>
    </row>
    <row r="100" spans="3:3" ht="15.75" customHeight="1" x14ac:dyDescent="0.3">
      <c r="C100" s="90"/>
    </row>
    <row r="101" spans="3:3" ht="15.75" customHeight="1" x14ac:dyDescent="0.3">
      <c r="C101" s="90"/>
    </row>
    <row r="102" spans="3:3" ht="15.75" customHeight="1" x14ac:dyDescent="0.3">
      <c r="C102" s="90"/>
    </row>
    <row r="103" spans="3:3" ht="15.75" customHeight="1" x14ac:dyDescent="0.3">
      <c r="C103" s="90"/>
    </row>
    <row r="104" spans="3:3" ht="15.75" customHeight="1" x14ac:dyDescent="0.3">
      <c r="C104" s="90"/>
    </row>
    <row r="105" spans="3:3" ht="15.75" customHeight="1" x14ac:dyDescent="0.3">
      <c r="C105" s="90"/>
    </row>
    <row r="106" spans="3:3" ht="15.75" customHeight="1" x14ac:dyDescent="0.3">
      <c r="C106" s="90"/>
    </row>
    <row r="107" spans="3:3" ht="15.75" customHeight="1" x14ac:dyDescent="0.3">
      <c r="C107" s="90"/>
    </row>
    <row r="108" spans="3:3" ht="15.75" customHeight="1" x14ac:dyDescent="0.3">
      <c r="C108" s="90"/>
    </row>
    <row r="109" spans="3:3" ht="15.75" customHeight="1" x14ac:dyDescent="0.3">
      <c r="C109" s="90"/>
    </row>
    <row r="110" spans="3:3" ht="15.75" customHeight="1" x14ac:dyDescent="0.3">
      <c r="C110" s="90"/>
    </row>
    <row r="111" spans="3:3" ht="15.75" customHeight="1" x14ac:dyDescent="0.3">
      <c r="C111" s="90"/>
    </row>
    <row r="112" spans="3:3" ht="15.75" customHeight="1" x14ac:dyDescent="0.3">
      <c r="C112" s="90"/>
    </row>
    <row r="113" spans="3:3" ht="15.75" customHeight="1" x14ac:dyDescent="0.3">
      <c r="C113" s="90"/>
    </row>
    <row r="114" spans="3:3" ht="15.75" customHeight="1" x14ac:dyDescent="0.3">
      <c r="C114" s="90"/>
    </row>
    <row r="115" spans="3:3" ht="15.75" customHeight="1" x14ac:dyDescent="0.3">
      <c r="C115" s="90"/>
    </row>
    <row r="116" spans="3:3" ht="15.75" customHeight="1" x14ac:dyDescent="0.3">
      <c r="C116" s="90"/>
    </row>
    <row r="117" spans="3:3" ht="15.75" customHeight="1" x14ac:dyDescent="0.3">
      <c r="C117" s="90"/>
    </row>
    <row r="118" spans="3:3" ht="15.75" customHeight="1" x14ac:dyDescent="0.3">
      <c r="C118" s="90"/>
    </row>
    <row r="119" spans="3:3" ht="15.75" customHeight="1" x14ac:dyDescent="0.3">
      <c r="C119" s="90"/>
    </row>
    <row r="120" spans="3:3" ht="15.75" customHeight="1" x14ac:dyDescent="0.3">
      <c r="C120" s="90"/>
    </row>
    <row r="121" spans="3:3" ht="15.75" customHeight="1" x14ac:dyDescent="0.3">
      <c r="C121" s="90"/>
    </row>
    <row r="122" spans="3:3" ht="15.75" customHeight="1" x14ac:dyDescent="0.3">
      <c r="C122" s="90"/>
    </row>
    <row r="123" spans="3:3" ht="15.75" customHeight="1" x14ac:dyDescent="0.3">
      <c r="C123" s="90"/>
    </row>
    <row r="124" spans="3:3" ht="15.75" customHeight="1" x14ac:dyDescent="0.3">
      <c r="C124" s="90"/>
    </row>
    <row r="125" spans="3:3" ht="15.75" customHeight="1" x14ac:dyDescent="0.3">
      <c r="C125" s="90"/>
    </row>
    <row r="126" spans="3:3" ht="15.75" customHeight="1" x14ac:dyDescent="0.3">
      <c r="C126" s="90"/>
    </row>
    <row r="127" spans="3:3" ht="15.75" customHeight="1" x14ac:dyDescent="0.3">
      <c r="C127" s="90"/>
    </row>
    <row r="128" spans="3:3" ht="15.75" customHeight="1" x14ac:dyDescent="0.3">
      <c r="C128" s="90"/>
    </row>
    <row r="129" spans="3:3" ht="15.75" customHeight="1" x14ac:dyDescent="0.3">
      <c r="C129" s="90"/>
    </row>
    <row r="130" spans="3:3" ht="15.75" customHeight="1" x14ac:dyDescent="0.3">
      <c r="C130" s="90"/>
    </row>
    <row r="131" spans="3:3" ht="15.75" customHeight="1" x14ac:dyDescent="0.3">
      <c r="C131" s="90"/>
    </row>
    <row r="132" spans="3:3" ht="15.75" customHeight="1" x14ac:dyDescent="0.3">
      <c r="C132" s="90"/>
    </row>
    <row r="133" spans="3:3" ht="15.75" customHeight="1" x14ac:dyDescent="0.3">
      <c r="C133" s="90"/>
    </row>
    <row r="134" spans="3:3" ht="15.75" customHeight="1" x14ac:dyDescent="0.3">
      <c r="C134" s="90"/>
    </row>
    <row r="135" spans="3:3" ht="15.75" customHeight="1" x14ac:dyDescent="0.3">
      <c r="C135" s="90"/>
    </row>
    <row r="136" spans="3:3" ht="15.75" customHeight="1" x14ac:dyDescent="0.3">
      <c r="C136" s="90"/>
    </row>
    <row r="137" spans="3:3" ht="15.75" customHeight="1" x14ac:dyDescent="0.3">
      <c r="C137" s="90"/>
    </row>
    <row r="138" spans="3:3" ht="15.75" customHeight="1" x14ac:dyDescent="0.3">
      <c r="C138" s="90"/>
    </row>
    <row r="139" spans="3:3" ht="15.75" customHeight="1" x14ac:dyDescent="0.3">
      <c r="C139" s="90"/>
    </row>
    <row r="140" spans="3:3" ht="15.75" customHeight="1" x14ac:dyDescent="0.3">
      <c r="C140" s="90"/>
    </row>
    <row r="141" spans="3:3" ht="15.75" customHeight="1" x14ac:dyDescent="0.3">
      <c r="C141" s="90"/>
    </row>
    <row r="142" spans="3:3" ht="15.75" customHeight="1" x14ac:dyDescent="0.3">
      <c r="C142" s="90"/>
    </row>
    <row r="143" spans="3:3" ht="15.75" customHeight="1" x14ac:dyDescent="0.3">
      <c r="C143" s="90"/>
    </row>
    <row r="144" spans="3:3" ht="15.75" customHeight="1" x14ac:dyDescent="0.3">
      <c r="C144" s="90"/>
    </row>
    <row r="145" spans="3:3" ht="15.75" customHeight="1" x14ac:dyDescent="0.3">
      <c r="C145" s="90"/>
    </row>
    <row r="146" spans="3:3" ht="15.75" customHeight="1" x14ac:dyDescent="0.3">
      <c r="C146" s="90"/>
    </row>
    <row r="147" spans="3:3" ht="15.75" customHeight="1" x14ac:dyDescent="0.3">
      <c r="C147" s="90"/>
    </row>
    <row r="148" spans="3:3" ht="15.75" customHeight="1" x14ac:dyDescent="0.3">
      <c r="C148" s="90"/>
    </row>
    <row r="149" spans="3:3" ht="15.75" customHeight="1" x14ac:dyDescent="0.3">
      <c r="C149" s="90"/>
    </row>
    <row r="150" spans="3:3" ht="15.75" customHeight="1" x14ac:dyDescent="0.3">
      <c r="C150" s="90"/>
    </row>
    <row r="151" spans="3:3" ht="15.75" customHeight="1" x14ac:dyDescent="0.3">
      <c r="C151" s="90"/>
    </row>
    <row r="152" spans="3:3" ht="15.75" customHeight="1" x14ac:dyDescent="0.3">
      <c r="C152" s="90"/>
    </row>
    <row r="153" spans="3:3" ht="15.75" customHeight="1" x14ac:dyDescent="0.3">
      <c r="C153" s="90"/>
    </row>
    <row r="154" spans="3:3" ht="15.75" customHeight="1" x14ac:dyDescent="0.3">
      <c r="C154" s="90"/>
    </row>
    <row r="155" spans="3:3" ht="15.75" customHeight="1" x14ac:dyDescent="0.3">
      <c r="C155" s="90"/>
    </row>
    <row r="156" spans="3:3" ht="15.75" customHeight="1" x14ac:dyDescent="0.3">
      <c r="C156" s="90"/>
    </row>
    <row r="157" spans="3:3" ht="15.75" customHeight="1" x14ac:dyDescent="0.3">
      <c r="C157" s="90"/>
    </row>
    <row r="158" spans="3:3" ht="15.75" customHeight="1" x14ac:dyDescent="0.3">
      <c r="C158" s="90"/>
    </row>
    <row r="159" spans="3:3" ht="15.75" customHeight="1" x14ac:dyDescent="0.3">
      <c r="C159" s="90"/>
    </row>
    <row r="160" spans="3:3" ht="15.75" customHeight="1" x14ac:dyDescent="0.3">
      <c r="C160" s="90"/>
    </row>
    <row r="161" spans="3:3" ht="15.75" customHeight="1" x14ac:dyDescent="0.3">
      <c r="C161" s="90"/>
    </row>
    <row r="162" spans="3:3" ht="15.75" customHeight="1" x14ac:dyDescent="0.3">
      <c r="C162" s="90"/>
    </row>
    <row r="163" spans="3:3" ht="15.75" customHeight="1" x14ac:dyDescent="0.3">
      <c r="C163" s="90"/>
    </row>
    <row r="164" spans="3:3" ht="15.75" customHeight="1" x14ac:dyDescent="0.3">
      <c r="C164" s="90"/>
    </row>
    <row r="165" spans="3:3" ht="15.75" customHeight="1" x14ac:dyDescent="0.3">
      <c r="C165" s="90"/>
    </row>
    <row r="166" spans="3:3" ht="15.75" customHeight="1" x14ac:dyDescent="0.3">
      <c r="C166" s="90"/>
    </row>
    <row r="167" spans="3:3" ht="15.75" customHeight="1" x14ac:dyDescent="0.3">
      <c r="C167" s="90"/>
    </row>
    <row r="168" spans="3:3" ht="15.75" customHeight="1" x14ac:dyDescent="0.3">
      <c r="C168" s="90"/>
    </row>
    <row r="169" spans="3:3" ht="15.75" customHeight="1" x14ac:dyDescent="0.3">
      <c r="C169" s="90"/>
    </row>
    <row r="170" spans="3:3" ht="15.75" customHeight="1" x14ac:dyDescent="0.3">
      <c r="C170" s="90"/>
    </row>
    <row r="171" spans="3:3" ht="15.75" customHeight="1" x14ac:dyDescent="0.3">
      <c r="C171" s="90"/>
    </row>
    <row r="172" spans="3:3" ht="15.75" customHeight="1" x14ac:dyDescent="0.3">
      <c r="C172" s="90"/>
    </row>
    <row r="173" spans="3:3" ht="15.75" customHeight="1" x14ac:dyDescent="0.3">
      <c r="C173" s="90"/>
    </row>
    <row r="174" spans="3:3" ht="15.75" customHeight="1" x14ac:dyDescent="0.3">
      <c r="C174" s="90"/>
    </row>
    <row r="175" spans="3:3" ht="15.75" customHeight="1" x14ac:dyDescent="0.3">
      <c r="C175" s="90"/>
    </row>
    <row r="176" spans="3:3" ht="15.75" customHeight="1" x14ac:dyDescent="0.3">
      <c r="C176" s="90"/>
    </row>
    <row r="177" spans="3:3" ht="15.75" customHeight="1" x14ac:dyDescent="0.3">
      <c r="C177" s="90"/>
    </row>
    <row r="178" spans="3:3" ht="15.75" customHeight="1" x14ac:dyDescent="0.3">
      <c r="C178" s="90"/>
    </row>
    <row r="179" spans="3:3" ht="15.75" customHeight="1" x14ac:dyDescent="0.3">
      <c r="C179" s="90"/>
    </row>
    <row r="180" spans="3:3" ht="15.75" customHeight="1" x14ac:dyDescent="0.3">
      <c r="C180" s="90"/>
    </row>
    <row r="181" spans="3:3" ht="15.75" customHeight="1" x14ac:dyDescent="0.3">
      <c r="C181" s="90"/>
    </row>
    <row r="182" spans="3:3" ht="15.75" customHeight="1" x14ac:dyDescent="0.3">
      <c r="C182" s="90"/>
    </row>
    <row r="183" spans="3:3" ht="15.75" customHeight="1" x14ac:dyDescent="0.3">
      <c r="C183" s="90"/>
    </row>
    <row r="184" spans="3:3" ht="15.75" customHeight="1" x14ac:dyDescent="0.3">
      <c r="C184" s="90"/>
    </row>
    <row r="185" spans="3:3" ht="15.75" customHeight="1" x14ac:dyDescent="0.3">
      <c r="C185" s="90"/>
    </row>
    <row r="186" spans="3:3" ht="15.75" customHeight="1" x14ac:dyDescent="0.3">
      <c r="C186" s="90"/>
    </row>
    <row r="187" spans="3:3" ht="15.75" customHeight="1" x14ac:dyDescent="0.3">
      <c r="C187" s="90"/>
    </row>
    <row r="188" spans="3:3" ht="15.75" customHeight="1" x14ac:dyDescent="0.3">
      <c r="C188" s="90"/>
    </row>
    <row r="189" spans="3:3" ht="15.75" customHeight="1" x14ac:dyDescent="0.3">
      <c r="C189" s="90"/>
    </row>
    <row r="190" spans="3:3" ht="15.75" customHeight="1" x14ac:dyDescent="0.3">
      <c r="C190" s="90"/>
    </row>
    <row r="191" spans="3:3" ht="15.75" customHeight="1" x14ac:dyDescent="0.3">
      <c r="C191" s="90"/>
    </row>
    <row r="192" spans="3:3" ht="15.75" customHeight="1" x14ac:dyDescent="0.3">
      <c r="C192" s="90"/>
    </row>
    <row r="193" spans="3:3" ht="15.75" customHeight="1" x14ac:dyDescent="0.3">
      <c r="C193" s="90"/>
    </row>
    <row r="194" spans="3:3" ht="15.75" customHeight="1" x14ac:dyDescent="0.3">
      <c r="C194" s="90"/>
    </row>
    <row r="195" spans="3:3" ht="15.75" customHeight="1" x14ac:dyDescent="0.3">
      <c r="C195" s="90"/>
    </row>
    <row r="196" spans="3:3" ht="15.75" customHeight="1" x14ac:dyDescent="0.3">
      <c r="C196" s="90"/>
    </row>
    <row r="197" spans="3:3" ht="15.75" customHeight="1" x14ac:dyDescent="0.3">
      <c r="C197" s="90"/>
    </row>
    <row r="198" spans="3:3" ht="15.75" customHeight="1" x14ac:dyDescent="0.3">
      <c r="C198" s="90"/>
    </row>
    <row r="199" spans="3:3" ht="15.75" customHeight="1" x14ac:dyDescent="0.3">
      <c r="C199" s="90"/>
    </row>
    <row r="200" spans="3:3" ht="15.75" customHeight="1" x14ac:dyDescent="0.3">
      <c r="C200" s="90"/>
    </row>
    <row r="201" spans="3:3" ht="15.75" customHeight="1" x14ac:dyDescent="0.3">
      <c r="C201" s="90"/>
    </row>
    <row r="202" spans="3:3" ht="15.75" customHeight="1" x14ac:dyDescent="0.3">
      <c r="C202" s="90"/>
    </row>
    <row r="203" spans="3:3" ht="15.75" customHeight="1" x14ac:dyDescent="0.3">
      <c r="C203" s="90"/>
    </row>
    <row r="204" spans="3:3" ht="15.75" customHeight="1" x14ac:dyDescent="0.3">
      <c r="C204" s="90"/>
    </row>
    <row r="205" spans="3:3" ht="15.75" customHeight="1" x14ac:dyDescent="0.3">
      <c r="C205" s="90"/>
    </row>
    <row r="206" spans="3:3" ht="15.75" customHeight="1" x14ac:dyDescent="0.3">
      <c r="C206" s="90"/>
    </row>
    <row r="207" spans="3:3" ht="15.75" customHeight="1" x14ac:dyDescent="0.3">
      <c r="C207" s="90"/>
    </row>
    <row r="208" spans="3:3" ht="15.75" customHeight="1" x14ac:dyDescent="0.3">
      <c r="C208" s="90"/>
    </row>
    <row r="209" spans="3:3" ht="15.75" customHeight="1" x14ac:dyDescent="0.3">
      <c r="C209" s="90"/>
    </row>
    <row r="210" spans="3:3" ht="15.75" customHeight="1" x14ac:dyDescent="0.3">
      <c r="C210" s="90"/>
    </row>
    <row r="211" spans="3:3" ht="15.75" customHeight="1" x14ac:dyDescent="0.3">
      <c r="C211" s="90"/>
    </row>
    <row r="212" spans="3:3" ht="15.75" customHeight="1" x14ac:dyDescent="0.3">
      <c r="C212" s="90"/>
    </row>
    <row r="213" spans="3:3" ht="15.75" customHeight="1" x14ac:dyDescent="0.3">
      <c r="C213" s="90"/>
    </row>
    <row r="214" spans="3:3" ht="15.75" customHeight="1" x14ac:dyDescent="0.3">
      <c r="C214" s="90"/>
    </row>
    <row r="215" spans="3:3" ht="15.75" customHeight="1" x14ac:dyDescent="0.3">
      <c r="C215" s="90"/>
    </row>
    <row r="216" spans="3:3" ht="15.75" customHeight="1" x14ac:dyDescent="0.3">
      <c r="C216" s="90"/>
    </row>
    <row r="217" spans="3:3" ht="15.75" customHeight="1" x14ac:dyDescent="0.3">
      <c r="C217" s="90"/>
    </row>
    <row r="218" spans="3:3" ht="15.75" customHeight="1" x14ac:dyDescent="0.3">
      <c r="C218" s="90"/>
    </row>
    <row r="219" spans="3:3" ht="15.75" customHeight="1" x14ac:dyDescent="0.3">
      <c r="C219" s="90"/>
    </row>
    <row r="220" spans="3:3" ht="15.75" customHeight="1" x14ac:dyDescent="0.3">
      <c r="C220" s="90"/>
    </row>
    <row r="221" spans="3:3" ht="15.75" customHeight="1" x14ac:dyDescent="0.3">
      <c r="C221" s="90"/>
    </row>
    <row r="222" spans="3:3" ht="15.75" customHeight="1" x14ac:dyDescent="0.3">
      <c r="C222" s="90"/>
    </row>
    <row r="223" spans="3:3" ht="15.75" customHeight="1" x14ac:dyDescent="0.3">
      <c r="C223" s="90"/>
    </row>
    <row r="224" spans="3:3" ht="15.75" customHeight="1" x14ac:dyDescent="0.3">
      <c r="C224" s="90"/>
    </row>
    <row r="225" spans="3:3" ht="15.75" customHeight="1" x14ac:dyDescent="0.3">
      <c r="C225" s="90"/>
    </row>
    <row r="226" spans="3:3" ht="15.75" customHeight="1" x14ac:dyDescent="0.3">
      <c r="C226" s="90"/>
    </row>
    <row r="227" spans="3:3" ht="15.75" customHeight="1" x14ac:dyDescent="0.3">
      <c r="C227" s="90"/>
    </row>
    <row r="228" spans="3:3" ht="15.75" customHeight="1" x14ac:dyDescent="0.3">
      <c r="C228" s="90"/>
    </row>
    <row r="229" spans="3:3" ht="15.75" customHeight="1" x14ac:dyDescent="0.3">
      <c r="C229" s="90"/>
    </row>
    <row r="230" spans="3:3" ht="15.75" customHeight="1" x14ac:dyDescent="0.3">
      <c r="C230" s="90"/>
    </row>
    <row r="231" spans="3:3" ht="15.75" customHeight="1" x14ac:dyDescent="0.3">
      <c r="C231" s="90"/>
    </row>
    <row r="232" spans="3:3" ht="15.75" customHeight="1" x14ac:dyDescent="0.3">
      <c r="C232" s="90"/>
    </row>
    <row r="233" spans="3:3" ht="15.75" customHeight="1" x14ac:dyDescent="0.3">
      <c r="C233" s="90"/>
    </row>
    <row r="234" spans="3:3" ht="15.75" customHeight="1" x14ac:dyDescent="0.3">
      <c r="C234" s="90"/>
    </row>
    <row r="235" spans="3:3" ht="15.75" customHeight="1" x14ac:dyDescent="0.3">
      <c r="C235" s="90"/>
    </row>
    <row r="236" spans="3:3" ht="15.75" customHeight="1" x14ac:dyDescent="0.3">
      <c r="C236" s="90"/>
    </row>
    <row r="237" spans="3:3" ht="15.75" customHeight="1" x14ac:dyDescent="0.3">
      <c r="C237" s="90"/>
    </row>
    <row r="238" spans="3:3" ht="15.75" customHeight="1" x14ac:dyDescent="0.3">
      <c r="C238" s="90"/>
    </row>
    <row r="239" spans="3:3" ht="15.75" customHeight="1" x14ac:dyDescent="0.3">
      <c r="C239" s="90"/>
    </row>
    <row r="240" spans="3:3" ht="15.75" customHeight="1" x14ac:dyDescent="0.3">
      <c r="C240" s="90"/>
    </row>
    <row r="241" spans="3:3" ht="15.75" customHeight="1" x14ac:dyDescent="0.3">
      <c r="C241" s="90"/>
    </row>
    <row r="242" spans="3:3" ht="15.75" customHeight="1" x14ac:dyDescent="0.3">
      <c r="C242" s="90"/>
    </row>
    <row r="243" spans="3:3" ht="15.75" customHeight="1" x14ac:dyDescent="0.3">
      <c r="C243" s="90"/>
    </row>
    <row r="244" spans="3:3" ht="15.75" customHeight="1" x14ac:dyDescent="0.3">
      <c r="C244" s="90"/>
    </row>
    <row r="245" spans="3:3" ht="15.75" customHeight="1" x14ac:dyDescent="0.3">
      <c r="C245" s="90"/>
    </row>
    <row r="246" spans="3:3" ht="15.75" customHeight="1" x14ac:dyDescent="0.3">
      <c r="C246" s="90"/>
    </row>
    <row r="247" spans="3:3" ht="15.75" customHeight="1" x14ac:dyDescent="0.3">
      <c r="C247" s="90"/>
    </row>
    <row r="248" spans="3:3" ht="15.75" customHeight="1" x14ac:dyDescent="0.3">
      <c r="C248" s="90"/>
    </row>
    <row r="249" spans="3:3" ht="15.75" customHeight="1" x14ac:dyDescent="0.3">
      <c r="C249" s="90"/>
    </row>
    <row r="250" spans="3:3" ht="15.75" customHeight="1" x14ac:dyDescent="0.3">
      <c r="C250" s="90"/>
    </row>
    <row r="251" spans="3:3" ht="15.75" customHeight="1" x14ac:dyDescent="0.3">
      <c r="C251" s="90"/>
    </row>
    <row r="252" spans="3:3" ht="15.75" customHeight="1" x14ac:dyDescent="0.3">
      <c r="C252" s="90"/>
    </row>
    <row r="253" spans="3:3" ht="15.75" customHeight="1" x14ac:dyDescent="0.3">
      <c r="C253" s="90"/>
    </row>
    <row r="254" spans="3:3" ht="15.75" customHeight="1" x14ac:dyDescent="0.3">
      <c r="C254" s="90"/>
    </row>
    <row r="255" spans="3:3" ht="15.75" customHeight="1" x14ac:dyDescent="0.3">
      <c r="C255" s="90"/>
    </row>
    <row r="256" spans="3:3" ht="15.75" customHeight="1" x14ac:dyDescent="0.3">
      <c r="C256" s="90"/>
    </row>
    <row r="257" spans="3:3" ht="15.75" customHeight="1" x14ac:dyDescent="0.3">
      <c r="C257" s="90"/>
    </row>
    <row r="258" spans="3:3" ht="15.75" customHeight="1" x14ac:dyDescent="0.3">
      <c r="C258" s="90"/>
    </row>
    <row r="259" spans="3:3" ht="15.75" customHeight="1" x14ac:dyDescent="0.3">
      <c r="C259" s="90"/>
    </row>
    <row r="260" spans="3:3" ht="15.75" customHeight="1" x14ac:dyDescent="0.3">
      <c r="C260" s="90"/>
    </row>
    <row r="261" spans="3:3" ht="15.75" customHeight="1" x14ac:dyDescent="0.3">
      <c r="C261" s="90"/>
    </row>
    <row r="262" spans="3:3" ht="15.75" customHeight="1" x14ac:dyDescent="0.3">
      <c r="C262" s="90"/>
    </row>
    <row r="263" spans="3:3" ht="15.75" customHeight="1" x14ac:dyDescent="0.3">
      <c r="C263" s="90"/>
    </row>
    <row r="264" spans="3:3" ht="15.75" customHeight="1" x14ac:dyDescent="0.3">
      <c r="C264" s="90"/>
    </row>
    <row r="265" spans="3:3" ht="15.75" customHeight="1" x14ac:dyDescent="0.3">
      <c r="C265" s="90"/>
    </row>
    <row r="266" spans="3:3" ht="15.75" customHeight="1" x14ac:dyDescent="0.3">
      <c r="C266" s="90"/>
    </row>
    <row r="267" spans="3:3" ht="15.75" customHeight="1" x14ac:dyDescent="0.3">
      <c r="C267" s="90"/>
    </row>
    <row r="268" spans="3:3" ht="15.75" customHeight="1" x14ac:dyDescent="0.3">
      <c r="C268" s="90"/>
    </row>
    <row r="269" spans="3:3" ht="15.75" customHeight="1" x14ac:dyDescent="0.3">
      <c r="C269" s="90"/>
    </row>
    <row r="270" spans="3:3" ht="15.75" customHeight="1" x14ac:dyDescent="0.3">
      <c r="C270" s="90"/>
    </row>
    <row r="271" spans="3:3" ht="15.75" customHeight="1" x14ac:dyDescent="0.3">
      <c r="C271" s="90"/>
    </row>
    <row r="272" spans="3:3" ht="15.75" customHeight="1" x14ac:dyDescent="0.3">
      <c r="C272" s="90"/>
    </row>
    <row r="273" spans="3:3" ht="15.75" customHeight="1" x14ac:dyDescent="0.3">
      <c r="C273" s="90"/>
    </row>
    <row r="274" spans="3:3" ht="15.75" customHeight="1" x14ac:dyDescent="0.3">
      <c r="C274" s="90"/>
    </row>
    <row r="275" spans="3:3" ht="15.75" customHeight="1" x14ac:dyDescent="0.3">
      <c r="C275" s="90"/>
    </row>
    <row r="276" spans="3:3" ht="15.75" customHeight="1" x14ac:dyDescent="0.3">
      <c r="C276" s="90"/>
    </row>
    <row r="277" spans="3:3" ht="15.75" customHeight="1" x14ac:dyDescent="0.3">
      <c r="C277" s="90"/>
    </row>
    <row r="278" spans="3:3" ht="15.75" customHeight="1" x14ac:dyDescent="0.3">
      <c r="C278" s="90"/>
    </row>
    <row r="279" spans="3:3" ht="15.75" customHeight="1" x14ac:dyDescent="0.3">
      <c r="C279" s="90"/>
    </row>
    <row r="280" spans="3:3" ht="15.75" customHeight="1" x14ac:dyDescent="0.3">
      <c r="C280" s="90"/>
    </row>
    <row r="281" spans="3:3" ht="15.75" customHeight="1" x14ac:dyDescent="0.3">
      <c r="C281" s="90"/>
    </row>
    <row r="282" spans="3:3" ht="15.75" customHeight="1" x14ac:dyDescent="0.3">
      <c r="C282" s="90"/>
    </row>
    <row r="283" spans="3:3" ht="15.75" customHeight="1" x14ac:dyDescent="0.3">
      <c r="C283" s="90"/>
    </row>
    <row r="284" spans="3:3" ht="15.75" customHeight="1" x14ac:dyDescent="0.3">
      <c r="C284" s="90"/>
    </row>
    <row r="285" spans="3:3" ht="15.75" customHeight="1" x14ac:dyDescent="0.3">
      <c r="C285" s="90"/>
    </row>
    <row r="286" spans="3:3" ht="15.75" customHeight="1" x14ac:dyDescent="0.3">
      <c r="C286" s="90"/>
    </row>
    <row r="287" spans="3:3" ht="15.75" customHeight="1" x14ac:dyDescent="0.3">
      <c r="C287" s="90"/>
    </row>
    <row r="288" spans="3:3" ht="15.75" customHeight="1" x14ac:dyDescent="0.3">
      <c r="C288" s="90"/>
    </row>
    <row r="289" spans="3:3" ht="15.75" customHeight="1" x14ac:dyDescent="0.3">
      <c r="C289" s="90"/>
    </row>
    <row r="290" spans="3:3" ht="15.75" customHeight="1" x14ac:dyDescent="0.3">
      <c r="C290" s="90"/>
    </row>
    <row r="291" spans="3:3" ht="15.75" customHeight="1" x14ac:dyDescent="0.3">
      <c r="C291" s="90"/>
    </row>
    <row r="292" spans="3:3" ht="15.75" customHeight="1" x14ac:dyDescent="0.3">
      <c r="C292" s="90"/>
    </row>
    <row r="293" spans="3:3" ht="15.75" customHeight="1" x14ac:dyDescent="0.3">
      <c r="C293" s="90"/>
    </row>
    <row r="294" spans="3:3" ht="15.75" customHeight="1" x14ac:dyDescent="0.3">
      <c r="C294" s="90"/>
    </row>
    <row r="295" spans="3:3" ht="15.75" customHeight="1" x14ac:dyDescent="0.3">
      <c r="C295" s="90"/>
    </row>
    <row r="296" spans="3:3" ht="15.75" customHeight="1" x14ac:dyDescent="0.3">
      <c r="C296" s="90"/>
    </row>
    <row r="297" spans="3:3" ht="15.75" customHeight="1" x14ac:dyDescent="0.3">
      <c r="C297" s="90"/>
    </row>
    <row r="298" spans="3:3" ht="15.75" customHeight="1" x14ac:dyDescent="0.3">
      <c r="C298" s="90"/>
    </row>
    <row r="299" spans="3:3" ht="15.75" customHeight="1" x14ac:dyDescent="0.3">
      <c r="C299" s="90"/>
    </row>
    <row r="300" spans="3:3" ht="15.75" customHeight="1" x14ac:dyDescent="0.3">
      <c r="C300" s="90"/>
    </row>
    <row r="301" spans="3:3" ht="15.75" customHeight="1" x14ac:dyDescent="0.3">
      <c r="C301" s="90"/>
    </row>
    <row r="302" spans="3:3" ht="15.75" customHeight="1" x14ac:dyDescent="0.3">
      <c r="C302" s="90"/>
    </row>
    <row r="303" spans="3:3" ht="15.75" customHeight="1" x14ac:dyDescent="0.3">
      <c r="C303" s="90"/>
    </row>
    <row r="304" spans="3:3" ht="15.75" customHeight="1" x14ac:dyDescent="0.3">
      <c r="C304" s="90"/>
    </row>
    <row r="305" spans="3:3" ht="15.75" customHeight="1" x14ac:dyDescent="0.3">
      <c r="C305" s="90"/>
    </row>
    <row r="306" spans="3:3" ht="15.75" customHeight="1" x14ac:dyDescent="0.3">
      <c r="C306" s="90"/>
    </row>
    <row r="307" spans="3:3" ht="15.75" customHeight="1" x14ac:dyDescent="0.3">
      <c r="C307" s="90"/>
    </row>
    <row r="308" spans="3:3" ht="15.75" customHeight="1" x14ac:dyDescent="0.3">
      <c r="C308" s="90"/>
    </row>
    <row r="309" spans="3:3" ht="15.75" customHeight="1" x14ac:dyDescent="0.3">
      <c r="C309" s="90"/>
    </row>
    <row r="310" spans="3:3" ht="15.75" customHeight="1" x14ac:dyDescent="0.3">
      <c r="C310" s="90"/>
    </row>
    <row r="311" spans="3:3" ht="15.75" customHeight="1" x14ac:dyDescent="0.3">
      <c r="C311" s="90"/>
    </row>
    <row r="312" spans="3:3" ht="15.75" customHeight="1" x14ac:dyDescent="0.3">
      <c r="C312" s="90"/>
    </row>
    <row r="313" spans="3:3" ht="15.75" customHeight="1" x14ac:dyDescent="0.3">
      <c r="C313" s="90"/>
    </row>
    <row r="314" spans="3:3" ht="15.75" customHeight="1" x14ac:dyDescent="0.3">
      <c r="C314" s="90"/>
    </row>
    <row r="315" spans="3:3" ht="15.75" customHeight="1" x14ac:dyDescent="0.3">
      <c r="C315" s="90"/>
    </row>
    <row r="316" spans="3:3" ht="15.75" customHeight="1" x14ac:dyDescent="0.3">
      <c r="C316" s="90"/>
    </row>
    <row r="317" spans="3:3" ht="15.75" customHeight="1" x14ac:dyDescent="0.3">
      <c r="C317" s="90"/>
    </row>
    <row r="318" spans="3:3" ht="15.75" customHeight="1" x14ac:dyDescent="0.3">
      <c r="C318" s="90"/>
    </row>
    <row r="319" spans="3:3" ht="15.75" customHeight="1" x14ac:dyDescent="0.3">
      <c r="C319" s="90"/>
    </row>
    <row r="320" spans="3:3" ht="15.75" customHeight="1" x14ac:dyDescent="0.3">
      <c r="C320" s="90"/>
    </row>
    <row r="321" spans="3:3" ht="15.75" customHeight="1" x14ac:dyDescent="0.3">
      <c r="C321" s="90"/>
    </row>
    <row r="322" spans="3:3" ht="15.75" customHeight="1" x14ac:dyDescent="0.3">
      <c r="C322" s="90"/>
    </row>
    <row r="323" spans="3:3" ht="15.75" customHeight="1" x14ac:dyDescent="0.3">
      <c r="C323" s="90"/>
    </row>
    <row r="324" spans="3:3" ht="15.75" customHeight="1" x14ac:dyDescent="0.3">
      <c r="C324" s="90"/>
    </row>
    <row r="325" spans="3:3" ht="15.75" customHeight="1" x14ac:dyDescent="0.3">
      <c r="C325" s="90"/>
    </row>
    <row r="326" spans="3:3" ht="15.75" customHeight="1" x14ac:dyDescent="0.3">
      <c r="C326" s="90"/>
    </row>
    <row r="327" spans="3:3" ht="15.75" customHeight="1" x14ac:dyDescent="0.3">
      <c r="C327" s="90"/>
    </row>
    <row r="328" spans="3:3" ht="15.75" customHeight="1" x14ac:dyDescent="0.3">
      <c r="C328" s="90"/>
    </row>
    <row r="329" spans="3:3" ht="15.75" customHeight="1" x14ac:dyDescent="0.3">
      <c r="C329" s="90"/>
    </row>
    <row r="330" spans="3:3" ht="15.75" customHeight="1" x14ac:dyDescent="0.3">
      <c r="C330" s="90"/>
    </row>
    <row r="331" spans="3:3" ht="15.75" customHeight="1" x14ac:dyDescent="0.3">
      <c r="C331" s="90"/>
    </row>
    <row r="332" spans="3:3" ht="15.75" customHeight="1" x14ac:dyDescent="0.3">
      <c r="C332" s="90"/>
    </row>
    <row r="333" spans="3:3" ht="15.75" customHeight="1" x14ac:dyDescent="0.3">
      <c r="C333" s="90"/>
    </row>
    <row r="334" spans="3:3" ht="15.75" customHeight="1" x14ac:dyDescent="0.3">
      <c r="C334" s="90"/>
    </row>
    <row r="335" spans="3:3" ht="15.75" customHeight="1" x14ac:dyDescent="0.3">
      <c r="C335" s="90"/>
    </row>
    <row r="336" spans="3:3" ht="15.75" customHeight="1" x14ac:dyDescent="0.3">
      <c r="C336" s="90"/>
    </row>
    <row r="337" spans="3:3" ht="15.75" customHeight="1" x14ac:dyDescent="0.3">
      <c r="C337" s="90"/>
    </row>
    <row r="338" spans="3:3" ht="15.75" customHeight="1" x14ac:dyDescent="0.3">
      <c r="C338" s="90"/>
    </row>
    <row r="339" spans="3:3" ht="15.75" customHeight="1" x14ac:dyDescent="0.3">
      <c r="C339" s="90"/>
    </row>
    <row r="340" spans="3:3" ht="15.75" customHeight="1" x14ac:dyDescent="0.3">
      <c r="C340" s="90"/>
    </row>
    <row r="341" spans="3:3" ht="15.75" customHeight="1" x14ac:dyDescent="0.3">
      <c r="C341" s="90"/>
    </row>
    <row r="342" spans="3:3" ht="15.75" customHeight="1" x14ac:dyDescent="0.3">
      <c r="C342" s="90"/>
    </row>
    <row r="343" spans="3:3" ht="15.75" customHeight="1" x14ac:dyDescent="0.3">
      <c r="C343" s="90"/>
    </row>
    <row r="344" spans="3:3" ht="15.75" customHeight="1" x14ac:dyDescent="0.3">
      <c r="C344" s="90"/>
    </row>
    <row r="345" spans="3:3" ht="15.75" customHeight="1" x14ac:dyDescent="0.3">
      <c r="C345" s="90"/>
    </row>
    <row r="346" spans="3:3" ht="15.75" customHeight="1" x14ac:dyDescent="0.3">
      <c r="C346" s="90"/>
    </row>
    <row r="347" spans="3:3" ht="15.75" customHeight="1" x14ac:dyDescent="0.3">
      <c r="C347" s="90"/>
    </row>
    <row r="348" spans="3:3" ht="15.75" customHeight="1" x14ac:dyDescent="0.3">
      <c r="C348" s="90"/>
    </row>
    <row r="349" spans="3:3" ht="15.75" customHeight="1" x14ac:dyDescent="0.3">
      <c r="C349" s="90"/>
    </row>
    <row r="350" spans="3:3" ht="15.75" customHeight="1" x14ac:dyDescent="0.3">
      <c r="C350" s="90"/>
    </row>
    <row r="351" spans="3:3" ht="15.75" customHeight="1" x14ac:dyDescent="0.3">
      <c r="C351" s="90"/>
    </row>
    <row r="352" spans="3:3" ht="15.75" customHeight="1" x14ac:dyDescent="0.3">
      <c r="C352" s="90"/>
    </row>
    <row r="353" spans="3:3" ht="15.75" customHeight="1" x14ac:dyDescent="0.3">
      <c r="C353" s="90"/>
    </row>
    <row r="354" spans="3:3" ht="15.75" customHeight="1" x14ac:dyDescent="0.3">
      <c r="C354" s="90"/>
    </row>
    <row r="355" spans="3:3" ht="15.75" customHeight="1" x14ac:dyDescent="0.3">
      <c r="C355" s="90"/>
    </row>
    <row r="356" spans="3:3" ht="15.75" customHeight="1" x14ac:dyDescent="0.3">
      <c r="C356" s="90"/>
    </row>
    <row r="357" spans="3:3" ht="15.75" customHeight="1" x14ac:dyDescent="0.3">
      <c r="C357" s="90"/>
    </row>
    <row r="358" spans="3:3" ht="15.75" customHeight="1" x14ac:dyDescent="0.3">
      <c r="C358" s="90"/>
    </row>
    <row r="359" spans="3:3" ht="15.75" customHeight="1" x14ac:dyDescent="0.3">
      <c r="C359" s="90"/>
    </row>
    <row r="360" spans="3:3" ht="15.75" customHeight="1" x14ac:dyDescent="0.3">
      <c r="C360" s="90"/>
    </row>
    <row r="361" spans="3:3" ht="15.75" customHeight="1" x14ac:dyDescent="0.3">
      <c r="C361" s="90"/>
    </row>
    <row r="362" spans="3:3" ht="15.75" customHeight="1" x14ac:dyDescent="0.3">
      <c r="C362" s="90"/>
    </row>
    <row r="363" spans="3:3" ht="15.75" customHeight="1" x14ac:dyDescent="0.3">
      <c r="C363" s="90"/>
    </row>
    <row r="364" spans="3:3" ht="15.75" customHeight="1" x14ac:dyDescent="0.3">
      <c r="C364" s="90"/>
    </row>
    <row r="365" spans="3:3" ht="15.75" customHeight="1" x14ac:dyDescent="0.3">
      <c r="C365" s="90"/>
    </row>
    <row r="366" spans="3:3" ht="15.75" customHeight="1" x14ac:dyDescent="0.3">
      <c r="C366" s="90"/>
    </row>
    <row r="367" spans="3:3" ht="15.75" customHeight="1" x14ac:dyDescent="0.3">
      <c r="C367" s="90"/>
    </row>
    <row r="368" spans="3:3" ht="15.75" customHeight="1" x14ac:dyDescent="0.3">
      <c r="C368" s="90"/>
    </row>
    <row r="369" spans="3:3" ht="15.75" customHeight="1" x14ac:dyDescent="0.3">
      <c r="C369" s="90"/>
    </row>
    <row r="370" spans="3:3" ht="15.75" customHeight="1" x14ac:dyDescent="0.3">
      <c r="C370" s="90"/>
    </row>
    <row r="371" spans="3:3" ht="15.75" customHeight="1" x14ac:dyDescent="0.3">
      <c r="C371" s="90"/>
    </row>
    <row r="372" spans="3:3" ht="15.75" customHeight="1" x14ac:dyDescent="0.3">
      <c r="C372" s="90"/>
    </row>
    <row r="373" spans="3:3" ht="15.75" customHeight="1" x14ac:dyDescent="0.3">
      <c r="C373" s="90"/>
    </row>
    <row r="374" spans="3:3" ht="15.75" customHeight="1" x14ac:dyDescent="0.3">
      <c r="C374" s="90"/>
    </row>
    <row r="375" spans="3:3" ht="15.75" customHeight="1" x14ac:dyDescent="0.3">
      <c r="C375" s="90"/>
    </row>
    <row r="376" spans="3:3" ht="15.75" customHeight="1" x14ac:dyDescent="0.3">
      <c r="C376" s="90"/>
    </row>
    <row r="377" spans="3:3" ht="15.75" customHeight="1" x14ac:dyDescent="0.3">
      <c r="C377" s="90"/>
    </row>
    <row r="378" spans="3:3" ht="15.75" customHeight="1" x14ac:dyDescent="0.3">
      <c r="C378" s="90"/>
    </row>
    <row r="379" spans="3:3" ht="15.75" customHeight="1" x14ac:dyDescent="0.3">
      <c r="C379" s="90"/>
    </row>
    <row r="380" spans="3:3" ht="15.75" customHeight="1" x14ac:dyDescent="0.3">
      <c r="C380" s="90"/>
    </row>
    <row r="381" spans="3:3" ht="15.75" customHeight="1" x14ac:dyDescent="0.3">
      <c r="C381" s="90"/>
    </row>
    <row r="382" spans="3:3" ht="15.75" customHeight="1" x14ac:dyDescent="0.3">
      <c r="C382" s="90"/>
    </row>
    <row r="383" spans="3:3" ht="15.75" customHeight="1" x14ac:dyDescent="0.3">
      <c r="C383" s="90"/>
    </row>
    <row r="384" spans="3:3" ht="15.75" customHeight="1" x14ac:dyDescent="0.3">
      <c r="C384" s="90"/>
    </row>
    <row r="385" spans="3:3" ht="15.75" customHeight="1" x14ac:dyDescent="0.3">
      <c r="C385" s="90"/>
    </row>
    <row r="386" spans="3:3" ht="15.75" customHeight="1" x14ac:dyDescent="0.3">
      <c r="C386" s="90"/>
    </row>
    <row r="387" spans="3:3" ht="15.75" customHeight="1" x14ac:dyDescent="0.3">
      <c r="C387" s="90"/>
    </row>
    <row r="388" spans="3:3" ht="15.75" customHeight="1" x14ac:dyDescent="0.3">
      <c r="C388" s="90"/>
    </row>
    <row r="389" spans="3:3" ht="15.75" customHeight="1" x14ac:dyDescent="0.3">
      <c r="C389" s="90"/>
    </row>
    <row r="390" spans="3:3" ht="15.75" customHeight="1" x14ac:dyDescent="0.3">
      <c r="C390" s="90"/>
    </row>
    <row r="391" spans="3:3" ht="15.75" customHeight="1" x14ac:dyDescent="0.3">
      <c r="C391" s="90"/>
    </row>
    <row r="392" spans="3:3" ht="15.75" customHeight="1" x14ac:dyDescent="0.3">
      <c r="C392" s="90"/>
    </row>
    <row r="393" spans="3:3" ht="15.75" customHeight="1" x14ac:dyDescent="0.3">
      <c r="C393" s="90"/>
    </row>
    <row r="394" spans="3:3" ht="15.75" customHeight="1" x14ac:dyDescent="0.3">
      <c r="C394" s="90"/>
    </row>
    <row r="395" spans="3:3" ht="15.75" customHeight="1" x14ac:dyDescent="0.3">
      <c r="C395" s="90"/>
    </row>
    <row r="396" spans="3:3" ht="15.75" customHeight="1" x14ac:dyDescent="0.3">
      <c r="C396" s="90"/>
    </row>
    <row r="397" spans="3:3" ht="15.75" customHeight="1" x14ac:dyDescent="0.3">
      <c r="C397" s="90"/>
    </row>
    <row r="398" spans="3:3" ht="15.75" customHeight="1" x14ac:dyDescent="0.3">
      <c r="C398" s="90"/>
    </row>
    <row r="399" spans="3:3" ht="15.75" customHeight="1" x14ac:dyDescent="0.3">
      <c r="C399" s="90"/>
    </row>
    <row r="400" spans="3:3" ht="15.75" customHeight="1" x14ac:dyDescent="0.3">
      <c r="C400" s="90"/>
    </row>
    <row r="401" spans="3:3" ht="15.75" customHeight="1" x14ac:dyDescent="0.3">
      <c r="C401" s="90"/>
    </row>
    <row r="402" spans="3:3" ht="15.75" customHeight="1" x14ac:dyDescent="0.3">
      <c r="C402" s="90"/>
    </row>
    <row r="403" spans="3:3" ht="15.75" customHeight="1" x14ac:dyDescent="0.3">
      <c r="C403" s="90"/>
    </row>
    <row r="404" spans="3:3" ht="15.75" customHeight="1" x14ac:dyDescent="0.3">
      <c r="C404" s="90"/>
    </row>
    <row r="405" spans="3:3" ht="15.75" customHeight="1" x14ac:dyDescent="0.3">
      <c r="C405" s="90"/>
    </row>
    <row r="406" spans="3:3" ht="15.75" customHeight="1" x14ac:dyDescent="0.3">
      <c r="C406" s="90"/>
    </row>
    <row r="407" spans="3:3" ht="15.75" customHeight="1" x14ac:dyDescent="0.3">
      <c r="C407" s="90"/>
    </row>
    <row r="408" spans="3:3" ht="15.75" customHeight="1" x14ac:dyDescent="0.3">
      <c r="C408" s="90"/>
    </row>
    <row r="409" spans="3:3" ht="15.75" customHeight="1" x14ac:dyDescent="0.3">
      <c r="C409" s="90"/>
    </row>
    <row r="410" spans="3:3" ht="15.75" customHeight="1" x14ac:dyDescent="0.3">
      <c r="C410" s="90"/>
    </row>
    <row r="411" spans="3:3" ht="15.75" customHeight="1" x14ac:dyDescent="0.3">
      <c r="C411" s="90"/>
    </row>
    <row r="412" spans="3:3" ht="15.75" customHeight="1" x14ac:dyDescent="0.3">
      <c r="C412" s="90"/>
    </row>
    <row r="413" spans="3:3" ht="15.75" customHeight="1" x14ac:dyDescent="0.3">
      <c r="C413" s="90"/>
    </row>
    <row r="414" spans="3:3" ht="15.75" customHeight="1" x14ac:dyDescent="0.3">
      <c r="C414" s="90"/>
    </row>
    <row r="415" spans="3:3" ht="15.75" customHeight="1" x14ac:dyDescent="0.3">
      <c r="C415" s="90"/>
    </row>
    <row r="416" spans="3:3" ht="15.75" customHeight="1" x14ac:dyDescent="0.3">
      <c r="C416" s="90"/>
    </row>
    <row r="417" spans="3:3" ht="15.75" customHeight="1" x14ac:dyDescent="0.3">
      <c r="C417" s="90"/>
    </row>
    <row r="418" spans="3:3" ht="15.75" customHeight="1" x14ac:dyDescent="0.3">
      <c r="C418" s="90"/>
    </row>
    <row r="419" spans="3:3" ht="15.75" customHeight="1" x14ac:dyDescent="0.3">
      <c r="C419" s="90"/>
    </row>
    <row r="420" spans="3:3" ht="15.75" customHeight="1" x14ac:dyDescent="0.3">
      <c r="C420" s="90"/>
    </row>
    <row r="421" spans="3:3" ht="15.75" customHeight="1" x14ac:dyDescent="0.3">
      <c r="C421" s="90"/>
    </row>
    <row r="422" spans="3:3" ht="15.75" customHeight="1" x14ac:dyDescent="0.3">
      <c r="C422" s="90"/>
    </row>
    <row r="423" spans="3:3" ht="15.75" customHeight="1" x14ac:dyDescent="0.3">
      <c r="C423" s="90"/>
    </row>
    <row r="424" spans="3:3" ht="15.75" customHeight="1" x14ac:dyDescent="0.3">
      <c r="C424" s="90"/>
    </row>
    <row r="425" spans="3:3" ht="15.75" customHeight="1" x14ac:dyDescent="0.3">
      <c r="C425" s="90"/>
    </row>
    <row r="426" spans="3:3" ht="15.75" customHeight="1" x14ac:dyDescent="0.3">
      <c r="C426" s="90"/>
    </row>
    <row r="427" spans="3:3" ht="15.75" customHeight="1" x14ac:dyDescent="0.3">
      <c r="C427" s="90"/>
    </row>
    <row r="428" spans="3:3" ht="15.75" customHeight="1" x14ac:dyDescent="0.3">
      <c r="C428" s="90"/>
    </row>
    <row r="429" spans="3:3" ht="15.75" customHeight="1" x14ac:dyDescent="0.3">
      <c r="C429" s="90"/>
    </row>
    <row r="430" spans="3:3" ht="15.75" customHeight="1" x14ac:dyDescent="0.3">
      <c r="C430" s="90"/>
    </row>
    <row r="431" spans="3:3" ht="15.75" customHeight="1" x14ac:dyDescent="0.3">
      <c r="C431" s="90"/>
    </row>
    <row r="432" spans="3:3" ht="15.75" customHeight="1" x14ac:dyDescent="0.3">
      <c r="C432" s="90"/>
    </row>
    <row r="433" spans="3:3" ht="15.75" customHeight="1" x14ac:dyDescent="0.3">
      <c r="C433" s="90"/>
    </row>
    <row r="434" spans="3:3" ht="15.75" customHeight="1" x14ac:dyDescent="0.3">
      <c r="C434" s="90"/>
    </row>
    <row r="435" spans="3:3" ht="15.75" customHeight="1" x14ac:dyDescent="0.3">
      <c r="C435" s="90"/>
    </row>
    <row r="436" spans="3:3" ht="15.75" customHeight="1" x14ac:dyDescent="0.3">
      <c r="C436" s="90"/>
    </row>
    <row r="437" spans="3:3" ht="15.75" customHeight="1" x14ac:dyDescent="0.3">
      <c r="C437" s="90"/>
    </row>
    <row r="438" spans="3:3" ht="15.75" customHeight="1" x14ac:dyDescent="0.3">
      <c r="C438" s="90"/>
    </row>
    <row r="439" spans="3:3" ht="15.75" customHeight="1" x14ac:dyDescent="0.3">
      <c r="C439" s="90"/>
    </row>
    <row r="440" spans="3:3" ht="15.75" customHeight="1" x14ac:dyDescent="0.3">
      <c r="C440" s="90"/>
    </row>
    <row r="441" spans="3:3" ht="15.75" customHeight="1" x14ac:dyDescent="0.3">
      <c r="C441" s="90"/>
    </row>
    <row r="442" spans="3:3" ht="15.75" customHeight="1" x14ac:dyDescent="0.3">
      <c r="C442" s="90"/>
    </row>
    <row r="443" spans="3:3" ht="15.75" customHeight="1" x14ac:dyDescent="0.3">
      <c r="C443" s="90"/>
    </row>
    <row r="444" spans="3:3" ht="15.75" customHeight="1" x14ac:dyDescent="0.3">
      <c r="C444" s="90"/>
    </row>
    <row r="445" spans="3:3" ht="15.75" customHeight="1" x14ac:dyDescent="0.3">
      <c r="C445" s="90"/>
    </row>
    <row r="446" spans="3:3" ht="15.75" customHeight="1" x14ac:dyDescent="0.3">
      <c r="C446" s="90"/>
    </row>
    <row r="447" spans="3:3" ht="15.75" customHeight="1" x14ac:dyDescent="0.3">
      <c r="C447" s="90"/>
    </row>
    <row r="448" spans="3:3" ht="15.75" customHeight="1" x14ac:dyDescent="0.3">
      <c r="C448" s="90"/>
    </row>
    <row r="449" spans="3:3" ht="15.75" customHeight="1" x14ac:dyDescent="0.3">
      <c r="C449" s="90"/>
    </row>
    <row r="450" spans="3:3" ht="15.75" customHeight="1" x14ac:dyDescent="0.3">
      <c r="C450" s="90"/>
    </row>
    <row r="451" spans="3:3" ht="15.75" customHeight="1" x14ac:dyDescent="0.3">
      <c r="C451" s="90"/>
    </row>
    <row r="452" spans="3:3" ht="15.75" customHeight="1" x14ac:dyDescent="0.3">
      <c r="C452" s="90"/>
    </row>
    <row r="453" spans="3:3" ht="15.75" customHeight="1" x14ac:dyDescent="0.3">
      <c r="C453" s="90"/>
    </row>
    <row r="454" spans="3:3" ht="15.75" customHeight="1" x14ac:dyDescent="0.3">
      <c r="C454" s="90"/>
    </row>
    <row r="455" spans="3:3" ht="15.75" customHeight="1" x14ac:dyDescent="0.3">
      <c r="C455" s="90"/>
    </row>
    <row r="456" spans="3:3" ht="15.75" customHeight="1" x14ac:dyDescent="0.3">
      <c r="C456" s="90"/>
    </row>
    <row r="457" spans="3:3" ht="15.75" customHeight="1" x14ac:dyDescent="0.3">
      <c r="C457" s="90"/>
    </row>
    <row r="458" spans="3:3" ht="15.75" customHeight="1" x14ac:dyDescent="0.3">
      <c r="C458" s="90"/>
    </row>
    <row r="459" spans="3:3" ht="15.75" customHeight="1" x14ac:dyDescent="0.3">
      <c r="C459" s="90"/>
    </row>
    <row r="460" spans="3:3" ht="15.75" customHeight="1" x14ac:dyDescent="0.3">
      <c r="C460" s="90"/>
    </row>
    <row r="461" spans="3:3" ht="15.75" customHeight="1" x14ac:dyDescent="0.3">
      <c r="C461" s="90"/>
    </row>
    <row r="462" spans="3:3" ht="15.75" customHeight="1" x14ac:dyDescent="0.3">
      <c r="C462" s="90"/>
    </row>
    <row r="463" spans="3:3" ht="15.75" customHeight="1" x14ac:dyDescent="0.3">
      <c r="C463" s="90"/>
    </row>
    <row r="464" spans="3:3" ht="15.75" customHeight="1" x14ac:dyDescent="0.3">
      <c r="C464" s="90"/>
    </row>
    <row r="465" spans="3:3" ht="15.75" customHeight="1" x14ac:dyDescent="0.3">
      <c r="C465" s="90"/>
    </row>
    <row r="466" spans="3:3" ht="15.75" customHeight="1" x14ac:dyDescent="0.3">
      <c r="C466" s="90"/>
    </row>
    <row r="467" spans="3:3" ht="15.75" customHeight="1" x14ac:dyDescent="0.3">
      <c r="C467" s="90"/>
    </row>
    <row r="468" spans="3:3" ht="15.75" customHeight="1" x14ac:dyDescent="0.3">
      <c r="C468" s="90"/>
    </row>
    <row r="469" spans="3:3" ht="15.75" customHeight="1" x14ac:dyDescent="0.3">
      <c r="C469" s="90"/>
    </row>
    <row r="470" spans="3:3" ht="15.75" customHeight="1" x14ac:dyDescent="0.3">
      <c r="C470" s="90"/>
    </row>
    <row r="471" spans="3:3" ht="15.75" customHeight="1" x14ac:dyDescent="0.3">
      <c r="C471" s="90"/>
    </row>
    <row r="472" spans="3:3" ht="15.75" customHeight="1" x14ac:dyDescent="0.3">
      <c r="C472" s="90"/>
    </row>
    <row r="473" spans="3:3" ht="15.75" customHeight="1" x14ac:dyDescent="0.3">
      <c r="C473" s="90"/>
    </row>
    <row r="474" spans="3:3" ht="15.75" customHeight="1" x14ac:dyDescent="0.3">
      <c r="C474" s="90"/>
    </row>
    <row r="475" spans="3:3" ht="15.75" customHeight="1" x14ac:dyDescent="0.3">
      <c r="C475" s="90"/>
    </row>
    <row r="476" spans="3:3" ht="15.75" customHeight="1" x14ac:dyDescent="0.3">
      <c r="C476" s="90"/>
    </row>
    <row r="477" spans="3:3" ht="15.75" customHeight="1" x14ac:dyDescent="0.3">
      <c r="C477" s="90"/>
    </row>
    <row r="478" spans="3:3" ht="15.75" customHeight="1" x14ac:dyDescent="0.3">
      <c r="C478" s="90"/>
    </row>
    <row r="479" spans="3:3" ht="15.75" customHeight="1" x14ac:dyDescent="0.3">
      <c r="C479" s="90"/>
    </row>
    <row r="480" spans="3:3" ht="15.75" customHeight="1" x14ac:dyDescent="0.3">
      <c r="C480" s="90"/>
    </row>
    <row r="481" spans="3:3" ht="15.75" customHeight="1" x14ac:dyDescent="0.3">
      <c r="C481" s="90"/>
    </row>
    <row r="482" spans="3:3" ht="15.75" customHeight="1" x14ac:dyDescent="0.3">
      <c r="C482" s="90"/>
    </row>
    <row r="483" spans="3:3" ht="15.75" customHeight="1" x14ac:dyDescent="0.3">
      <c r="C483" s="90"/>
    </row>
    <row r="484" spans="3:3" ht="15.75" customHeight="1" x14ac:dyDescent="0.3">
      <c r="C484" s="90"/>
    </row>
    <row r="485" spans="3:3" ht="15.75" customHeight="1" x14ac:dyDescent="0.3">
      <c r="C485" s="90"/>
    </row>
    <row r="486" spans="3:3" ht="15.75" customHeight="1" x14ac:dyDescent="0.3">
      <c r="C486" s="90"/>
    </row>
    <row r="487" spans="3:3" ht="15.75" customHeight="1" x14ac:dyDescent="0.3">
      <c r="C487" s="90"/>
    </row>
    <row r="488" spans="3:3" ht="15.75" customHeight="1" x14ac:dyDescent="0.3">
      <c r="C488" s="90"/>
    </row>
    <row r="489" spans="3:3" ht="15.75" customHeight="1" x14ac:dyDescent="0.3">
      <c r="C489" s="90"/>
    </row>
    <row r="490" spans="3:3" ht="15.75" customHeight="1" x14ac:dyDescent="0.3">
      <c r="C490" s="90"/>
    </row>
    <row r="491" spans="3:3" ht="15.75" customHeight="1" x14ac:dyDescent="0.3">
      <c r="C491" s="90"/>
    </row>
    <row r="492" spans="3:3" ht="15.75" customHeight="1" x14ac:dyDescent="0.3">
      <c r="C492" s="90"/>
    </row>
    <row r="493" spans="3:3" ht="15.75" customHeight="1" x14ac:dyDescent="0.3">
      <c r="C493" s="90"/>
    </row>
    <row r="494" spans="3:3" ht="15.75" customHeight="1" x14ac:dyDescent="0.3">
      <c r="C494" s="90"/>
    </row>
    <row r="495" spans="3:3" ht="15.75" customHeight="1" x14ac:dyDescent="0.3">
      <c r="C495" s="90"/>
    </row>
    <row r="496" spans="3:3" ht="15.75" customHeight="1" x14ac:dyDescent="0.3">
      <c r="C496" s="90"/>
    </row>
    <row r="497" spans="3:3" ht="15.75" customHeight="1" x14ac:dyDescent="0.3">
      <c r="C497" s="90"/>
    </row>
    <row r="498" spans="3:3" ht="15.75" customHeight="1" x14ac:dyDescent="0.3">
      <c r="C498" s="90"/>
    </row>
    <row r="499" spans="3:3" ht="15.75" customHeight="1" x14ac:dyDescent="0.3">
      <c r="C499" s="90"/>
    </row>
    <row r="500" spans="3:3" ht="15.75" customHeight="1" x14ac:dyDescent="0.3">
      <c r="C500" s="90"/>
    </row>
    <row r="501" spans="3:3" ht="15.75" customHeight="1" x14ac:dyDescent="0.3">
      <c r="C501" s="90"/>
    </row>
    <row r="502" spans="3:3" ht="15.75" customHeight="1" x14ac:dyDescent="0.3">
      <c r="C502" s="90"/>
    </row>
    <row r="503" spans="3:3" ht="15.75" customHeight="1" x14ac:dyDescent="0.3">
      <c r="C503" s="90"/>
    </row>
    <row r="504" spans="3:3" ht="15.75" customHeight="1" x14ac:dyDescent="0.3">
      <c r="C504" s="90"/>
    </row>
    <row r="505" spans="3:3" ht="15.75" customHeight="1" x14ac:dyDescent="0.3">
      <c r="C505" s="90"/>
    </row>
    <row r="506" spans="3:3" ht="15.75" customHeight="1" x14ac:dyDescent="0.3">
      <c r="C506" s="90"/>
    </row>
    <row r="507" spans="3:3" ht="15.75" customHeight="1" x14ac:dyDescent="0.3">
      <c r="C507" s="90"/>
    </row>
    <row r="508" spans="3:3" ht="15.75" customHeight="1" x14ac:dyDescent="0.3">
      <c r="C508" s="90"/>
    </row>
    <row r="509" spans="3:3" ht="15.75" customHeight="1" x14ac:dyDescent="0.3">
      <c r="C509" s="90"/>
    </row>
    <row r="510" spans="3:3" ht="15.75" customHeight="1" x14ac:dyDescent="0.3">
      <c r="C510" s="90"/>
    </row>
    <row r="511" spans="3:3" ht="15.75" customHeight="1" x14ac:dyDescent="0.3">
      <c r="C511" s="90"/>
    </row>
    <row r="512" spans="3:3" ht="15.75" customHeight="1" x14ac:dyDescent="0.3">
      <c r="C512" s="90"/>
    </row>
    <row r="513" spans="3:3" ht="15.75" customHeight="1" x14ac:dyDescent="0.3">
      <c r="C513" s="90"/>
    </row>
    <row r="514" spans="3:3" ht="15.75" customHeight="1" x14ac:dyDescent="0.3">
      <c r="C514" s="90"/>
    </row>
    <row r="515" spans="3:3" ht="15.75" customHeight="1" x14ac:dyDescent="0.3">
      <c r="C515" s="90"/>
    </row>
    <row r="516" spans="3:3" ht="15.75" customHeight="1" x14ac:dyDescent="0.3">
      <c r="C516" s="90"/>
    </row>
    <row r="517" spans="3:3" ht="15.75" customHeight="1" x14ac:dyDescent="0.3">
      <c r="C517" s="90"/>
    </row>
    <row r="518" spans="3:3" ht="15.75" customHeight="1" x14ac:dyDescent="0.3">
      <c r="C518" s="90"/>
    </row>
    <row r="519" spans="3:3" ht="15.75" customHeight="1" x14ac:dyDescent="0.3">
      <c r="C519" s="90"/>
    </row>
    <row r="520" spans="3:3" ht="15.75" customHeight="1" x14ac:dyDescent="0.3">
      <c r="C520" s="90"/>
    </row>
    <row r="521" spans="3:3" ht="15.75" customHeight="1" x14ac:dyDescent="0.3">
      <c r="C521" s="90"/>
    </row>
    <row r="522" spans="3:3" ht="15.75" customHeight="1" x14ac:dyDescent="0.3">
      <c r="C522" s="90"/>
    </row>
    <row r="523" spans="3:3" ht="15.75" customHeight="1" x14ac:dyDescent="0.3">
      <c r="C523" s="90"/>
    </row>
    <row r="524" spans="3:3" ht="15.75" customHeight="1" x14ac:dyDescent="0.3">
      <c r="C524" s="90"/>
    </row>
    <row r="525" spans="3:3" ht="15.75" customHeight="1" x14ac:dyDescent="0.3">
      <c r="C525" s="90"/>
    </row>
    <row r="526" spans="3:3" ht="15.75" customHeight="1" x14ac:dyDescent="0.3">
      <c r="C526" s="90"/>
    </row>
    <row r="527" spans="3:3" ht="15.75" customHeight="1" x14ac:dyDescent="0.3">
      <c r="C527" s="90"/>
    </row>
    <row r="528" spans="3:3" ht="15.75" customHeight="1" x14ac:dyDescent="0.3">
      <c r="C528" s="90"/>
    </row>
    <row r="529" spans="3:3" ht="15.75" customHeight="1" x14ac:dyDescent="0.3">
      <c r="C529" s="90"/>
    </row>
    <row r="530" spans="3:3" ht="15.75" customHeight="1" x14ac:dyDescent="0.3">
      <c r="C530" s="90"/>
    </row>
    <row r="531" spans="3:3" ht="15.75" customHeight="1" x14ac:dyDescent="0.3">
      <c r="C531" s="90"/>
    </row>
    <row r="532" spans="3:3" ht="15.75" customHeight="1" x14ac:dyDescent="0.3">
      <c r="C532" s="90"/>
    </row>
    <row r="533" spans="3:3" ht="15.75" customHeight="1" x14ac:dyDescent="0.3">
      <c r="C533" s="90"/>
    </row>
    <row r="534" spans="3:3" ht="15.75" customHeight="1" x14ac:dyDescent="0.3">
      <c r="C534" s="90"/>
    </row>
    <row r="535" spans="3:3" ht="15.75" customHeight="1" x14ac:dyDescent="0.3">
      <c r="C535" s="90"/>
    </row>
    <row r="536" spans="3:3" ht="15.75" customHeight="1" x14ac:dyDescent="0.3">
      <c r="C536" s="90"/>
    </row>
    <row r="537" spans="3:3" ht="15.75" customHeight="1" x14ac:dyDescent="0.3">
      <c r="C537" s="90"/>
    </row>
    <row r="538" spans="3:3" ht="15.75" customHeight="1" x14ac:dyDescent="0.3">
      <c r="C538" s="90"/>
    </row>
    <row r="539" spans="3:3" ht="15.75" customHeight="1" x14ac:dyDescent="0.3">
      <c r="C539" s="90"/>
    </row>
    <row r="540" spans="3:3" ht="15.75" customHeight="1" x14ac:dyDescent="0.3">
      <c r="C540" s="90"/>
    </row>
    <row r="541" spans="3:3" ht="15.75" customHeight="1" x14ac:dyDescent="0.3">
      <c r="C541" s="90"/>
    </row>
    <row r="542" spans="3:3" ht="15.75" customHeight="1" x14ac:dyDescent="0.3">
      <c r="C542" s="90"/>
    </row>
    <row r="543" spans="3:3" ht="15.75" customHeight="1" x14ac:dyDescent="0.3">
      <c r="C543" s="90"/>
    </row>
    <row r="544" spans="3:3" ht="15.75" customHeight="1" x14ac:dyDescent="0.3">
      <c r="C544" s="90"/>
    </row>
    <row r="545" spans="3:3" ht="15.75" customHeight="1" x14ac:dyDescent="0.3">
      <c r="C545" s="90"/>
    </row>
    <row r="546" spans="3:3" ht="15.75" customHeight="1" x14ac:dyDescent="0.3">
      <c r="C546" s="90"/>
    </row>
    <row r="547" spans="3:3" ht="15.75" customHeight="1" x14ac:dyDescent="0.3">
      <c r="C547" s="90"/>
    </row>
    <row r="548" spans="3:3" ht="15.75" customHeight="1" x14ac:dyDescent="0.3">
      <c r="C548" s="90"/>
    </row>
    <row r="549" spans="3:3" ht="15.75" customHeight="1" x14ac:dyDescent="0.3">
      <c r="C549" s="90"/>
    </row>
    <row r="550" spans="3:3" ht="15.75" customHeight="1" x14ac:dyDescent="0.3">
      <c r="C550" s="90"/>
    </row>
    <row r="551" spans="3:3" ht="15.75" customHeight="1" x14ac:dyDescent="0.3">
      <c r="C551" s="90"/>
    </row>
    <row r="552" spans="3:3" ht="15.75" customHeight="1" x14ac:dyDescent="0.3">
      <c r="C552" s="90"/>
    </row>
    <row r="553" spans="3:3" ht="15.75" customHeight="1" x14ac:dyDescent="0.3">
      <c r="C553" s="90"/>
    </row>
    <row r="554" spans="3:3" ht="15.75" customHeight="1" x14ac:dyDescent="0.3">
      <c r="C554" s="90"/>
    </row>
    <row r="555" spans="3:3" ht="15.75" customHeight="1" x14ac:dyDescent="0.3">
      <c r="C555" s="90"/>
    </row>
    <row r="556" spans="3:3" ht="15.75" customHeight="1" x14ac:dyDescent="0.3">
      <c r="C556" s="90"/>
    </row>
    <row r="557" spans="3:3" ht="15.75" customHeight="1" x14ac:dyDescent="0.3">
      <c r="C557" s="90"/>
    </row>
    <row r="558" spans="3:3" ht="15.75" customHeight="1" x14ac:dyDescent="0.3">
      <c r="C558" s="90"/>
    </row>
    <row r="559" spans="3:3" ht="15.75" customHeight="1" x14ac:dyDescent="0.3">
      <c r="C559" s="90"/>
    </row>
    <row r="560" spans="3:3" ht="15.75" customHeight="1" x14ac:dyDescent="0.3">
      <c r="C560" s="90"/>
    </row>
    <row r="561" spans="3:3" ht="15.75" customHeight="1" x14ac:dyDescent="0.3">
      <c r="C561" s="90"/>
    </row>
    <row r="562" spans="3:3" ht="15.75" customHeight="1" x14ac:dyDescent="0.3">
      <c r="C562" s="90"/>
    </row>
    <row r="563" spans="3:3" ht="15.75" customHeight="1" x14ac:dyDescent="0.3">
      <c r="C563" s="90"/>
    </row>
    <row r="564" spans="3:3" ht="15.75" customHeight="1" x14ac:dyDescent="0.3">
      <c r="C564" s="90"/>
    </row>
    <row r="565" spans="3:3" ht="15.75" customHeight="1" x14ac:dyDescent="0.3">
      <c r="C565" s="90"/>
    </row>
    <row r="566" spans="3:3" ht="15.75" customHeight="1" x14ac:dyDescent="0.3">
      <c r="C566" s="90"/>
    </row>
    <row r="567" spans="3:3" ht="15.75" customHeight="1" x14ac:dyDescent="0.3">
      <c r="C567" s="90"/>
    </row>
    <row r="568" spans="3:3" ht="15.75" customHeight="1" x14ac:dyDescent="0.3">
      <c r="C568" s="90"/>
    </row>
    <row r="569" spans="3:3" ht="15.75" customHeight="1" x14ac:dyDescent="0.3">
      <c r="C569" s="90"/>
    </row>
    <row r="570" spans="3:3" ht="15.75" customHeight="1" x14ac:dyDescent="0.3">
      <c r="C570" s="90"/>
    </row>
    <row r="571" spans="3:3" ht="15.75" customHeight="1" x14ac:dyDescent="0.3">
      <c r="C571" s="90"/>
    </row>
    <row r="572" spans="3:3" ht="15.75" customHeight="1" x14ac:dyDescent="0.3">
      <c r="C572" s="90"/>
    </row>
    <row r="573" spans="3:3" ht="15.75" customHeight="1" x14ac:dyDescent="0.3">
      <c r="C573" s="90"/>
    </row>
    <row r="574" spans="3:3" ht="15.75" customHeight="1" x14ac:dyDescent="0.3">
      <c r="C574" s="90"/>
    </row>
    <row r="575" spans="3:3" ht="15.75" customHeight="1" x14ac:dyDescent="0.3">
      <c r="C575" s="90"/>
    </row>
    <row r="576" spans="3:3" ht="15.75" customHeight="1" x14ac:dyDescent="0.3">
      <c r="C576" s="90"/>
    </row>
    <row r="577" spans="3:3" ht="15.75" customHeight="1" x14ac:dyDescent="0.3">
      <c r="C577" s="90"/>
    </row>
    <row r="578" spans="3:3" ht="15.75" customHeight="1" x14ac:dyDescent="0.3">
      <c r="C578" s="90"/>
    </row>
    <row r="579" spans="3:3" ht="15.75" customHeight="1" x14ac:dyDescent="0.3">
      <c r="C579" s="90"/>
    </row>
    <row r="580" spans="3:3" ht="15.75" customHeight="1" x14ac:dyDescent="0.3">
      <c r="C580" s="90"/>
    </row>
    <row r="581" spans="3:3" ht="15.75" customHeight="1" x14ac:dyDescent="0.3">
      <c r="C581" s="90"/>
    </row>
    <row r="582" spans="3:3" ht="15.75" customHeight="1" x14ac:dyDescent="0.3">
      <c r="C582" s="90"/>
    </row>
    <row r="583" spans="3:3" ht="15.75" customHeight="1" x14ac:dyDescent="0.3">
      <c r="C583" s="90"/>
    </row>
    <row r="584" spans="3:3" ht="15.75" customHeight="1" x14ac:dyDescent="0.3">
      <c r="C584" s="90"/>
    </row>
    <row r="585" spans="3:3" ht="15.75" customHeight="1" x14ac:dyDescent="0.3">
      <c r="C585" s="90"/>
    </row>
    <row r="586" spans="3:3" ht="15.75" customHeight="1" x14ac:dyDescent="0.3">
      <c r="C586" s="90"/>
    </row>
    <row r="587" spans="3:3" ht="15.75" customHeight="1" x14ac:dyDescent="0.3">
      <c r="C587" s="90"/>
    </row>
    <row r="588" spans="3:3" ht="15.75" customHeight="1" x14ac:dyDescent="0.3">
      <c r="C588" s="90"/>
    </row>
    <row r="589" spans="3:3" ht="15.75" customHeight="1" x14ac:dyDescent="0.3">
      <c r="C589" s="90"/>
    </row>
    <row r="590" spans="3:3" ht="15.75" customHeight="1" x14ac:dyDescent="0.3">
      <c r="C590" s="90"/>
    </row>
    <row r="591" spans="3:3" ht="15.75" customHeight="1" x14ac:dyDescent="0.3">
      <c r="C591" s="90"/>
    </row>
    <row r="592" spans="3:3" ht="15.75" customHeight="1" x14ac:dyDescent="0.3">
      <c r="C592" s="90"/>
    </row>
    <row r="593" spans="3:3" ht="15.75" customHeight="1" x14ac:dyDescent="0.3">
      <c r="C593" s="90"/>
    </row>
    <row r="594" spans="3:3" ht="15.75" customHeight="1" x14ac:dyDescent="0.3">
      <c r="C594" s="90"/>
    </row>
    <row r="595" spans="3:3" ht="15.75" customHeight="1" x14ac:dyDescent="0.3">
      <c r="C595" s="90"/>
    </row>
    <row r="596" spans="3:3" ht="15.75" customHeight="1" x14ac:dyDescent="0.3">
      <c r="C596" s="90"/>
    </row>
    <row r="597" spans="3:3" ht="15.75" customHeight="1" x14ac:dyDescent="0.3">
      <c r="C597" s="90"/>
    </row>
    <row r="598" spans="3:3" ht="15.75" customHeight="1" x14ac:dyDescent="0.3">
      <c r="C598" s="90"/>
    </row>
    <row r="599" spans="3:3" ht="15.75" customHeight="1" x14ac:dyDescent="0.3">
      <c r="C599" s="90"/>
    </row>
    <row r="600" spans="3:3" ht="15.75" customHeight="1" x14ac:dyDescent="0.3">
      <c r="C600" s="90"/>
    </row>
    <row r="601" spans="3:3" ht="15.75" customHeight="1" x14ac:dyDescent="0.3">
      <c r="C601" s="90"/>
    </row>
    <row r="602" spans="3:3" ht="15.75" customHeight="1" x14ac:dyDescent="0.3">
      <c r="C602" s="90"/>
    </row>
    <row r="603" spans="3:3" ht="15.75" customHeight="1" x14ac:dyDescent="0.3">
      <c r="C603" s="90"/>
    </row>
    <row r="604" spans="3:3" ht="15.75" customHeight="1" x14ac:dyDescent="0.3">
      <c r="C604" s="90"/>
    </row>
    <row r="605" spans="3:3" ht="15.75" customHeight="1" x14ac:dyDescent="0.3">
      <c r="C605" s="90"/>
    </row>
    <row r="606" spans="3:3" ht="15.75" customHeight="1" x14ac:dyDescent="0.3">
      <c r="C606" s="90"/>
    </row>
    <row r="607" spans="3:3" ht="15.75" customHeight="1" x14ac:dyDescent="0.3">
      <c r="C607" s="90"/>
    </row>
    <row r="608" spans="3:3" ht="15.75" customHeight="1" x14ac:dyDescent="0.3">
      <c r="C608" s="90"/>
    </row>
    <row r="609" spans="3:3" ht="15.75" customHeight="1" x14ac:dyDescent="0.3">
      <c r="C609" s="90"/>
    </row>
    <row r="610" spans="3:3" ht="15.75" customHeight="1" x14ac:dyDescent="0.3">
      <c r="C610" s="90"/>
    </row>
    <row r="611" spans="3:3" ht="15.75" customHeight="1" x14ac:dyDescent="0.3">
      <c r="C611" s="90"/>
    </row>
    <row r="612" spans="3:3" ht="15.75" customHeight="1" x14ac:dyDescent="0.3">
      <c r="C612" s="90"/>
    </row>
    <row r="613" spans="3:3" ht="15.75" customHeight="1" x14ac:dyDescent="0.3">
      <c r="C613" s="90"/>
    </row>
    <row r="614" spans="3:3" ht="15.75" customHeight="1" x14ac:dyDescent="0.3">
      <c r="C614" s="90"/>
    </row>
    <row r="615" spans="3:3" ht="15.75" customHeight="1" x14ac:dyDescent="0.3">
      <c r="C615" s="90"/>
    </row>
    <row r="616" spans="3:3" ht="15.75" customHeight="1" x14ac:dyDescent="0.3">
      <c r="C616" s="90"/>
    </row>
    <row r="617" spans="3:3" ht="15.75" customHeight="1" x14ac:dyDescent="0.3">
      <c r="C617" s="90"/>
    </row>
    <row r="618" spans="3:3" ht="15.75" customHeight="1" x14ac:dyDescent="0.3">
      <c r="C618" s="90"/>
    </row>
    <row r="619" spans="3:3" ht="15.75" customHeight="1" x14ac:dyDescent="0.3">
      <c r="C619" s="90"/>
    </row>
    <row r="620" spans="3:3" ht="15.75" customHeight="1" x14ac:dyDescent="0.3">
      <c r="C620" s="90"/>
    </row>
    <row r="621" spans="3:3" ht="15.75" customHeight="1" x14ac:dyDescent="0.3">
      <c r="C621" s="90"/>
    </row>
    <row r="622" spans="3:3" ht="15.75" customHeight="1" x14ac:dyDescent="0.3">
      <c r="C622" s="90"/>
    </row>
    <row r="623" spans="3:3" ht="15.75" customHeight="1" x14ac:dyDescent="0.3">
      <c r="C623" s="90"/>
    </row>
    <row r="624" spans="3:3" ht="15.75" customHeight="1" x14ac:dyDescent="0.3">
      <c r="C624" s="90"/>
    </row>
    <row r="625" spans="3:3" ht="15.75" customHeight="1" x14ac:dyDescent="0.3">
      <c r="C625" s="90"/>
    </row>
    <row r="626" spans="3:3" ht="15.75" customHeight="1" x14ac:dyDescent="0.3">
      <c r="C626" s="90"/>
    </row>
    <row r="627" spans="3:3" ht="15.75" customHeight="1" x14ac:dyDescent="0.3">
      <c r="C627" s="90"/>
    </row>
    <row r="628" spans="3:3" ht="15.75" customHeight="1" x14ac:dyDescent="0.3">
      <c r="C628" s="90"/>
    </row>
    <row r="629" spans="3:3" ht="15.75" customHeight="1" x14ac:dyDescent="0.3">
      <c r="C629" s="90"/>
    </row>
    <row r="630" spans="3:3" ht="15.75" customHeight="1" x14ac:dyDescent="0.3">
      <c r="C630" s="90"/>
    </row>
    <row r="631" spans="3:3" ht="15.75" customHeight="1" x14ac:dyDescent="0.3">
      <c r="C631" s="90"/>
    </row>
    <row r="632" spans="3:3" ht="15.75" customHeight="1" x14ac:dyDescent="0.3">
      <c r="C632" s="90"/>
    </row>
    <row r="633" spans="3:3" ht="15.75" customHeight="1" x14ac:dyDescent="0.3">
      <c r="C633" s="90"/>
    </row>
    <row r="634" spans="3:3" ht="15.75" customHeight="1" x14ac:dyDescent="0.3">
      <c r="C634" s="90"/>
    </row>
    <row r="635" spans="3:3" ht="15.75" customHeight="1" x14ac:dyDescent="0.3">
      <c r="C635" s="90"/>
    </row>
    <row r="636" spans="3:3" ht="15.75" customHeight="1" x14ac:dyDescent="0.3">
      <c r="C636" s="90"/>
    </row>
    <row r="637" spans="3:3" ht="15.75" customHeight="1" x14ac:dyDescent="0.3">
      <c r="C637" s="90"/>
    </row>
    <row r="638" spans="3:3" ht="15.75" customHeight="1" x14ac:dyDescent="0.3">
      <c r="C638" s="90"/>
    </row>
    <row r="639" spans="3:3" ht="15.75" customHeight="1" x14ac:dyDescent="0.3">
      <c r="C639" s="90"/>
    </row>
    <row r="640" spans="3:3" ht="15.75" customHeight="1" x14ac:dyDescent="0.3">
      <c r="C640" s="90"/>
    </row>
    <row r="641" spans="3:3" ht="15.75" customHeight="1" x14ac:dyDescent="0.3">
      <c r="C641" s="90"/>
    </row>
    <row r="642" spans="3:3" ht="15.75" customHeight="1" x14ac:dyDescent="0.3">
      <c r="C642" s="90"/>
    </row>
    <row r="643" spans="3:3" ht="15.75" customHeight="1" x14ac:dyDescent="0.3">
      <c r="C643" s="90"/>
    </row>
    <row r="644" spans="3:3" ht="15.75" customHeight="1" x14ac:dyDescent="0.3">
      <c r="C644" s="90"/>
    </row>
    <row r="645" spans="3:3" ht="15.75" customHeight="1" x14ac:dyDescent="0.3">
      <c r="C645" s="90"/>
    </row>
    <row r="646" spans="3:3" ht="15.75" customHeight="1" x14ac:dyDescent="0.3">
      <c r="C646" s="90"/>
    </row>
    <row r="647" spans="3:3" ht="15.75" customHeight="1" x14ac:dyDescent="0.3">
      <c r="C647" s="90"/>
    </row>
    <row r="648" spans="3:3" ht="15.75" customHeight="1" x14ac:dyDescent="0.3">
      <c r="C648" s="90"/>
    </row>
    <row r="649" spans="3:3" ht="15.75" customHeight="1" x14ac:dyDescent="0.3">
      <c r="C649" s="90"/>
    </row>
    <row r="650" spans="3:3" ht="15.75" customHeight="1" x14ac:dyDescent="0.3">
      <c r="C650" s="90"/>
    </row>
    <row r="651" spans="3:3" ht="15.75" customHeight="1" x14ac:dyDescent="0.3">
      <c r="C651" s="90"/>
    </row>
    <row r="652" spans="3:3" ht="15.75" customHeight="1" x14ac:dyDescent="0.3">
      <c r="C652" s="90"/>
    </row>
    <row r="653" spans="3:3" ht="15.75" customHeight="1" x14ac:dyDescent="0.3">
      <c r="C653" s="90"/>
    </row>
    <row r="654" spans="3:3" ht="15.75" customHeight="1" x14ac:dyDescent="0.3">
      <c r="C654" s="90"/>
    </row>
    <row r="655" spans="3:3" ht="15.75" customHeight="1" x14ac:dyDescent="0.3">
      <c r="C655" s="90"/>
    </row>
    <row r="656" spans="3:3" ht="15.75" customHeight="1" x14ac:dyDescent="0.3">
      <c r="C656" s="90"/>
    </row>
    <row r="657" spans="3:3" ht="15.75" customHeight="1" x14ac:dyDescent="0.3">
      <c r="C657" s="90"/>
    </row>
    <row r="658" spans="3:3" ht="15.75" customHeight="1" x14ac:dyDescent="0.3">
      <c r="C658" s="90"/>
    </row>
    <row r="659" spans="3:3" ht="15.75" customHeight="1" x14ac:dyDescent="0.3">
      <c r="C659" s="90"/>
    </row>
    <row r="660" spans="3:3" ht="15.75" customHeight="1" x14ac:dyDescent="0.3">
      <c r="C660" s="90"/>
    </row>
    <row r="661" spans="3:3" ht="15.75" customHeight="1" x14ac:dyDescent="0.3">
      <c r="C661" s="90"/>
    </row>
    <row r="662" spans="3:3" ht="15.75" customHeight="1" x14ac:dyDescent="0.3">
      <c r="C662" s="90"/>
    </row>
    <row r="663" spans="3:3" ht="15.75" customHeight="1" x14ac:dyDescent="0.3">
      <c r="C663" s="90"/>
    </row>
    <row r="664" spans="3:3" ht="15.75" customHeight="1" x14ac:dyDescent="0.3">
      <c r="C664" s="90"/>
    </row>
    <row r="665" spans="3:3" ht="15.75" customHeight="1" x14ac:dyDescent="0.3">
      <c r="C665" s="90"/>
    </row>
    <row r="666" spans="3:3" ht="15.75" customHeight="1" x14ac:dyDescent="0.3">
      <c r="C666" s="90"/>
    </row>
    <row r="667" spans="3:3" ht="15.75" customHeight="1" x14ac:dyDescent="0.3">
      <c r="C667" s="90"/>
    </row>
    <row r="668" spans="3:3" ht="15.75" customHeight="1" x14ac:dyDescent="0.3">
      <c r="C668" s="90"/>
    </row>
    <row r="669" spans="3:3" ht="15.75" customHeight="1" x14ac:dyDescent="0.3">
      <c r="C669" s="90"/>
    </row>
    <row r="670" spans="3:3" ht="15.75" customHeight="1" x14ac:dyDescent="0.3">
      <c r="C670" s="90"/>
    </row>
    <row r="671" spans="3:3" ht="15.75" customHeight="1" x14ac:dyDescent="0.3">
      <c r="C671" s="90"/>
    </row>
    <row r="672" spans="3:3" ht="15.75" customHeight="1" x14ac:dyDescent="0.3">
      <c r="C672" s="90"/>
    </row>
    <row r="673" spans="3:3" ht="15.75" customHeight="1" x14ac:dyDescent="0.3">
      <c r="C673" s="90"/>
    </row>
    <row r="674" spans="3:3" ht="15.75" customHeight="1" x14ac:dyDescent="0.3">
      <c r="C674" s="90"/>
    </row>
    <row r="675" spans="3:3" ht="15.75" customHeight="1" x14ac:dyDescent="0.3">
      <c r="C675" s="90"/>
    </row>
    <row r="676" spans="3:3" ht="15.75" customHeight="1" x14ac:dyDescent="0.3">
      <c r="C676" s="90"/>
    </row>
    <row r="677" spans="3:3" ht="15.75" customHeight="1" x14ac:dyDescent="0.3">
      <c r="C677" s="90"/>
    </row>
    <row r="678" spans="3:3" ht="15.75" customHeight="1" x14ac:dyDescent="0.3">
      <c r="C678" s="90"/>
    </row>
    <row r="679" spans="3:3" ht="15.75" customHeight="1" x14ac:dyDescent="0.3">
      <c r="C679" s="90"/>
    </row>
    <row r="680" spans="3:3" ht="15.75" customHeight="1" x14ac:dyDescent="0.3">
      <c r="C680" s="90"/>
    </row>
    <row r="681" spans="3:3" ht="15.75" customHeight="1" x14ac:dyDescent="0.3">
      <c r="C681" s="90"/>
    </row>
    <row r="682" spans="3:3" ht="15.75" customHeight="1" x14ac:dyDescent="0.3">
      <c r="C682" s="90"/>
    </row>
    <row r="683" spans="3:3" ht="15.75" customHeight="1" x14ac:dyDescent="0.3">
      <c r="C683" s="90"/>
    </row>
    <row r="684" spans="3:3" ht="15.75" customHeight="1" x14ac:dyDescent="0.3">
      <c r="C684" s="90"/>
    </row>
    <row r="685" spans="3:3" ht="15.75" customHeight="1" x14ac:dyDescent="0.3">
      <c r="C685" s="90"/>
    </row>
    <row r="686" spans="3:3" ht="15.75" customHeight="1" x14ac:dyDescent="0.3">
      <c r="C686" s="90"/>
    </row>
    <row r="687" spans="3:3" ht="15.75" customHeight="1" x14ac:dyDescent="0.3">
      <c r="C687" s="90"/>
    </row>
    <row r="688" spans="3:3" ht="15.75" customHeight="1" x14ac:dyDescent="0.3">
      <c r="C688" s="90"/>
    </row>
    <row r="689" spans="3:3" ht="15.75" customHeight="1" x14ac:dyDescent="0.3">
      <c r="C689" s="90"/>
    </row>
    <row r="690" spans="3:3" ht="15.75" customHeight="1" x14ac:dyDescent="0.3">
      <c r="C690" s="90"/>
    </row>
    <row r="691" spans="3:3" ht="15.75" customHeight="1" x14ac:dyDescent="0.3">
      <c r="C691" s="90"/>
    </row>
    <row r="692" spans="3:3" ht="15.75" customHeight="1" x14ac:dyDescent="0.3">
      <c r="C692" s="90"/>
    </row>
    <row r="693" spans="3:3" ht="15.75" customHeight="1" x14ac:dyDescent="0.3">
      <c r="C693" s="90"/>
    </row>
    <row r="694" spans="3:3" ht="15.75" customHeight="1" x14ac:dyDescent="0.3">
      <c r="C694" s="90"/>
    </row>
    <row r="695" spans="3:3" ht="15.75" customHeight="1" x14ac:dyDescent="0.3">
      <c r="C695" s="90"/>
    </row>
    <row r="696" spans="3:3" ht="15.75" customHeight="1" x14ac:dyDescent="0.3">
      <c r="C696" s="90"/>
    </row>
    <row r="697" spans="3:3" ht="15.75" customHeight="1" x14ac:dyDescent="0.3">
      <c r="C697" s="90"/>
    </row>
    <row r="698" spans="3:3" ht="15.75" customHeight="1" x14ac:dyDescent="0.3">
      <c r="C698" s="90"/>
    </row>
    <row r="699" spans="3:3" ht="15.75" customHeight="1" x14ac:dyDescent="0.3">
      <c r="C699" s="90"/>
    </row>
    <row r="700" spans="3:3" ht="15.75" customHeight="1" x14ac:dyDescent="0.3">
      <c r="C700" s="90"/>
    </row>
    <row r="701" spans="3:3" ht="15.75" customHeight="1" x14ac:dyDescent="0.3">
      <c r="C701" s="90"/>
    </row>
    <row r="702" spans="3:3" ht="15.75" customHeight="1" x14ac:dyDescent="0.3">
      <c r="C702" s="90"/>
    </row>
    <row r="703" spans="3:3" ht="15.75" customHeight="1" x14ac:dyDescent="0.3">
      <c r="C703" s="90"/>
    </row>
    <row r="704" spans="3:3" ht="15.75" customHeight="1" x14ac:dyDescent="0.3">
      <c r="C704" s="90"/>
    </row>
    <row r="705" spans="3:3" ht="15.75" customHeight="1" x14ac:dyDescent="0.3">
      <c r="C705" s="90"/>
    </row>
    <row r="706" spans="3:3" ht="15.75" customHeight="1" x14ac:dyDescent="0.3">
      <c r="C706" s="90"/>
    </row>
    <row r="707" spans="3:3" ht="15.75" customHeight="1" x14ac:dyDescent="0.3">
      <c r="C707" s="90"/>
    </row>
    <row r="708" spans="3:3" ht="15.75" customHeight="1" x14ac:dyDescent="0.3">
      <c r="C708" s="90"/>
    </row>
    <row r="709" spans="3:3" ht="15.75" customHeight="1" x14ac:dyDescent="0.3">
      <c r="C709" s="90"/>
    </row>
    <row r="710" spans="3:3" ht="15.75" customHeight="1" x14ac:dyDescent="0.3">
      <c r="C710" s="90"/>
    </row>
    <row r="711" spans="3:3" ht="15.75" customHeight="1" x14ac:dyDescent="0.3">
      <c r="C711" s="90"/>
    </row>
    <row r="712" spans="3:3" ht="15.75" customHeight="1" x14ac:dyDescent="0.3">
      <c r="C712" s="90"/>
    </row>
    <row r="713" spans="3:3" ht="15.75" customHeight="1" x14ac:dyDescent="0.3">
      <c r="C713" s="90"/>
    </row>
    <row r="714" spans="3:3" ht="15.75" customHeight="1" x14ac:dyDescent="0.3">
      <c r="C714" s="90"/>
    </row>
    <row r="715" spans="3:3" ht="15.75" customHeight="1" x14ac:dyDescent="0.3">
      <c r="C715" s="90"/>
    </row>
    <row r="716" spans="3:3" ht="15.75" customHeight="1" x14ac:dyDescent="0.3">
      <c r="C716" s="90"/>
    </row>
    <row r="717" spans="3:3" ht="15.75" customHeight="1" x14ac:dyDescent="0.3">
      <c r="C717" s="90"/>
    </row>
    <row r="718" spans="3:3" ht="15.75" customHeight="1" x14ac:dyDescent="0.3">
      <c r="C718" s="90"/>
    </row>
    <row r="719" spans="3:3" ht="15.75" customHeight="1" x14ac:dyDescent="0.3">
      <c r="C719" s="90"/>
    </row>
    <row r="720" spans="3:3" ht="15.75" customHeight="1" x14ac:dyDescent="0.3">
      <c r="C720" s="90"/>
    </row>
    <row r="721" spans="3:3" ht="15.75" customHeight="1" x14ac:dyDescent="0.3">
      <c r="C721" s="90"/>
    </row>
    <row r="722" spans="3:3" ht="15.75" customHeight="1" x14ac:dyDescent="0.3">
      <c r="C722" s="90"/>
    </row>
    <row r="723" spans="3:3" ht="15.75" customHeight="1" x14ac:dyDescent="0.3">
      <c r="C723" s="90"/>
    </row>
    <row r="724" spans="3:3" ht="15.75" customHeight="1" x14ac:dyDescent="0.3">
      <c r="C724" s="90"/>
    </row>
    <row r="725" spans="3:3" ht="15.75" customHeight="1" x14ac:dyDescent="0.3">
      <c r="C725" s="90"/>
    </row>
    <row r="726" spans="3:3" ht="15.75" customHeight="1" x14ac:dyDescent="0.3">
      <c r="C726" s="90"/>
    </row>
    <row r="727" spans="3:3" ht="15.75" customHeight="1" x14ac:dyDescent="0.3">
      <c r="C727" s="90"/>
    </row>
    <row r="728" spans="3:3" ht="15.75" customHeight="1" x14ac:dyDescent="0.3">
      <c r="C728" s="90"/>
    </row>
    <row r="729" spans="3:3" ht="15.75" customHeight="1" x14ac:dyDescent="0.3">
      <c r="C729" s="90"/>
    </row>
    <row r="730" spans="3:3" ht="15.75" customHeight="1" x14ac:dyDescent="0.3">
      <c r="C730" s="90"/>
    </row>
    <row r="731" spans="3:3" ht="15.75" customHeight="1" x14ac:dyDescent="0.3">
      <c r="C731" s="90"/>
    </row>
    <row r="732" spans="3:3" ht="15.75" customHeight="1" x14ac:dyDescent="0.3">
      <c r="C732" s="90"/>
    </row>
    <row r="733" spans="3:3" ht="15.75" customHeight="1" x14ac:dyDescent="0.3">
      <c r="C733" s="90"/>
    </row>
    <row r="734" spans="3:3" ht="15.75" customHeight="1" x14ac:dyDescent="0.3">
      <c r="C734" s="90"/>
    </row>
    <row r="735" spans="3:3" ht="15.75" customHeight="1" x14ac:dyDescent="0.3">
      <c r="C735" s="90"/>
    </row>
    <row r="736" spans="3:3" ht="15.75" customHeight="1" x14ac:dyDescent="0.3">
      <c r="C736" s="90"/>
    </row>
    <row r="737" spans="3:3" ht="15.75" customHeight="1" x14ac:dyDescent="0.3">
      <c r="C737" s="90"/>
    </row>
    <row r="738" spans="3:3" ht="15.75" customHeight="1" x14ac:dyDescent="0.3">
      <c r="C738" s="90"/>
    </row>
    <row r="739" spans="3:3" ht="15.75" customHeight="1" x14ac:dyDescent="0.3">
      <c r="C739" s="90"/>
    </row>
    <row r="740" spans="3:3" ht="15.75" customHeight="1" x14ac:dyDescent="0.3">
      <c r="C740" s="90"/>
    </row>
    <row r="741" spans="3:3" ht="15.75" customHeight="1" x14ac:dyDescent="0.3">
      <c r="C741" s="90"/>
    </row>
    <row r="742" spans="3:3" ht="15.75" customHeight="1" x14ac:dyDescent="0.3">
      <c r="C742" s="90"/>
    </row>
    <row r="743" spans="3:3" ht="15.75" customHeight="1" x14ac:dyDescent="0.3">
      <c r="C743" s="90"/>
    </row>
    <row r="744" spans="3:3" ht="15.75" customHeight="1" x14ac:dyDescent="0.3">
      <c r="C744" s="90"/>
    </row>
    <row r="745" spans="3:3" ht="15.75" customHeight="1" x14ac:dyDescent="0.3">
      <c r="C745" s="90"/>
    </row>
    <row r="746" spans="3:3" ht="15.75" customHeight="1" x14ac:dyDescent="0.3">
      <c r="C746" s="90"/>
    </row>
    <row r="747" spans="3:3" ht="15.75" customHeight="1" x14ac:dyDescent="0.3">
      <c r="C747" s="90"/>
    </row>
    <row r="748" spans="3:3" ht="15.75" customHeight="1" x14ac:dyDescent="0.3">
      <c r="C748" s="90"/>
    </row>
    <row r="749" spans="3:3" ht="15.75" customHeight="1" x14ac:dyDescent="0.3">
      <c r="C749" s="90"/>
    </row>
    <row r="750" spans="3:3" ht="15.75" customHeight="1" x14ac:dyDescent="0.3">
      <c r="C750" s="90"/>
    </row>
    <row r="751" spans="3:3" ht="15.75" customHeight="1" x14ac:dyDescent="0.3">
      <c r="C751" s="90"/>
    </row>
    <row r="752" spans="3:3" ht="15.75" customHeight="1" x14ac:dyDescent="0.3">
      <c r="C752" s="90"/>
    </row>
    <row r="753" spans="3:3" ht="15.75" customHeight="1" x14ac:dyDescent="0.3">
      <c r="C753" s="90"/>
    </row>
    <row r="754" spans="3:3" ht="15.75" customHeight="1" x14ac:dyDescent="0.3">
      <c r="C754" s="90"/>
    </row>
    <row r="755" spans="3:3" ht="15.75" customHeight="1" x14ac:dyDescent="0.3">
      <c r="C755" s="90"/>
    </row>
    <row r="756" spans="3:3" ht="15.75" customHeight="1" x14ac:dyDescent="0.3">
      <c r="C756" s="90"/>
    </row>
    <row r="757" spans="3:3" ht="15.75" customHeight="1" x14ac:dyDescent="0.3">
      <c r="C757" s="90"/>
    </row>
    <row r="758" spans="3:3" ht="15.75" customHeight="1" x14ac:dyDescent="0.3">
      <c r="C758" s="90"/>
    </row>
    <row r="759" spans="3:3" ht="15.75" customHeight="1" x14ac:dyDescent="0.3">
      <c r="C759" s="90"/>
    </row>
    <row r="760" spans="3:3" ht="15.75" customHeight="1" x14ac:dyDescent="0.3">
      <c r="C760" s="90"/>
    </row>
    <row r="761" spans="3:3" ht="15.75" customHeight="1" x14ac:dyDescent="0.3">
      <c r="C761" s="90"/>
    </row>
    <row r="762" spans="3:3" ht="15.75" customHeight="1" x14ac:dyDescent="0.3">
      <c r="C762" s="90"/>
    </row>
    <row r="763" spans="3:3" ht="15.75" customHeight="1" x14ac:dyDescent="0.3">
      <c r="C763" s="90"/>
    </row>
    <row r="764" spans="3:3" ht="15.75" customHeight="1" x14ac:dyDescent="0.3">
      <c r="C764" s="90"/>
    </row>
    <row r="765" spans="3:3" ht="15.75" customHeight="1" x14ac:dyDescent="0.3">
      <c r="C765" s="90"/>
    </row>
    <row r="766" spans="3:3" ht="15.75" customHeight="1" x14ac:dyDescent="0.3">
      <c r="C766" s="90"/>
    </row>
    <row r="767" spans="3:3" ht="15.75" customHeight="1" x14ac:dyDescent="0.3">
      <c r="C767" s="90"/>
    </row>
    <row r="768" spans="3:3" ht="15.75" customHeight="1" x14ac:dyDescent="0.3">
      <c r="C768" s="90"/>
    </row>
    <row r="769" spans="3:3" ht="15.75" customHeight="1" x14ac:dyDescent="0.3">
      <c r="C769" s="90"/>
    </row>
    <row r="770" spans="3:3" ht="15.75" customHeight="1" x14ac:dyDescent="0.3">
      <c r="C770" s="90"/>
    </row>
    <row r="771" spans="3:3" ht="15.75" customHeight="1" x14ac:dyDescent="0.3">
      <c r="C771" s="90"/>
    </row>
    <row r="772" spans="3:3" ht="15.75" customHeight="1" x14ac:dyDescent="0.3">
      <c r="C772" s="90"/>
    </row>
    <row r="773" spans="3:3" ht="15.75" customHeight="1" x14ac:dyDescent="0.3">
      <c r="C773" s="90"/>
    </row>
    <row r="774" spans="3:3" ht="15.75" customHeight="1" x14ac:dyDescent="0.3">
      <c r="C774" s="90"/>
    </row>
    <row r="775" spans="3:3" ht="15.75" customHeight="1" x14ac:dyDescent="0.3">
      <c r="C775" s="90"/>
    </row>
    <row r="776" spans="3:3" ht="15.75" customHeight="1" x14ac:dyDescent="0.3">
      <c r="C776" s="90"/>
    </row>
    <row r="777" spans="3:3" ht="15.75" customHeight="1" x14ac:dyDescent="0.3">
      <c r="C777" s="90"/>
    </row>
    <row r="778" spans="3:3" ht="15.75" customHeight="1" x14ac:dyDescent="0.3">
      <c r="C778" s="90"/>
    </row>
    <row r="779" spans="3:3" ht="15.75" customHeight="1" x14ac:dyDescent="0.3">
      <c r="C779" s="90"/>
    </row>
    <row r="780" spans="3:3" ht="15.75" customHeight="1" x14ac:dyDescent="0.3">
      <c r="C780" s="90"/>
    </row>
    <row r="781" spans="3:3" ht="15.75" customHeight="1" x14ac:dyDescent="0.3">
      <c r="C781" s="90"/>
    </row>
    <row r="782" spans="3:3" ht="15.75" customHeight="1" x14ac:dyDescent="0.3">
      <c r="C782" s="90"/>
    </row>
    <row r="783" spans="3:3" ht="15.75" customHeight="1" x14ac:dyDescent="0.3">
      <c r="C783" s="90"/>
    </row>
    <row r="784" spans="3:3" ht="15.75" customHeight="1" x14ac:dyDescent="0.3">
      <c r="C784" s="90"/>
    </row>
    <row r="785" spans="3:3" ht="15.75" customHeight="1" x14ac:dyDescent="0.3">
      <c r="C785" s="90"/>
    </row>
    <row r="786" spans="3:3" ht="15.75" customHeight="1" x14ac:dyDescent="0.3">
      <c r="C786" s="90"/>
    </row>
    <row r="787" spans="3:3" ht="15.75" customHeight="1" x14ac:dyDescent="0.3">
      <c r="C787" s="90"/>
    </row>
    <row r="788" spans="3:3" ht="15.75" customHeight="1" x14ac:dyDescent="0.3">
      <c r="C788" s="90"/>
    </row>
    <row r="789" spans="3:3" ht="15.75" customHeight="1" x14ac:dyDescent="0.3">
      <c r="C789" s="90"/>
    </row>
    <row r="790" spans="3:3" ht="15.75" customHeight="1" x14ac:dyDescent="0.3">
      <c r="C790" s="90"/>
    </row>
    <row r="791" spans="3:3" ht="15.75" customHeight="1" x14ac:dyDescent="0.3">
      <c r="C791" s="90"/>
    </row>
    <row r="792" spans="3:3" ht="15.75" customHeight="1" x14ac:dyDescent="0.3">
      <c r="C792" s="90"/>
    </row>
    <row r="793" spans="3:3" ht="15.75" customHeight="1" x14ac:dyDescent="0.3">
      <c r="C793" s="90"/>
    </row>
    <row r="794" spans="3:3" ht="15.75" customHeight="1" x14ac:dyDescent="0.3">
      <c r="C794" s="90"/>
    </row>
    <row r="795" spans="3:3" ht="15.75" customHeight="1" x14ac:dyDescent="0.3">
      <c r="C795" s="90"/>
    </row>
    <row r="796" spans="3:3" ht="15.75" customHeight="1" x14ac:dyDescent="0.3">
      <c r="C796" s="90"/>
    </row>
    <row r="797" spans="3:3" ht="15.75" customHeight="1" x14ac:dyDescent="0.3">
      <c r="C797" s="90"/>
    </row>
    <row r="798" spans="3:3" ht="15.75" customHeight="1" x14ac:dyDescent="0.3">
      <c r="C798" s="90"/>
    </row>
    <row r="799" spans="3:3" ht="15.75" customHeight="1" x14ac:dyDescent="0.3">
      <c r="C799" s="90"/>
    </row>
    <row r="800" spans="3:3" ht="15.75" customHeight="1" x14ac:dyDescent="0.3">
      <c r="C800" s="90"/>
    </row>
    <row r="801" spans="3:3" ht="15.75" customHeight="1" x14ac:dyDescent="0.3">
      <c r="C801" s="90"/>
    </row>
    <row r="802" spans="3:3" ht="15.75" customHeight="1" x14ac:dyDescent="0.3">
      <c r="C802" s="90"/>
    </row>
    <row r="803" spans="3:3" ht="15.75" customHeight="1" x14ac:dyDescent="0.3">
      <c r="C803" s="90"/>
    </row>
    <row r="804" spans="3:3" ht="15.75" customHeight="1" x14ac:dyDescent="0.3">
      <c r="C804" s="90"/>
    </row>
    <row r="805" spans="3:3" ht="15.75" customHeight="1" x14ac:dyDescent="0.3">
      <c r="C805" s="90"/>
    </row>
    <row r="806" spans="3:3" ht="15.75" customHeight="1" x14ac:dyDescent="0.3">
      <c r="C806" s="90"/>
    </row>
    <row r="807" spans="3:3" ht="15.75" customHeight="1" x14ac:dyDescent="0.3">
      <c r="C807" s="90"/>
    </row>
    <row r="808" spans="3:3" ht="15.75" customHeight="1" x14ac:dyDescent="0.3">
      <c r="C808" s="90"/>
    </row>
    <row r="809" spans="3:3" ht="15.75" customHeight="1" x14ac:dyDescent="0.3">
      <c r="C809" s="90"/>
    </row>
    <row r="810" spans="3:3" ht="15.75" customHeight="1" x14ac:dyDescent="0.3">
      <c r="C810" s="90"/>
    </row>
    <row r="811" spans="3:3" ht="15.75" customHeight="1" x14ac:dyDescent="0.3">
      <c r="C811" s="90"/>
    </row>
    <row r="812" spans="3:3" ht="15.75" customHeight="1" x14ac:dyDescent="0.3">
      <c r="C812" s="90"/>
    </row>
    <row r="813" spans="3:3" ht="15.75" customHeight="1" x14ac:dyDescent="0.3">
      <c r="C813" s="90"/>
    </row>
    <row r="814" spans="3:3" ht="15.75" customHeight="1" x14ac:dyDescent="0.3">
      <c r="C814" s="90"/>
    </row>
    <row r="815" spans="3:3" ht="15.75" customHeight="1" x14ac:dyDescent="0.3">
      <c r="C815" s="90"/>
    </row>
    <row r="816" spans="3:3" ht="15.75" customHeight="1" x14ac:dyDescent="0.3">
      <c r="C816" s="90"/>
    </row>
    <row r="817" spans="3:3" ht="15.75" customHeight="1" x14ac:dyDescent="0.3">
      <c r="C817" s="90"/>
    </row>
    <row r="818" spans="3:3" ht="15.75" customHeight="1" x14ac:dyDescent="0.3">
      <c r="C818" s="90"/>
    </row>
    <row r="819" spans="3:3" ht="15.75" customHeight="1" x14ac:dyDescent="0.3">
      <c r="C819" s="90"/>
    </row>
    <row r="820" spans="3:3" ht="15.75" customHeight="1" x14ac:dyDescent="0.3">
      <c r="C820" s="90"/>
    </row>
    <row r="821" spans="3:3" ht="15.75" customHeight="1" x14ac:dyDescent="0.3">
      <c r="C821" s="90"/>
    </row>
    <row r="822" spans="3:3" ht="15.75" customHeight="1" x14ac:dyDescent="0.3">
      <c r="C822" s="90"/>
    </row>
    <row r="823" spans="3:3" ht="15.75" customHeight="1" x14ac:dyDescent="0.3">
      <c r="C823" s="90"/>
    </row>
    <row r="824" spans="3:3" ht="15.75" customHeight="1" x14ac:dyDescent="0.3">
      <c r="C824" s="90"/>
    </row>
    <row r="825" spans="3:3" ht="15.75" customHeight="1" x14ac:dyDescent="0.3">
      <c r="C825" s="90"/>
    </row>
    <row r="826" spans="3:3" ht="15.75" customHeight="1" x14ac:dyDescent="0.3">
      <c r="C826" s="90"/>
    </row>
    <row r="827" spans="3:3" ht="15.75" customHeight="1" x14ac:dyDescent="0.3">
      <c r="C827" s="90"/>
    </row>
    <row r="828" spans="3:3" ht="15.75" customHeight="1" x14ac:dyDescent="0.3">
      <c r="C828" s="90"/>
    </row>
    <row r="829" spans="3:3" ht="15.75" customHeight="1" x14ac:dyDescent="0.3">
      <c r="C829" s="90"/>
    </row>
    <row r="830" spans="3:3" ht="15.75" customHeight="1" x14ac:dyDescent="0.3">
      <c r="C830" s="90"/>
    </row>
    <row r="831" spans="3:3" ht="15.75" customHeight="1" x14ac:dyDescent="0.3">
      <c r="C831" s="90"/>
    </row>
    <row r="832" spans="3:3" ht="15.75" customHeight="1" x14ac:dyDescent="0.3">
      <c r="C832" s="90"/>
    </row>
    <row r="833" spans="3:3" ht="15.75" customHeight="1" x14ac:dyDescent="0.3">
      <c r="C833" s="90"/>
    </row>
    <row r="834" spans="3:3" ht="15.75" customHeight="1" x14ac:dyDescent="0.3">
      <c r="C834" s="90"/>
    </row>
    <row r="835" spans="3:3" ht="15.75" customHeight="1" x14ac:dyDescent="0.3">
      <c r="C835" s="90"/>
    </row>
    <row r="836" spans="3:3" ht="15.75" customHeight="1" x14ac:dyDescent="0.3">
      <c r="C836" s="90"/>
    </row>
    <row r="837" spans="3:3" ht="15.75" customHeight="1" x14ac:dyDescent="0.3">
      <c r="C837" s="90"/>
    </row>
    <row r="838" spans="3:3" ht="15.75" customHeight="1" x14ac:dyDescent="0.3">
      <c r="C838" s="90"/>
    </row>
    <row r="839" spans="3:3" ht="15.75" customHeight="1" x14ac:dyDescent="0.3">
      <c r="C839" s="90"/>
    </row>
    <row r="840" spans="3:3" ht="15.75" customHeight="1" x14ac:dyDescent="0.3">
      <c r="C840" s="90"/>
    </row>
    <row r="841" spans="3:3" ht="15.75" customHeight="1" x14ac:dyDescent="0.3">
      <c r="C841" s="90"/>
    </row>
    <row r="842" spans="3:3" ht="15.75" customHeight="1" x14ac:dyDescent="0.3">
      <c r="C842" s="90"/>
    </row>
    <row r="843" spans="3:3" ht="15.75" customHeight="1" x14ac:dyDescent="0.3">
      <c r="C843" s="90"/>
    </row>
    <row r="844" spans="3:3" ht="15.75" customHeight="1" x14ac:dyDescent="0.3">
      <c r="C844" s="90"/>
    </row>
    <row r="845" spans="3:3" ht="15.75" customHeight="1" x14ac:dyDescent="0.3">
      <c r="C845" s="90"/>
    </row>
    <row r="846" spans="3:3" ht="15.75" customHeight="1" x14ac:dyDescent="0.3">
      <c r="C846" s="90"/>
    </row>
    <row r="847" spans="3:3" ht="15.75" customHeight="1" x14ac:dyDescent="0.3">
      <c r="C847" s="90"/>
    </row>
    <row r="848" spans="3:3" ht="15.75" customHeight="1" x14ac:dyDescent="0.3">
      <c r="C848" s="90"/>
    </row>
    <row r="849" spans="3:3" ht="15.75" customHeight="1" x14ac:dyDescent="0.3">
      <c r="C849" s="90"/>
    </row>
    <row r="850" spans="3:3" ht="15.75" customHeight="1" x14ac:dyDescent="0.3">
      <c r="C850" s="90"/>
    </row>
    <row r="851" spans="3:3" ht="15.75" customHeight="1" x14ac:dyDescent="0.3">
      <c r="C851" s="90"/>
    </row>
    <row r="852" spans="3:3" ht="15.75" customHeight="1" x14ac:dyDescent="0.3">
      <c r="C852" s="90"/>
    </row>
    <row r="853" spans="3:3" ht="15.75" customHeight="1" x14ac:dyDescent="0.3">
      <c r="C853" s="90"/>
    </row>
    <row r="854" spans="3:3" ht="15.75" customHeight="1" x14ac:dyDescent="0.3">
      <c r="C854" s="90"/>
    </row>
    <row r="855" spans="3:3" ht="15.75" customHeight="1" x14ac:dyDescent="0.3">
      <c r="C855" s="90"/>
    </row>
    <row r="856" spans="3:3" ht="15.75" customHeight="1" x14ac:dyDescent="0.3">
      <c r="C856" s="90"/>
    </row>
    <row r="857" spans="3:3" ht="15.75" customHeight="1" x14ac:dyDescent="0.3">
      <c r="C857" s="90"/>
    </row>
    <row r="858" spans="3:3" ht="15.75" customHeight="1" x14ac:dyDescent="0.3">
      <c r="C858" s="90"/>
    </row>
    <row r="859" spans="3:3" ht="15.75" customHeight="1" x14ac:dyDescent="0.3">
      <c r="C859" s="90"/>
    </row>
    <row r="860" spans="3:3" ht="15.75" customHeight="1" x14ac:dyDescent="0.3">
      <c r="C860" s="90"/>
    </row>
    <row r="861" spans="3:3" ht="15.75" customHeight="1" x14ac:dyDescent="0.3">
      <c r="C861" s="90"/>
    </row>
    <row r="862" spans="3:3" ht="15.75" customHeight="1" x14ac:dyDescent="0.3">
      <c r="C862" s="90"/>
    </row>
    <row r="863" spans="3:3" ht="15.75" customHeight="1" x14ac:dyDescent="0.3">
      <c r="C863" s="90"/>
    </row>
    <row r="864" spans="3:3" ht="15.75" customHeight="1" x14ac:dyDescent="0.3">
      <c r="C864" s="90"/>
    </row>
    <row r="865" spans="3:3" ht="15.75" customHeight="1" x14ac:dyDescent="0.3">
      <c r="C865" s="90"/>
    </row>
    <row r="866" spans="3:3" ht="15.75" customHeight="1" x14ac:dyDescent="0.3">
      <c r="C866" s="90"/>
    </row>
    <row r="867" spans="3:3" ht="15.75" customHeight="1" x14ac:dyDescent="0.3">
      <c r="C867" s="90"/>
    </row>
    <row r="868" spans="3:3" ht="15.75" customHeight="1" x14ac:dyDescent="0.3">
      <c r="C868" s="90"/>
    </row>
    <row r="869" spans="3:3" ht="15.75" customHeight="1" x14ac:dyDescent="0.3">
      <c r="C869" s="90"/>
    </row>
    <row r="870" spans="3:3" ht="15.75" customHeight="1" x14ac:dyDescent="0.3">
      <c r="C870" s="90"/>
    </row>
    <row r="871" spans="3:3" ht="15.75" customHeight="1" x14ac:dyDescent="0.3">
      <c r="C871" s="90"/>
    </row>
    <row r="872" spans="3:3" ht="15.75" customHeight="1" x14ac:dyDescent="0.3">
      <c r="C872" s="90"/>
    </row>
    <row r="873" spans="3:3" ht="15.75" customHeight="1" x14ac:dyDescent="0.3">
      <c r="C873" s="90"/>
    </row>
    <row r="874" spans="3:3" ht="15.75" customHeight="1" x14ac:dyDescent="0.3">
      <c r="C874" s="90"/>
    </row>
    <row r="875" spans="3:3" ht="15.75" customHeight="1" x14ac:dyDescent="0.3">
      <c r="C875" s="90"/>
    </row>
    <row r="876" spans="3:3" ht="15.75" customHeight="1" x14ac:dyDescent="0.3">
      <c r="C876" s="90"/>
    </row>
    <row r="877" spans="3:3" ht="15.75" customHeight="1" x14ac:dyDescent="0.3">
      <c r="C877" s="90"/>
    </row>
    <row r="878" spans="3:3" ht="15.75" customHeight="1" x14ac:dyDescent="0.3">
      <c r="C878" s="90"/>
    </row>
    <row r="879" spans="3:3" ht="15.75" customHeight="1" x14ac:dyDescent="0.3">
      <c r="C879" s="90"/>
    </row>
    <row r="880" spans="3:3" ht="15.75" customHeight="1" x14ac:dyDescent="0.3">
      <c r="C880" s="90"/>
    </row>
    <row r="881" spans="3:3" ht="15.75" customHeight="1" x14ac:dyDescent="0.3">
      <c r="C881" s="90"/>
    </row>
    <row r="882" spans="3:3" ht="15.75" customHeight="1" x14ac:dyDescent="0.3">
      <c r="C882" s="90"/>
    </row>
    <row r="883" spans="3:3" ht="15.75" customHeight="1" x14ac:dyDescent="0.3">
      <c r="C883" s="90"/>
    </row>
    <row r="884" spans="3:3" ht="15.75" customHeight="1" x14ac:dyDescent="0.3">
      <c r="C884" s="90"/>
    </row>
    <row r="885" spans="3:3" ht="15.75" customHeight="1" x14ac:dyDescent="0.3">
      <c r="C885" s="90"/>
    </row>
    <row r="886" spans="3:3" ht="15.75" customHeight="1" x14ac:dyDescent="0.3">
      <c r="C886" s="90"/>
    </row>
    <row r="887" spans="3:3" ht="15.75" customHeight="1" x14ac:dyDescent="0.3">
      <c r="C887" s="90"/>
    </row>
    <row r="888" spans="3:3" ht="15.75" customHeight="1" x14ac:dyDescent="0.3">
      <c r="C888" s="90"/>
    </row>
    <row r="889" spans="3:3" ht="15.75" customHeight="1" x14ac:dyDescent="0.3">
      <c r="C889" s="90"/>
    </row>
    <row r="890" spans="3:3" ht="15.75" customHeight="1" x14ac:dyDescent="0.3">
      <c r="C890" s="90"/>
    </row>
    <row r="891" spans="3:3" ht="15.75" customHeight="1" x14ac:dyDescent="0.3">
      <c r="C891" s="90"/>
    </row>
    <row r="892" spans="3:3" ht="15.75" customHeight="1" x14ac:dyDescent="0.3">
      <c r="C892" s="90"/>
    </row>
    <row r="893" spans="3:3" ht="15.75" customHeight="1" x14ac:dyDescent="0.3">
      <c r="C893" s="90"/>
    </row>
    <row r="894" spans="3:3" ht="15.75" customHeight="1" x14ac:dyDescent="0.3">
      <c r="C894" s="90"/>
    </row>
    <row r="895" spans="3:3" ht="15.75" customHeight="1" x14ac:dyDescent="0.3">
      <c r="C895" s="90"/>
    </row>
    <row r="896" spans="3:3" ht="15.75" customHeight="1" x14ac:dyDescent="0.3">
      <c r="C896" s="90"/>
    </row>
    <row r="897" spans="3:3" ht="15.75" customHeight="1" x14ac:dyDescent="0.3">
      <c r="C897" s="90"/>
    </row>
    <row r="898" spans="3:3" ht="15.75" customHeight="1" x14ac:dyDescent="0.3">
      <c r="C898" s="90"/>
    </row>
    <row r="899" spans="3:3" ht="15.75" customHeight="1" x14ac:dyDescent="0.3">
      <c r="C899" s="90"/>
    </row>
    <row r="900" spans="3:3" ht="15.75" customHeight="1" x14ac:dyDescent="0.3">
      <c r="C900" s="90"/>
    </row>
    <row r="901" spans="3:3" ht="15.75" customHeight="1" x14ac:dyDescent="0.3">
      <c r="C901" s="90"/>
    </row>
    <row r="902" spans="3:3" ht="15.75" customHeight="1" x14ac:dyDescent="0.3">
      <c r="C902" s="90"/>
    </row>
    <row r="903" spans="3:3" ht="15.75" customHeight="1" x14ac:dyDescent="0.3">
      <c r="C903" s="90"/>
    </row>
    <row r="904" spans="3:3" ht="15.75" customHeight="1" x14ac:dyDescent="0.3">
      <c r="C904" s="90"/>
    </row>
    <row r="905" spans="3:3" ht="15.75" customHeight="1" x14ac:dyDescent="0.3">
      <c r="C905" s="90"/>
    </row>
    <row r="906" spans="3:3" ht="15.75" customHeight="1" x14ac:dyDescent="0.3">
      <c r="C906" s="90"/>
    </row>
    <row r="907" spans="3:3" ht="15.75" customHeight="1" x14ac:dyDescent="0.3">
      <c r="C907" s="90"/>
    </row>
    <row r="908" spans="3:3" ht="15.75" customHeight="1" x14ac:dyDescent="0.3">
      <c r="C908" s="90"/>
    </row>
    <row r="909" spans="3:3" ht="15.75" customHeight="1" x14ac:dyDescent="0.3">
      <c r="C909" s="90"/>
    </row>
    <row r="910" spans="3:3" ht="15.75" customHeight="1" x14ac:dyDescent="0.3">
      <c r="C910" s="90"/>
    </row>
    <row r="911" spans="3:3" ht="15.75" customHeight="1" x14ac:dyDescent="0.3">
      <c r="C911" s="90"/>
    </row>
    <row r="912" spans="3:3" ht="15.75" customHeight="1" x14ac:dyDescent="0.3">
      <c r="C912" s="90"/>
    </row>
    <row r="913" spans="3:3" ht="15.75" customHeight="1" x14ac:dyDescent="0.3">
      <c r="C913" s="90"/>
    </row>
    <row r="914" spans="3:3" ht="15.75" customHeight="1" x14ac:dyDescent="0.3">
      <c r="C914" s="90"/>
    </row>
    <row r="915" spans="3:3" ht="15.75" customHeight="1" x14ac:dyDescent="0.3">
      <c r="C915" s="90"/>
    </row>
    <row r="916" spans="3:3" ht="15.75" customHeight="1" x14ac:dyDescent="0.3">
      <c r="C916" s="90"/>
    </row>
    <row r="917" spans="3:3" ht="15.75" customHeight="1" x14ac:dyDescent="0.3">
      <c r="C917" s="90"/>
    </row>
    <row r="918" spans="3:3" ht="15.75" customHeight="1" x14ac:dyDescent="0.3">
      <c r="C918" s="90"/>
    </row>
    <row r="919" spans="3:3" ht="15.75" customHeight="1" x14ac:dyDescent="0.3">
      <c r="C919" s="90"/>
    </row>
    <row r="920" spans="3:3" ht="15.75" customHeight="1" x14ac:dyDescent="0.3">
      <c r="C920" s="90"/>
    </row>
    <row r="921" spans="3:3" ht="15.75" customHeight="1" x14ac:dyDescent="0.3">
      <c r="C921" s="90"/>
    </row>
    <row r="922" spans="3:3" ht="15.75" customHeight="1" x14ac:dyDescent="0.3">
      <c r="C922" s="90"/>
    </row>
    <row r="923" spans="3:3" ht="15.75" customHeight="1" x14ac:dyDescent="0.3">
      <c r="C923" s="90"/>
    </row>
    <row r="924" spans="3:3" ht="15.75" customHeight="1" x14ac:dyDescent="0.3">
      <c r="C924" s="90"/>
    </row>
    <row r="925" spans="3:3" ht="15.75" customHeight="1" x14ac:dyDescent="0.3">
      <c r="C925" s="90"/>
    </row>
    <row r="926" spans="3:3" ht="15.75" customHeight="1" x14ac:dyDescent="0.3">
      <c r="C926" s="90"/>
    </row>
    <row r="927" spans="3:3" ht="15.75" customHeight="1" x14ac:dyDescent="0.3">
      <c r="C927" s="90"/>
    </row>
    <row r="928" spans="3:3" ht="15.75" customHeight="1" x14ac:dyDescent="0.3">
      <c r="C928" s="90"/>
    </row>
    <row r="929" spans="3:3" ht="15.75" customHeight="1" x14ac:dyDescent="0.3">
      <c r="C929" s="90"/>
    </row>
    <row r="930" spans="3:3" ht="15.75" customHeight="1" x14ac:dyDescent="0.3">
      <c r="C930" s="90"/>
    </row>
    <row r="931" spans="3:3" ht="15.75" customHeight="1" x14ac:dyDescent="0.3">
      <c r="C931" s="90"/>
    </row>
    <row r="932" spans="3:3" ht="15.75" customHeight="1" x14ac:dyDescent="0.3">
      <c r="C932" s="90"/>
    </row>
    <row r="933" spans="3:3" ht="15.75" customHeight="1" x14ac:dyDescent="0.3">
      <c r="C933" s="90"/>
    </row>
    <row r="934" spans="3:3" ht="15.75" customHeight="1" x14ac:dyDescent="0.3">
      <c r="C934" s="90"/>
    </row>
    <row r="935" spans="3:3" ht="15.75" customHeight="1" x14ac:dyDescent="0.3">
      <c r="C935" s="90"/>
    </row>
    <row r="936" spans="3:3" ht="15.75" customHeight="1" x14ac:dyDescent="0.3">
      <c r="C936" s="90"/>
    </row>
    <row r="937" spans="3:3" ht="15.75" customHeight="1" x14ac:dyDescent="0.3">
      <c r="C937" s="90"/>
    </row>
    <row r="938" spans="3:3" ht="15.75" customHeight="1" x14ac:dyDescent="0.3">
      <c r="C938" s="90"/>
    </row>
    <row r="939" spans="3:3" ht="15.75" customHeight="1" x14ac:dyDescent="0.3">
      <c r="C939" s="90"/>
    </row>
    <row r="940" spans="3:3" ht="15.75" customHeight="1" x14ac:dyDescent="0.3">
      <c r="C940" s="90"/>
    </row>
    <row r="941" spans="3:3" ht="15.75" customHeight="1" x14ac:dyDescent="0.3">
      <c r="C941" s="90"/>
    </row>
    <row r="942" spans="3:3" ht="15.75" customHeight="1" x14ac:dyDescent="0.3">
      <c r="C942" s="90"/>
    </row>
    <row r="943" spans="3:3" ht="15.75" customHeight="1" x14ac:dyDescent="0.3">
      <c r="C943" s="90"/>
    </row>
    <row r="944" spans="3:3" ht="15.75" customHeight="1" x14ac:dyDescent="0.3">
      <c r="C944" s="90"/>
    </row>
    <row r="945" spans="3:3" ht="15.75" customHeight="1" x14ac:dyDescent="0.3">
      <c r="C945" s="90"/>
    </row>
    <row r="946" spans="3:3" ht="15.75" customHeight="1" x14ac:dyDescent="0.3">
      <c r="C946" s="90"/>
    </row>
    <row r="947" spans="3:3" ht="15.75" customHeight="1" x14ac:dyDescent="0.3">
      <c r="C947" s="90"/>
    </row>
    <row r="948" spans="3:3" ht="15.75" customHeight="1" x14ac:dyDescent="0.3">
      <c r="C948" s="90"/>
    </row>
    <row r="949" spans="3:3" ht="15.75" customHeight="1" x14ac:dyDescent="0.3">
      <c r="C949" s="90"/>
    </row>
    <row r="950" spans="3:3" ht="15.75" customHeight="1" x14ac:dyDescent="0.3">
      <c r="C950" s="90"/>
    </row>
    <row r="951" spans="3:3" ht="15.75" customHeight="1" x14ac:dyDescent="0.3">
      <c r="C951" s="90"/>
    </row>
    <row r="952" spans="3:3" ht="15.75" customHeight="1" x14ac:dyDescent="0.3">
      <c r="C952" s="90"/>
    </row>
    <row r="953" spans="3:3" ht="15.75" customHeight="1" x14ac:dyDescent="0.3">
      <c r="C953" s="90"/>
    </row>
    <row r="954" spans="3:3" ht="15.75" customHeight="1" x14ac:dyDescent="0.3">
      <c r="C954" s="90"/>
    </row>
    <row r="955" spans="3:3" ht="15.75" customHeight="1" x14ac:dyDescent="0.3">
      <c r="C955" s="90"/>
    </row>
    <row r="956" spans="3:3" ht="15.75" customHeight="1" x14ac:dyDescent="0.3">
      <c r="C956" s="90"/>
    </row>
    <row r="957" spans="3:3" ht="15.75" customHeight="1" x14ac:dyDescent="0.3">
      <c r="C957" s="90"/>
    </row>
    <row r="958" spans="3:3" ht="15.75" customHeight="1" x14ac:dyDescent="0.3">
      <c r="C958" s="90"/>
    </row>
    <row r="959" spans="3:3" ht="15.75" customHeight="1" x14ac:dyDescent="0.3">
      <c r="C959" s="90"/>
    </row>
    <row r="960" spans="3:3" ht="15.75" customHeight="1" x14ac:dyDescent="0.3">
      <c r="C960" s="90"/>
    </row>
    <row r="961" spans="3:3" ht="15.75" customHeight="1" x14ac:dyDescent="0.3">
      <c r="C961" s="90"/>
    </row>
    <row r="962" spans="3:3" ht="15.75" customHeight="1" x14ac:dyDescent="0.3">
      <c r="C962" s="90"/>
    </row>
    <row r="963" spans="3:3" ht="15.75" customHeight="1" x14ac:dyDescent="0.3">
      <c r="C963" s="90"/>
    </row>
    <row r="964" spans="3:3" ht="15.75" customHeight="1" x14ac:dyDescent="0.3">
      <c r="C964" s="90"/>
    </row>
    <row r="965" spans="3:3" ht="15.75" customHeight="1" x14ac:dyDescent="0.3">
      <c r="C965" s="90"/>
    </row>
    <row r="966" spans="3:3" ht="15.75" customHeight="1" x14ac:dyDescent="0.3">
      <c r="C966" s="90"/>
    </row>
    <row r="967" spans="3:3" ht="15.75" customHeight="1" x14ac:dyDescent="0.3">
      <c r="C967" s="90"/>
    </row>
    <row r="968" spans="3:3" ht="15.75" customHeight="1" x14ac:dyDescent="0.3">
      <c r="C968" s="90"/>
    </row>
    <row r="969" spans="3:3" ht="15.75" customHeight="1" x14ac:dyDescent="0.3">
      <c r="C969" s="90"/>
    </row>
    <row r="970" spans="3:3" ht="15.75" customHeight="1" x14ac:dyDescent="0.3">
      <c r="C970" s="90"/>
    </row>
    <row r="971" spans="3:3" ht="15.75" customHeight="1" x14ac:dyDescent="0.3">
      <c r="C971" s="90"/>
    </row>
    <row r="972" spans="3:3" ht="15.75" customHeight="1" x14ac:dyDescent="0.3">
      <c r="C972" s="90"/>
    </row>
    <row r="973" spans="3:3" ht="15.75" customHeight="1" x14ac:dyDescent="0.3">
      <c r="C973" s="90"/>
    </row>
    <row r="974" spans="3:3" ht="15.75" customHeight="1" x14ac:dyDescent="0.3">
      <c r="C974" s="90"/>
    </row>
    <row r="975" spans="3:3" ht="15.75" customHeight="1" x14ac:dyDescent="0.3">
      <c r="C975" s="90"/>
    </row>
    <row r="976" spans="3:3" ht="15.75" customHeight="1" x14ac:dyDescent="0.3">
      <c r="C976" s="90"/>
    </row>
    <row r="977" spans="3:3" ht="15.75" customHeight="1" x14ac:dyDescent="0.3">
      <c r="C977" s="90"/>
    </row>
    <row r="978" spans="3:3" ht="15.75" customHeight="1" x14ac:dyDescent="0.3">
      <c r="C978" s="90"/>
    </row>
    <row r="979" spans="3:3" ht="15.75" customHeight="1" x14ac:dyDescent="0.3">
      <c r="C979" s="90"/>
    </row>
    <row r="980" spans="3:3" ht="15.75" customHeight="1" x14ac:dyDescent="0.3">
      <c r="C980" s="90"/>
    </row>
    <row r="981" spans="3:3" ht="15.75" customHeight="1" x14ac:dyDescent="0.3">
      <c r="C981" s="90"/>
    </row>
    <row r="982" spans="3:3" ht="15.75" customHeight="1" x14ac:dyDescent="0.3">
      <c r="C982" s="90"/>
    </row>
    <row r="983" spans="3:3" ht="15.75" customHeight="1" x14ac:dyDescent="0.3">
      <c r="C983" s="90"/>
    </row>
    <row r="984" spans="3:3" ht="15.75" customHeight="1" x14ac:dyDescent="0.3">
      <c r="C984" s="90"/>
    </row>
    <row r="985" spans="3:3" ht="15.75" customHeight="1" x14ac:dyDescent="0.3">
      <c r="C985" s="90"/>
    </row>
    <row r="986" spans="3:3" ht="15.75" customHeight="1" x14ac:dyDescent="0.3">
      <c r="C986" s="90"/>
    </row>
    <row r="987" spans="3:3" ht="15.75" customHeight="1" x14ac:dyDescent="0.3">
      <c r="C987" s="90"/>
    </row>
    <row r="988" spans="3:3" ht="15.75" customHeight="1" x14ac:dyDescent="0.3">
      <c r="C988" s="90"/>
    </row>
    <row r="989" spans="3:3" ht="15.75" customHeight="1" x14ac:dyDescent="0.3">
      <c r="C989" s="90"/>
    </row>
    <row r="990" spans="3:3" ht="15.75" customHeight="1" x14ac:dyDescent="0.3">
      <c r="C990" s="90"/>
    </row>
    <row r="991" spans="3:3" ht="15.75" customHeight="1" x14ac:dyDescent="0.3">
      <c r="C991" s="90"/>
    </row>
    <row r="992" spans="3:3" ht="15.75" customHeight="1" x14ac:dyDescent="0.3">
      <c r="C992" s="90"/>
    </row>
    <row r="993" ht="15.75" customHeight="1" x14ac:dyDescent="0.25"/>
  </sheetData>
  <pageMargins left="0.511811024" right="0.511811024" top="0.78740157499999996" bottom="0.78740157499999996" header="0" footer="0"/>
  <pageSetup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D1000"/>
  <sheetViews>
    <sheetView showGridLines="0" workbookViewId="0">
      <selection activeCell="C3" sqref="C3"/>
    </sheetView>
  </sheetViews>
  <sheetFormatPr defaultColWidth="12.59765625" defaultRowHeight="15" customHeight="1" x14ac:dyDescent="0.25"/>
  <cols>
    <col min="1" max="3" width="20" customWidth="1"/>
    <col min="4" max="4" width="23.09765625" customWidth="1"/>
    <col min="5" max="26" width="7.59765625" customWidth="1"/>
  </cols>
  <sheetData>
    <row r="1" spans="1:4" ht="57.6" x14ac:dyDescent="0.3">
      <c r="A1" s="83" t="s">
        <v>391</v>
      </c>
      <c r="B1" s="83" t="s">
        <v>392</v>
      </c>
      <c r="C1" s="83" t="s">
        <v>393</v>
      </c>
      <c r="D1" s="84" t="s">
        <v>625</v>
      </c>
    </row>
    <row r="2" spans="1:4" ht="43.2" x14ac:dyDescent="0.25">
      <c r="A2" s="85" t="s">
        <v>507</v>
      </c>
      <c r="B2" s="85"/>
      <c r="C2" s="86" t="s">
        <v>508</v>
      </c>
      <c r="D2" s="3" t="s">
        <v>509</v>
      </c>
    </row>
    <row r="3" spans="1:4" ht="86.4" x14ac:dyDescent="0.25">
      <c r="A3" s="85" t="s">
        <v>507</v>
      </c>
      <c r="B3" s="85"/>
      <c r="C3" s="86" t="s">
        <v>510</v>
      </c>
      <c r="D3" s="3" t="s">
        <v>511</v>
      </c>
    </row>
    <row r="4" spans="1:4" ht="57.6" x14ac:dyDescent="0.25">
      <c r="A4" s="85" t="s">
        <v>507</v>
      </c>
      <c r="B4" s="85"/>
      <c r="C4" s="86" t="s">
        <v>512</v>
      </c>
      <c r="D4" s="3" t="s">
        <v>513</v>
      </c>
    </row>
    <row r="5" spans="1:4" ht="57.6" x14ac:dyDescent="0.25">
      <c r="A5" s="85" t="s">
        <v>507</v>
      </c>
      <c r="B5" s="85"/>
      <c r="C5" s="86" t="s">
        <v>514</v>
      </c>
      <c r="D5" s="3" t="s">
        <v>515</v>
      </c>
    </row>
    <row r="6" spans="1:4" ht="100.8" x14ac:dyDescent="0.25">
      <c r="A6" s="85" t="s">
        <v>484</v>
      </c>
      <c r="B6" s="85"/>
      <c r="C6" s="86" t="s">
        <v>516</v>
      </c>
      <c r="D6" s="3" t="s">
        <v>517</v>
      </c>
    </row>
    <row r="7" spans="1:4" ht="72" x14ac:dyDescent="0.25">
      <c r="A7" s="85" t="s">
        <v>484</v>
      </c>
      <c r="B7" s="85"/>
      <c r="C7" s="86" t="s">
        <v>518</v>
      </c>
      <c r="D7" s="3" t="s">
        <v>519</v>
      </c>
    </row>
    <row r="8" spans="1:4" ht="158.4" x14ac:dyDescent="0.25">
      <c r="A8" s="85" t="s">
        <v>520</v>
      </c>
      <c r="B8" s="85"/>
      <c r="C8" s="86" t="s">
        <v>521</v>
      </c>
      <c r="D8" s="3" t="s">
        <v>522</v>
      </c>
    </row>
    <row r="9" spans="1:4" ht="72" x14ac:dyDescent="0.25">
      <c r="A9" s="85" t="s">
        <v>523</v>
      </c>
      <c r="B9" s="85"/>
      <c r="C9" s="86" t="s">
        <v>524</v>
      </c>
      <c r="D9" s="3" t="s">
        <v>525</v>
      </c>
    </row>
    <row r="10" spans="1:4" ht="288" x14ac:dyDescent="0.25">
      <c r="A10" s="85" t="s">
        <v>526</v>
      </c>
      <c r="B10" s="85"/>
      <c r="C10" s="86" t="s">
        <v>527</v>
      </c>
      <c r="D10" s="3" t="s">
        <v>528</v>
      </c>
    </row>
    <row r="11" spans="1:4" ht="100.8" x14ac:dyDescent="0.25">
      <c r="A11" s="85" t="s">
        <v>529</v>
      </c>
      <c r="B11" s="85"/>
      <c r="C11" s="86" t="s">
        <v>530</v>
      </c>
      <c r="D11" s="3" t="s">
        <v>531</v>
      </c>
    </row>
    <row r="12" spans="1:4" ht="57.6" x14ac:dyDescent="0.25">
      <c r="A12" s="85" t="s">
        <v>532</v>
      </c>
      <c r="B12" s="85"/>
      <c r="C12" s="86" t="s">
        <v>533</v>
      </c>
      <c r="D12" s="3" t="s">
        <v>534</v>
      </c>
    </row>
    <row r="13" spans="1:4" ht="100.8" x14ac:dyDescent="0.25">
      <c r="A13" s="85" t="s">
        <v>532</v>
      </c>
      <c r="B13" s="85"/>
      <c r="C13" s="86" t="s">
        <v>535</v>
      </c>
      <c r="D13" s="3" t="s">
        <v>536</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511811024" right="0.511811024" top="0.78740157499999996" bottom="0.78740157499999996" header="0" footer="0"/>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D1000"/>
  <sheetViews>
    <sheetView topLeftCell="A7" workbookViewId="0">
      <selection sqref="A1:D1"/>
    </sheetView>
  </sheetViews>
  <sheetFormatPr defaultColWidth="12.59765625" defaultRowHeight="15" customHeight="1" x14ac:dyDescent="0.25"/>
  <cols>
    <col min="1" max="4" width="18.59765625" customWidth="1"/>
    <col min="5" max="26" width="7.59765625" customWidth="1"/>
  </cols>
  <sheetData>
    <row r="1" spans="1:4" ht="28.5" customHeight="1" x14ac:dyDescent="0.25">
      <c r="A1" s="433" t="s">
        <v>537</v>
      </c>
      <c r="B1" s="434"/>
      <c r="C1" s="434"/>
      <c r="D1" s="397"/>
    </row>
    <row r="2" spans="1:4" ht="28.8" x14ac:dyDescent="0.25">
      <c r="C2" s="91" t="s">
        <v>538</v>
      </c>
      <c r="D2" s="91" t="s">
        <v>539</v>
      </c>
    </row>
    <row r="3" spans="1:4" ht="14.4" x14ac:dyDescent="0.3">
      <c r="A3" s="92" t="s">
        <v>537</v>
      </c>
      <c r="B3" s="92" t="s">
        <v>80</v>
      </c>
      <c r="C3" s="93" t="s">
        <v>540</v>
      </c>
      <c r="D3" s="94"/>
    </row>
    <row r="4" spans="1:4" ht="172.8" x14ac:dyDescent="0.25">
      <c r="A4" s="85" t="s">
        <v>537</v>
      </c>
      <c r="B4" s="85" t="s">
        <v>80</v>
      </c>
      <c r="C4" s="3" t="s">
        <v>541</v>
      </c>
      <c r="D4" s="89" t="s">
        <v>542</v>
      </c>
    </row>
    <row r="5" spans="1:4" ht="43.2" x14ac:dyDescent="0.3">
      <c r="A5" s="92" t="s">
        <v>537</v>
      </c>
      <c r="B5" s="92" t="s">
        <v>80</v>
      </c>
      <c r="C5" s="95" t="s">
        <v>543</v>
      </c>
      <c r="D5" s="94"/>
    </row>
    <row r="6" spans="1:4" ht="72" x14ac:dyDescent="0.25">
      <c r="A6" s="85" t="s">
        <v>537</v>
      </c>
      <c r="B6" s="85" t="s">
        <v>80</v>
      </c>
      <c r="C6" s="3" t="s">
        <v>544</v>
      </c>
      <c r="D6" s="89" t="s">
        <v>545</v>
      </c>
    </row>
    <row r="7" spans="1:4" ht="201.6" x14ac:dyDescent="0.25">
      <c r="A7" s="85" t="s">
        <v>537</v>
      </c>
      <c r="B7" s="85" t="s">
        <v>80</v>
      </c>
      <c r="C7" s="3" t="s">
        <v>546</v>
      </c>
      <c r="D7" s="89" t="s">
        <v>547</v>
      </c>
    </row>
    <row r="8" spans="1:4" ht="14.4" x14ac:dyDescent="0.3">
      <c r="B8" s="9" t="s">
        <v>80</v>
      </c>
      <c r="C8" s="90"/>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D1"/>
  </mergeCells>
  <pageMargins left="0.511811024" right="0.511811024"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48</vt:i4>
      </vt:variant>
      <vt:variant>
        <vt:lpstr>Intervalos Nomeados</vt:lpstr>
      </vt:variant>
      <vt:variant>
        <vt:i4>12</vt:i4>
      </vt:variant>
    </vt:vector>
  </HeadingPairs>
  <TitlesOfParts>
    <vt:vector size="60" baseType="lpstr">
      <vt:lpstr>TESTES</vt:lpstr>
      <vt:lpstr>OPNIÃO</vt:lpstr>
      <vt:lpstr>VELOCIMETRO</vt:lpstr>
      <vt:lpstr>BASE DE PONTOS V+</vt:lpstr>
      <vt:lpstr>Matriz de Risco</vt:lpstr>
      <vt:lpstr>RESUMO DE PONTOS Original</vt:lpstr>
      <vt:lpstr>RESUMO DE PONTOS</vt:lpstr>
      <vt:lpstr>FREQ. X PONTOS</vt:lpstr>
      <vt:lpstr>Lista Suspensa</vt:lpstr>
      <vt:lpstr>BASE DA MATRIZ DE RISCOS</vt:lpstr>
      <vt:lpstr>GRÁFICOS</vt:lpstr>
      <vt:lpstr>P1</vt:lpstr>
      <vt:lpstr>P2</vt:lpstr>
      <vt:lpstr>P3</vt:lpstr>
      <vt:lpstr>P4</vt:lpstr>
      <vt:lpstr>P5</vt:lpstr>
      <vt:lpstr>P6</vt:lpstr>
      <vt:lpstr>P7</vt:lpstr>
      <vt:lpstr>P8</vt:lpstr>
      <vt:lpstr>P9</vt:lpstr>
      <vt:lpstr>P10</vt:lpstr>
      <vt:lpstr>P11</vt:lpstr>
      <vt:lpstr>P12</vt:lpstr>
      <vt:lpstr>P13</vt:lpstr>
      <vt:lpstr>P14</vt:lpstr>
      <vt:lpstr>P15</vt:lpstr>
      <vt:lpstr>P16</vt:lpstr>
      <vt:lpstr>P17</vt:lpstr>
      <vt:lpstr>P18</vt:lpstr>
      <vt:lpstr>P19</vt:lpstr>
      <vt:lpstr>P20</vt:lpstr>
      <vt:lpstr>P21</vt:lpstr>
      <vt:lpstr>P22</vt:lpstr>
      <vt:lpstr>P23</vt:lpstr>
      <vt:lpstr>P24</vt:lpstr>
      <vt:lpstr>P25</vt:lpstr>
      <vt:lpstr>P26</vt:lpstr>
      <vt:lpstr>P27</vt:lpstr>
      <vt:lpstr>P28</vt:lpstr>
      <vt:lpstr>P31</vt:lpstr>
      <vt:lpstr>P29</vt:lpstr>
      <vt:lpstr>P30</vt:lpstr>
      <vt:lpstr>MATRIZ</vt:lpstr>
      <vt:lpstr>ASSERTIVAS ATIVO</vt:lpstr>
      <vt:lpstr>ASSERTIVAS PASSIVO</vt:lpstr>
      <vt:lpstr>ASSERTIVAS RESULTADO</vt:lpstr>
      <vt:lpstr>OBJETIVOS PASSIVO</vt:lpstr>
      <vt:lpstr>intang</vt:lpstr>
      <vt:lpstr>'Matriz de Risco'!_Hlk44932008</vt:lpstr>
      <vt:lpstr>'RESUMO DE PONTOS Original'!_Hlk44932008</vt:lpstr>
      <vt:lpstr>'Matriz de Risco'!_Hlk44932282</vt:lpstr>
      <vt:lpstr>'Matriz de Risco'!_Hlk44933547</vt:lpstr>
      <vt:lpstr>'Matriz de Risco'!_Hlk44933737</vt:lpstr>
      <vt:lpstr>'BASE DA MATRIZ DE RISCOS'!_Toc54348655</vt:lpstr>
      <vt:lpstr>'BASE DA MATRIZ DE RISCOS'!_Toc54348656</vt:lpstr>
      <vt:lpstr>'BASE DA MATRIZ DE RISCOS'!_Toc54348657</vt:lpstr>
      <vt:lpstr>'BASE DA MATRIZ DE RISCOS'!_Toc54348658</vt:lpstr>
      <vt:lpstr>'BASE DA MATRIZ DE RISCOS'!_Toc54348659</vt:lpstr>
      <vt:lpstr>'BASE DA MATRIZ DE RISCOS'!_Toc54348660</vt:lpstr>
      <vt:lpstr>'BASE DA MATRIZ DE RISCOS'!_Toc54348662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Luiz Viana</dc:creator>
  <cp:lastModifiedBy>Luiz Viana</cp:lastModifiedBy>
  <dcterms:created xsi:type="dcterms:W3CDTF">2020-11-04T19:56:37Z</dcterms:created>
  <dcterms:modified xsi:type="dcterms:W3CDTF">2023-04-17T16:23:21Z</dcterms:modified>
</cp:coreProperties>
</file>