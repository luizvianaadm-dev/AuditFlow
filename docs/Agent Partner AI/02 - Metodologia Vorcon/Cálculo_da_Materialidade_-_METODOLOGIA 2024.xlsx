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https://vorconauditores-my.sharepoint.com/personal/luizviana_vorcon_com_br/Documents/CLIENTES E PROJETOS/Ativos/202211ATC - S3 Gestao em Saude/2023/2.1 - WPs 2023/03 - Materialidade/"/>
    </mc:Choice>
  </mc:AlternateContent>
  <xr:revisionPtr revIDLastSave="8" documentId="6_{9539FD4B-A8B0-4F78-8EF5-89C1FD5B9B38}" xr6:coauthVersionLast="47" xr6:coauthVersionMax="47" xr10:uidLastSave="{4FCB5D50-161E-454B-A064-988EF1C9286A}"/>
  <bookViews>
    <workbookView xWindow="-108" yWindow="-108" windowWidth="23256" windowHeight="12456" activeTab="1" xr2:uid="{00000000-000D-0000-FFFF-FFFF00000000}"/>
  </bookViews>
  <sheets>
    <sheet name="Resumo Conceitual" sheetId="6" r:id="rId1"/>
    <sheet name="Materialidade" sheetId="1" r:id="rId2"/>
    <sheet name="% Benchmark" sheetId="3" r:id="rId3"/>
    <sheet name="Tabela Benckmarking" sheetId="7" r:id="rId4"/>
    <sheet name="Sheet1" sheetId="2" state="hidden" r:id="rId5"/>
  </sheets>
  <definedNames>
    <definedName name="\0" localSheetId="2">#REF!</definedName>
    <definedName name="\0">#REF!</definedName>
    <definedName name="\A" localSheetId="2">#REF!</definedName>
    <definedName name="\A">#REF!</definedName>
    <definedName name="\B" localSheetId="2">#REF!</definedName>
    <definedName name="\B">#REF!</definedName>
    <definedName name="\P" localSheetId="2">#REF!</definedName>
    <definedName name="\P">#REF!</definedName>
    <definedName name="\Q" localSheetId="2">#REF!</definedName>
    <definedName name="\Q">#REF!</definedName>
    <definedName name="\S" localSheetId="2">#REF!</definedName>
    <definedName name="\S">#REF!</definedName>
    <definedName name="\W" localSheetId="2">#REF!</definedName>
    <definedName name="\W">#REF!</definedName>
    <definedName name="_Key1" localSheetId="2" hidden="1">#REF!</definedName>
    <definedName name="_Key1" hidden="1">#REF!</definedName>
    <definedName name="_Order1" hidden="1">255</definedName>
    <definedName name="_Sort" localSheetId="2" hidden="1">#REF!</definedName>
    <definedName name="_Sort" hidden="1">#REF!</definedName>
    <definedName name="_xlnm.Print_Area" localSheetId="2">#REF!</definedName>
    <definedName name="_xlnm.Print_Area">#REF!</definedName>
    <definedName name="Client" localSheetId="2">#REF!</definedName>
    <definedName name="Client">#REF!</definedName>
    <definedName name="CurrencyConversion" localSheetId="2">#REF!</definedName>
    <definedName name="CurrencyConversion">#REF!</definedName>
    <definedName name="DollarGaugeBase" localSheetId="2">#REF!</definedName>
    <definedName name="DollarGaugeBase">#REF!</definedName>
    <definedName name="ee" localSheetId="2">#REF!</definedName>
    <definedName name="ee">#REF!</definedName>
    <definedName name="eu" localSheetId="2">#REF!</definedName>
    <definedName name="eu">#REF!</definedName>
    <definedName name="LocalGauge" localSheetId="2">#REF!</definedName>
    <definedName name="LocalGauge">#REF!</definedName>
    <definedName name="LocalGaugeBase" localSheetId="2">#REF!</definedName>
    <definedName name="LocalGaugeBase">#REF!</definedName>
    <definedName name="ma" localSheetId="2">#REF!</definedName>
    <definedName name="ma">#REF!</definedName>
    <definedName name="mary" localSheetId="2">#REF!</definedName>
    <definedName name="mary">#REF!</definedName>
    <definedName name="mbgs" localSheetId="2">#REF!</definedName>
    <definedName name="mbgs">#REF!</definedName>
    <definedName name="me" localSheetId="2">#REF!</definedName>
    <definedName name="me">#REF!</definedName>
    <definedName name="mi" localSheetId="2">#REF!</definedName>
    <definedName name="mi">#REF!</definedName>
    <definedName name="mo" localSheetId="2">#REF!</definedName>
    <definedName name="mo">#REF!</definedName>
    <definedName name="my" localSheetId="2">#REF!</definedName>
    <definedName name="my">#REF!</definedName>
    <definedName name="TAnterior" localSheetId="2">#REF!</definedName>
    <definedName name="TAnterior">#REF!</definedName>
    <definedName name="tel" localSheetId="2">#REF!</definedName>
    <definedName name="tel">#REF!</definedName>
    <definedName name="TotalAssets" localSheetId="2">#REF!</definedName>
    <definedName name="TotalAssets">#REF!</definedName>
    <definedName name="TotalRevenue" localSheetId="2">#REF!</definedName>
    <definedName name="TotalReven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5" i="1" s="1"/>
  <c r="D21" i="1"/>
  <c r="B36" i="1"/>
  <c r="B8" i="1"/>
  <c r="K21" i="1"/>
  <c r="G21" i="1"/>
  <c r="K22" i="1"/>
  <c r="G24" i="1" l="1"/>
  <c r="G50" i="7"/>
  <c r="H50" i="7" s="1"/>
  <c r="P41" i="7"/>
  <c r="O29" i="7"/>
  <c r="P29" i="7" s="1"/>
  <c r="T29" i="7"/>
  <c r="S30" i="7" s="1"/>
  <c r="L29" i="7"/>
  <c r="K30" i="7" s="1"/>
  <c r="L30" i="7" s="1"/>
  <c r="H29" i="7"/>
  <c r="D41" i="7"/>
  <c r="C50" i="7"/>
  <c r="D50" i="7" s="1"/>
  <c r="C51" i="7" s="1"/>
  <c r="D51" i="7" s="1"/>
  <c r="S19" i="7"/>
  <c r="R17" i="7"/>
  <c r="R21" i="7" s="1"/>
  <c r="N17" i="7"/>
  <c r="N19" i="7" s="1"/>
  <c r="K19" i="7"/>
  <c r="J17" i="7"/>
  <c r="J19" i="7" s="1"/>
  <c r="B17" i="7"/>
  <c r="B21" i="7" s="1"/>
  <c r="F17" i="7"/>
  <c r="F19" i="7" s="1"/>
  <c r="G51" i="7" l="1"/>
  <c r="O30" i="7"/>
  <c r="T30" i="7"/>
  <c r="S31" i="7" s="1"/>
  <c r="K31" i="7"/>
  <c r="L31" i="7" s="1"/>
  <c r="N21" i="7"/>
  <c r="R19" i="7"/>
  <c r="J21" i="7"/>
  <c r="B19" i="7"/>
  <c r="C52" i="7"/>
  <c r="D52" i="7" s="1"/>
  <c r="H51" i="7" l="1"/>
  <c r="G52" i="7" s="1"/>
  <c r="P30" i="7"/>
  <c r="O31" i="7" s="1"/>
  <c r="T31" i="7"/>
  <c r="S32" i="7" s="1"/>
  <c r="K32" i="7"/>
  <c r="L32" i="7" s="1"/>
  <c r="C53" i="7"/>
  <c r="D53" i="7" s="1"/>
  <c r="H52" i="7" l="1"/>
  <c r="G53" i="7" s="1"/>
  <c r="P31" i="7"/>
  <c r="O32" i="7" s="1"/>
  <c r="T32" i="7"/>
  <c r="S33" i="7" s="1"/>
  <c r="T33" i="7" s="1"/>
  <c r="K33" i="7"/>
  <c r="L33" i="7" s="1"/>
  <c r="C54" i="7"/>
  <c r="D54" i="7" s="1"/>
  <c r="H53" i="7" l="1"/>
  <c r="G54" i="7" s="1"/>
  <c r="H54" i="7" s="1"/>
  <c r="P32" i="7"/>
  <c r="O33" i="7" s="1"/>
  <c r="P33" i="7" l="1"/>
  <c r="O34" i="7" s="1"/>
  <c r="L19" i="7"/>
  <c r="G62" i="7" s="1"/>
  <c r="T19" i="7"/>
  <c r="G64" i="7" s="1"/>
  <c r="P34" i="7" l="1"/>
  <c r="O35" i="7" s="1"/>
  <c r="P35" i="7" l="1"/>
  <c r="O36" i="7" s="1"/>
  <c r="P36" i="7" l="1"/>
  <c r="O37" i="7" s="1"/>
  <c r="P37" i="7" l="1"/>
  <c r="O38" i="7" s="1"/>
  <c r="P38" i="7" l="1"/>
  <c r="O39" i="7" s="1"/>
  <c r="P39" i="7" l="1"/>
  <c r="O40" i="7" s="1"/>
  <c r="P40" i="7" s="1"/>
  <c r="F21" i="7" l="1"/>
  <c r="D59" i="3"/>
  <c r="D58" i="3"/>
  <c r="D57" i="3"/>
  <c r="D56" i="3"/>
  <c r="D55" i="3"/>
  <c r="D54" i="3"/>
  <c r="D37" i="3"/>
  <c r="D36" i="3"/>
  <c r="D35" i="3"/>
  <c r="D34" i="3"/>
  <c r="D33" i="3"/>
  <c r="D32" i="3"/>
  <c r="D38" i="3" l="1"/>
  <c r="D60" i="3"/>
  <c r="G30" i="7"/>
  <c r="C29" i="7"/>
  <c r="B63" i="3"/>
  <c r="D29" i="7" l="1"/>
  <c r="C30" i="7" s="1"/>
  <c r="D30" i="7" s="1"/>
  <c r="C31" i="7" s="1"/>
  <c r="D31" i="7" s="1"/>
  <c r="C32" i="7" s="1"/>
  <c r="D32" i="7" s="1"/>
  <c r="H30" i="7"/>
  <c r="G31" i="7" s="1"/>
  <c r="O21" i="7"/>
  <c r="P21" i="7" s="1"/>
  <c r="F63" i="7" s="1"/>
  <c r="G21" i="7"/>
  <c r="H21" i="7" s="1"/>
  <c r="F61" i="7" s="1"/>
  <c r="C63" i="3" s="1"/>
  <c r="E29" i="1" s="1"/>
  <c r="S21" i="7"/>
  <c r="T21" i="7" s="1"/>
  <c r="F64" i="7" s="1"/>
  <c r="K21" i="7"/>
  <c r="L21" i="7" s="1"/>
  <c r="F62" i="7" s="1"/>
  <c r="C21" i="7"/>
  <c r="D21" i="7" s="1"/>
  <c r="F60" i="7" s="1"/>
  <c r="E60" i="3"/>
  <c r="G17" i="7"/>
  <c r="K17" i="7"/>
  <c r="G19" i="7"/>
  <c r="H19" i="7" s="1"/>
  <c r="O17" i="7"/>
  <c r="P17" i="7" s="1"/>
  <c r="C17" i="7"/>
  <c r="S17" i="7"/>
  <c r="E38" i="3"/>
  <c r="K23" i="1"/>
  <c r="H31" i="7" l="1"/>
  <c r="G32" i="7" s="1"/>
  <c r="L17" i="7"/>
  <c r="E62" i="7" s="1"/>
  <c r="T17" i="7"/>
  <c r="E64" i="7" s="1"/>
  <c r="G61" i="7"/>
  <c r="C19" i="7"/>
  <c r="O19" i="7"/>
  <c r="E63" i="7"/>
  <c r="C33" i="7"/>
  <c r="D33" i="7" s="1"/>
  <c r="D24" i="1"/>
  <c r="K24" i="1" s="1"/>
  <c r="H32" i="7" l="1"/>
  <c r="P19" i="7"/>
  <c r="G63" i="7" s="1"/>
  <c r="D19" i="7"/>
  <c r="G60" i="7" s="1"/>
  <c r="D51" i="3"/>
  <c r="E31" i="1" s="1"/>
  <c r="C34" i="7"/>
  <c r="D34" i="7" s="1"/>
  <c r="G33" i="7" l="1"/>
  <c r="H33" i="7" s="1"/>
  <c r="H17" i="7"/>
  <c r="E61" i="7" s="1"/>
  <c r="C35" i="7"/>
  <c r="D35" i="7" s="1"/>
  <c r="C36" i="7" l="1"/>
  <c r="D36" i="7" s="1"/>
  <c r="C37" i="7" l="1"/>
  <c r="D37" i="7" s="1"/>
  <c r="C38" i="7" l="1"/>
  <c r="D38" i="7" s="1"/>
  <c r="C39" i="7" l="1"/>
  <c r="D39" i="7" s="1"/>
  <c r="C40" i="7" l="1"/>
  <c r="D40" i="7" s="1"/>
  <c r="D17" i="7" l="1"/>
  <c r="E60" i="7" s="1"/>
  <c r="C51" i="3" s="1"/>
  <c r="E27" i="1" s="1"/>
  <c r="G25" i="1" s="1"/>
  <c r="D25" i="1" l="1"/>
  <c r="K25" i="1" s="1"/>
  <c r="G27" i="1" l="1"/>
  <c r="G31" i="1" l="1"/>
  <c r="G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CKruk</author>
  </authors>
  <commentList>
    <comment ref="D50" authorId="0" shapeId="0" xr:uid="{00000000-0006-0000-0100-000001000000}">
      <text>
        <r>
          <rPr>
            <b/>
            <sz val="8"/>
            <color indexed="81"/>
            <rFont val="Tahoma"/>
            <family val="2"/>
          </rPr>
          <t>CKruk:</t>
        </r>
        <r>
          <rPr>
            <sz val="8"/>
            <color indexed="81"/>
            <rFont val="Tahoma"/>
            <family val="2"/>
          </rPr>
          <t xml:space="preserve">
De acordo com o KAM, os fatores a serem considerados no % de ADPT, são os mesmos considerados na avaliação do % a ser aplicado sobre o benchmark para a determinação do MPP. [KAM 3170]</t>
        </r>
      </text>
    </comment>
  </commentList>
</comments>
</file>

<file path=xl/sharedStrings.xml><?xml version="1.0" encoding="utf-8"?>
<sst xmlns="http://schemas.openxmlformats.org/spreadsheetml/2006/main" count="267" uniqueCount="113">
  <si>
    <t>NBC TA 320 (R1) [DOU 05/09/16] - Materialidade no Planejamento e na Execução da Auditoria - [ISA 320]</t>
  </si>
  <si>
    <t>9. 	Para fins das normas de auditoria, materialidade para execução da auditoria significa o valor ou valores fixados pelo auditor, inferiores ao considerado relevante para as demonstrações contábeis como um todo, para adequadamente reduzir a um nível baixo a probabilidade de que as distorções não corrigidas e não detectadas em conjunto, excedam a materialidade para as demonstrações contábeis como um todo. Se aplicável, materialidade para execução da auditoria refere-se, também, ao valor ou valores fixados pelo auditor inferiores ao nível ou níveis de materialidade para classes específicas de transações, saldos contábeis e divulgações.</t>
  </si>
  <si>
    <r>
      <rPr>
        <b/>
        <i/>
        <sz val="11"/>
        <rFont val="Times New Roman"/>
        <family val="1"/>
      </rPr>
      <t>Determinação da materialidade</t>
    </r>
    <r>
      <rPr>
        <i/>
        <sz val="11"/>
        <rFont val="Times New Roman"/>
        <family val="1"/>
      </rPr>
      <t xml:space="preserve">
Na definição da estratégia global de auditoria, que deve determinar a materialidade de acordo com as </t>
    </r>
    <r>
      <rPr>
        <b/>
        <i/>
        <sz val="11"/>
        <rFont val="Times New Roman"/>
        <family val="1"/>
      </rPr>
      <t xml:space="preserve">NBC TA 320 (R1) [DOU 05/09/16] - Materialidade no Planejamento e na Execução da Auditoria - [ISA 320]. [Fonte: ISA 320.10] </t>
    </r>
    <r>
      <rPr>
        <i/>
        <sz val="11"/>
        <rFont val="Times New Roman"/>
        <family val="1"/>
      </rPr>
      <t xml:space="preserve">
Materialidade para as demonstrações contábeis como um todo é determinado com base em nosso entendimento das necessidades e expectativas dos usuários. Expectativas dos usuários podem variar em função do grau de incerteza inerente associada à medição de itens específicos nas demonstrações financeiras, entre outras considerações. Por exemplo, o fato de que as demonstrações financeiras incluem grandes disposições com um alto grau de incerteza das estimativas (por exemplo, provisões para créditos de seguros, no caso de uma companhia de seguros, custos de desmantelamento de plataformas de petróleo no caso de uma empresa de petróleo, ou, de modo mais geral, ações judiciais contra a entidade) podem influenciar a avaliação do usuário de materialidade. </t>
    </r>
  </si>
  <si>
    <r>
      <rPr>
        <b/>
        <i/>
        <sz val="11"/>
        <rFont val="Times New Roman"/>
        <family val="1"/>
      </rPr>
      <t>Benchmark</t>
    </r>
    <r>
      <rPr>
        <i/>
        <sz val="11"/>
        <rFont val="Times New Roman"/>
        <family val="1"/>
      </rPr>
      <t xml:space="preserve">
A determinação do valor de referência adequado inclui a consideração de ganhos e outros fatores relevantes da entidade.
Fatores que podem afetar a identificação de uma referência adequada incluem: [Fonte: ISA 320.A3]
Fator -  Os elementos das demonstrações financeiras [Fonte: ISA 320.A3] 
Exemplos -   ativos, passivos, patrimônio líquido, receita e despesas. [Fonte: ISA 320.A3] 
Fator - Se há itens em que a atenção dos usuários das demonstrações contábeis da entidade particular, tende a ser focado [Fonte: ISA 320.A3] 
Exemplos - Para efeitos de avaliação de desempenho financeiro usuários tendem a se concentrar sobre o lucro, a receita ou ativos líquidos. [Fonte: ISA 320.A3] </t>
    </r>
  </si>
  <si>
    <r>
      <rPr>
        <b/>
        <i/>
        <sz val="11"/>
        <rFont val="Times New Roman"/>
        <family val="1"/>
      </rPr>
      <t>Fatores que podem afetar a identificação de uma referência adequada incluem: [Fonte: ISA 320.A3]</t>
    </r>
    <r>
      <rPr>
        <i/>
        <sz val="11"/>
        <rFont val="Times New Roman"/>
        <family val="1"/>
      </rPr>
      <t xml:space="preserve">
Fator - A natureza da entidade, em que a entidade está em seu ciclo de vida e da indústria e ambiente econômico em que a entidade opera [Fonte: ISA 320.A3] 
Exemplos - 
· Para entidades com fins lucrativos, o lucro ou prejuízo antes de impostos das operações continuadas é muitas vezes usado como referência [Fonte: ISA 320.A4] 
· Para entidades sem fins lucrativos, uma referência adequada pode ser ativos totais ou despesas totais 
· Para entidades de baixa rentabilidade e entidades que tenham atingido os seus pontos de equilíbrio, uma referência adequada pode ser o total das receitas ou total dos ativos.  </t>
    </r>
  </si>
  <si>
    <r>
      <rPr>
        <b/>
        <i/>
        <sz val="11"/>
        <rFont val="Times New Roman"/>
        <family val="1"/>
      </rPr>
      <t xml:space="preserve">Determinar a adequação do percentual do valor de referência escolhido envolve o exercício de julgamento profissional. [Fonte: ISA 320.A7] </t>
    </r>
    <r>
      <rPr>
        <i/>
        <sz val="11"/>
        <rFont val="Times New Roman"/>
        <family val="1"/>
      </rPr>
      <t xml:space="preserve">
As faixas percentuais em (abaixo) são destinados a fornecer uma orientação ao exercer nosso julgamento.
Nosso julgamento sobre se o percentual é adequado em relação ao conjunto relevante de porcentagens (normalmente cai entre 3-10% (inclusive) para um ponto de referência líquida ou cai entre 0,5-3% (inclusive) para um ponto de referência bruto) pode ser influenciado por fatores relacionados na nossa metodologia, bem como os seguintes fatores: 
* A concentração da propriedade e / ou gestão 
* a renegociação das dívidas 
* Ambiente de negócios 
* Outras sensibilidades </t>
    </r>
  </si>
  <si>
    <r>
      <rPr>
        <b/>
        <i/>
        <sz val="11"/>
        <rFont val="Times New Roman"/>
        <family val="1"/>
      </rPr>
      <t>Materialidade Desempenho (PM)</t>
    </r>
    <r>
      <rPr>
        <i/>
        <sz val="11"/>
        <rFont val="Times New Roman"/>
        <family val="1"/>
      </rPr>
      <t xml:space="preserve">
Vamos determinar a materialidade de desempenho para fins de avaliação dos riscos de distorção relevante e determinar a natureza, época e extensão dos procedimentos adicionais de auditoria. [ISA 320,11] 
</t>
    </r>
    <r>
      <rPr>
        <b/>
        <i/>
        <sz val="11"/>
        <rFont val="Times New Roman"/>
        <family val="1"/>
      </rPr>
      <t xml:space="preserve">Materialidade Desempenho (PM) </t>
    </r>
    <r>
      <rPr>
        <i/>
        <sz val="11"/>
        <rFont val="Times New Roman"/>
        <family val="1"/>
      </rPr>
      <t xml:space="preserve">
(que, como definido, é um ou mais valores) é menor que a </t>
    </r>
    <r>
      <rPr>
        <b/>
        <i/>
        <sz val="11"/>
        <rFont val="Times New Roman"/>
        <family val="1"/>
      </rPr>
      <t>Materialidade(M)</t>
    </r>
    <r>
      <rPr>
        <i/>
        <sz val="11"/>
        <rFont val="Times New Roman"/>
        <family val="1"/>
      </rPr>
      <t xml:space="preserve"> para as demonstrações contábeis como um todo e reduz a um nível apropriadamente baixo a probabilidade de que o agregado de distorções não corrigidas e não detectadas nas demonstrações financeiras ultrapasse a materialidade para as demonstrações financeiras como um todo. Esta probabilidade é referido como "o risco de agregação". [Fonte: ISA 320,9 Fonte: ISA 320.A12] </t>
    </r>
  </si>
  <si>
    <r>
      <rPr>
        <b/>
        <i/>
        <sz val="11"/>
        <rFont val="Times New Roman"/>
        <family val="1"/>
      </rPr>
      <t>Risco Agregação</t>
    </r>
    <r>
      <rPr>
        <i/>
        <sz val="11"/>
        <rFont val="Times New Roman"/>
        <family val="1"/>
      </rPr>
      <t xml:space="preserve"> é a probabilidade de que o agregado de distorções não corrigidas e não detectadas nas demonstrações financeiras (e, se aplicável, as contas significativas ou divulgações) ultrapassa a materialidade para as demonstrações contábeis como um todo (e, se for o caso, conta significativo inferior / divulgação materialidade). Como o risco de agregação aumenta, a materialidade desempenho(PM) diminui. [Fonte: ISA 320,9 Fonte: ISA 320.A12] 
A presença de um ou mais dos seguintes factores podem indicar um maior risco de agregação e, portanto, uma PM inferior pode ser apropriado: 
· Ambiente de controle deficiente 
· Um histórico de deficiências significativas e / ou um número elevado de deficiências no controle interno 
· Alta rotatividade de quadros superiores ou pessoal-chave de relato financeiro 
· Aumento do número de questões contábeis que requerem julgamento significativo e / ou mais estimativas com alta incerteza de estimativa, e 
· Uma entidade que atua em uma série de locais. </t>
    </r>
  </si>
  <si>
    <r>
      <rPr>
        <b/>
        <i/>
        <sz val="11"/>
        <rFont val="Times New Roman"/>
        <family val="1"/>
      </rPr>
      <t xml:space="preserve"> Distorção Auditoria após limiar ("AMPT") </t>
    </r>
    <r>
      <rPr>
        <i/>
        <sz val="11"/>
        <rFont val="Times New Roman"/>
        <family val="1"/>
      </rPr>
      <t xml:space="preserve">
Vamos designar uma quantidade abaixo do qual as distorções identificadas durante a auditoria seria claramente trivial. Este montante é referido como Audit Misstatement Posting Threshold ("AMPT"). [Fonte: ISA 450,5 Fonte: ISA 450,15 (a)] 
"Claramente trivial" não é outra expressão para "não materiais". Assuntos que são claramente triviais serão de uma (menor) ordem completamente diferente de magnitude do que a materialidade, e serão assuntos que são claramente irrelevantes, se tomados individualmente ou em conjunto, e se julgado por qualquer critério de dimensão, natureza ou circunstâncias. [Fonte: ISA 450.A2] 
A AMPT cai normalmente entre 3 e 5 por cento de materialidade para as demonstrações contábeis como um todo. </t>
    </r>
  </si>
  <si>
    <t>Cálculo de Materialidade</t>
  </si>
  <si>
    <t>Valores expressos em R$ c/ centavos omitidos</t>
  </si>
  <si>
    <t>Objetivo:</t>
  </si>
  <si>
    <t xml:space="preserve">http://www1.cfc.org.br/sisweb/sre/detalhes_sre.aspx?codigo=2016/NBCTA320(R1) / </t>
  </si>
  <si>
    <t>NBC TA 320</t>
  </si>
  <si>
    <t>https://www.ifac.org/system/files/downloads/a018-2010-iaasb-handbook-isa-320.pdf</t>
  </si>
  <si>
    <t>ISA 320</t>
  </si>
  <si>
    <t>https://www.ifac.org/system/files/downloads/a021-2010-iaasb-handbook-isa-450.pdf</t>
  </si>
  <si>
    <t>ISA 450</t>
  </si>
  <si>
    <t>Procedimentos efetuados:</t>
  </si>
  <si>
    <t>Obtivemos os possíveis benchmarks para avaliarmos o mais adequado a ser utilizado para cálculo da materialidade.</t>
  </si>
  <si>
    <t xml:space="preserve"> Evidenciamos a nossa avaliação quanto a escolha do benchmark a ser utilizado.</t>
  </si>
  <si>
    <t>Confrontamos a nossa expectativa com o orçamento da entidade e calculamos a materialidade com base na menor expectativa.</t>
  </si>
  <si>
    <t>g</t>
  </si>
  <si>
    <t>Valor da Demonstração Financeira</t>
  </si>
  <si>
    <t>Total de receitas</t>
  </si>
  <si>
    <t>f</t>
  </si>
  <si>
    <t>ü</t>
  </si>
  <si>
    <t>Compensation</t>
  </si>
  <si>
    <t xml:space="preserve">Basis for the calculation </t>
  </si>
  <si>
    <t>Materiality</t>
  </si>
  <si>
    <t>Materiality (M)</t>
  </si>
  <si>
    <t>d</t>
  </si>
  <si>
    <t>Performance Materiality (PM)</t>
  </si>
  <si>
    <t>AMPT</t>
  </si>
  <si>
    <t>Nota geral</t>
  </si>
  <si>
    <t>Entendemos manter uma postura conservadora pois é o primeiro ano que auditamos a entidade. É uma entidade que nunca foi auditada e o foco da Auditoria da entidade está verificar como as despesas estão sendo realizadas e se estão de acordo com o objeto social da entidade além das demais obrigações de uma auditoria.</t>
  </si>
  <si>
    <t>Tickmarks</t>
  </si>
  <si>
    <t xml:space="preserve">ü </t>
  </si>
  <si>
    <t>Conforme balancete do Exercício</t>
  </si>
  <si>
    <t xml:space="preserve">f </t>
  </si>
  <si>
    <t>Conforme balancete do Exercício anterior</t>
  </si>
  <si>
    <t xml:space="preserve">g </t>
  </si>
  <si>
    <t>Calculado pela VORCON.</t>
  </si>
  <si>
    <t>Materialidade Ajustada</t>
  </si>
  <si>
    <t>- for profit-oriented entities, profit or loss before tax from continuing operations is often used as the benchmark [Source: ISA 320.A4]</t>
  </si>
  <si>
    <t>- for not-for-profit entities, an appropriate benchmark may be total assets or total expenses</t>
  </si>
  <si>
    <t>Determinação do Benchmark</t>
  </si>
  <si>
    <t>Benchmarks</t>
  </si>
  <si>
    <t>% Mínimo</t>
  </si>
  <si>
    <t>% Máximo</t>
  </si>
  <si>
    <t xml:space="preserve">(a) </t>
  </si>
  <si>
    <t>Lucro antes dos impostos</t>
  </si>
  <si>
    <t xml:space="preserve">(b) </t>
  </si>
  <si>
    <t xml:space="preserve">(c) </t>
  </si>
  <si>
    <t>Total de ativos</t>
  </si>
  <si>
    <t xml:space="preserve">(d) </t>
  </si>
  <si>
    <t>Patrimônio líquido</t>
  </si>
  <si>
    <t xml:space="preserve">(e) </t>
  </si>
  <si>
    <t>Total de despesas</t>
  </si>
  <si>
    <t>M</t>
  </si>
  <si>
    <t>Definição do PM e AMPT</t>
  </si>
  <si>
    <t>PARÁGRAFOS NBC TA 320 (R1)</t>
  </si>
  <si>
    <t>Podemos utilizar a materialidade para das demonstrações financeiras como um valor que norteia a determinação do cálculo da PM. A PM não pode exceder 75% da M como um todo e varia de 50% a 75% conforme nossa avaliação de risco.</t>
  </si>
  <si>
    <r>
      <t xml:space="preserve"> [Fonte: ISA 320.A7 / NBC TA 320.A8] 
</t>
    </r>
    <r>
      <rPr>
        <b/>
        <sz val="11"/>
        <rFont val="Times New Roman"/>
        <family val="1"/>
      </rPr>
      <t>V</t>
    </r>
    <r>
      <rPr>
        <sz val="11"/>
        <rFont val="Times New Roman"/>
        <family val="1"/>
      </rPr>
      <t xml:space="preserve">ORCON </t>
    </r>
    <r>
      <rPr>
        <b/>
        <sz val="11"/>
        <rFont val="Times New Roman"/>
        <family val="1"/>
      </rPr>
      <t>A</t>
    </r>
    <r>
      <rPr>
        <sz val="11"/>
        <rFont val="Times New Roman"/>
        <family val="1"/>
      </rPr>
      <t xml:space="preserve">UDIT </t>
    </r>
    <r>
      <rPr>
        <b/>
        <sz val="11"/>
        <rFont val="Times New Roman"/>
        <family val="1"/>
      </rPr>
      <t>M</t>
    </r>
    <r>
      <rPr>
        <sz val="11"/>
        <rFont val="Times New Roman"/>
        <family val="1"/>
      </rPr>
      <t xml:space="preserve">ETODOLOGY
</t>
    </r>
    <r>
      <rPr>
        <b/>
        <sz val="11"/>
        <rFont val="Times New Roman"/>
        <family val="1"/>
      </rPr>
      <t>V.A.M.</t>
    </r>
  </si>
  <si>
    <t xml:space="preserve"> The AMPT ordinarily falls between 3 to 5 percent of materiality for the financial statements as a whole.</t>
  </si>
  <si>
    <t xml:space="preserve"> [Fonte: ISA 320.A7 / NBC TA 320.A8] </t>
  </si>
  <si>
    <t>Critérios a considerar para determinação da porcentagem aplicada ao benchmark (Materiality e AMPT)</t>
  </si>
  <si>
    <t>Resposta</t>
  </si>
  <si>
    <t>Pontuação</t>
  </si>
  <si>
    <t>Avaliação de Risco</t>
  </si>
  <si>
    <t>(1).</t>
  </si>
  <si>
    <t>Entidade aberta ou de interesse público? A Entidade possui intenção de negociar em bolsa?</t>
  </si>
  <si>
    <t>N</t>
  </si>
  <si>
    <t>(2).</t>
  </si>
  <si>
    <t>Dívida negociada publicamente? Contratos de empréstimo sensíveis a resultados operacionais?</t>
  </si>
  <si>
    <t>S</t>
  </si>
  <si>
    <t>(3).</t>
  </si>
  <si>
    <t>A entidade opera em um ambiente de negócios volátil?  A entidade opera em localizações que estão
sujeitas à instabilidade política?</t>
  </si>
  <si>
    <t>(4).</t>
  </si>
  <si>
    <t>A entidade possui operações complexas e/ou processos de negócios diversos?</t>
  </si>
  <si>
    <t>(5).</t>
  </si>
  <si>
    <t>Operam em uma indústria altamente regulada?</t>
  </si>
  <si>
    <t>(6).</t>
  </si>
  <si>
    <t>Venda recente ou esperada da Entidade?</t>
  </si>
  <si>
    <t>Classificação de Risco para PM e AMPT</t>
  </si>
  <si>
    <t>Muito Baixo</t>
  </si>
  <si>
    <t>Baixo</t>
  </si>
  <si>
    <t>Médio/Baixo</t>
  </si>
  <si>
    <t>Médio</t>
  </si>
  <si>
    <t>Médio/Alto</t>
  </si>
  <si>
    <t>Alto</t>
  </si>
  <si>
    <t>Crítico</t>
  </si>
  <si>
    <t>Critério utilizado</t>
  </si>
  <si>
    <t>Critérios a considerar para determinação da porcentagem aplicada ao performance materiality (PM)</t>
  </si>
  <si>
    <t>Um ambiente de controle fraco;</t>
  </si>
  <si>
    <t>Uma entidade com um histórico de fraqueza material e/ou deficiências de controles;</t>
  </si>
  <si>
    <t>Rotatividade excessiva nas alta administração;</t>
  </si>
  <si>
    <t>Entidade com histórico de excessivos erros em auditorias anteriores</t>
  </si>
  <si>
    <t>Entidade com questões financeiras mais complexas e estimativas significativas;</t>
  </si>
  <si>
    <t>Entidade que opera em várias localidades;</t>
  </si>
  <si>
    <t>Percentual utilizado</t>
  </si>
  <si>
    <t>PM</t>
  </si>
  <si>
    <t>Objetivos:</t>
  </si>
  <si>
    <t xml:space="preserve">Dependendo dos Critérios a considerar para determinação da porcentagem aplicada ao benchmark (Materiality e AMPT), direcionamos uma pontuação e criamos um critério de avaliação de risco. </t>
  </si>
  <si>
    <t>Observações:</t>
  </si>
  <si>
    <r>
      <t xml:space="preserve">Quanto maior a </t>
    </r>
    <r>
      <rPr>
        <i/>
        <sz val="10"/>
        <rFont val="Arial"/>
        <family val="2"/>
      </rPr>
      <t>Materiality</t>
    </r>
    <r>
      <rPr>
        <sz val="10"/>
        <rFont val="Arial"/>
        <family val="2"/>
      </rPr>
      <t xml:space="preserve">, menor a chance de mais testes, logo, quanto maior o Risco, menor será a </t>
    </r>
    <r>
      <rPr>
        <i/>
        <sz val="10"/>
        <rFont val="Arial"/>
        <family val="2"/>
      </rPr>
      <t>Materiality</t>
    </r>
    <r>
      <rPr>
        <sz val="10"/>
        <rFont val="Arial"/>
        <family val="2"/>
      </rPr>
      <t>.</t>
    </r>
  </si>
  <si>
    <t>Se nosso grau de avaliação de Risco chegar a 6 (Crítico) pode ser necessário, por julgamento profissional, avaliar um % inferior.</t>
  </si>
  <si>
    <t>Os cálculos de M e AMPT envolvem uma média entre os máximos e mínimos de acordo com sua pontuação na classificação de risco.</t>
  </si>
  <si>
    <t>Banckmark</t>
  </si>
  <si>
    <t>Fator</t>
  </si>
  <si>
    <t>Pontuação de Risco</t>
  </si>
  <si>
    <t>S3 Saude</t>
  </si>
  <si>
    <t>Data base: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</si>
</sst>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R$&quot;\ * #,##0.00_-;\-&quot;R$&quot;\ * #,##0.00_-;_-&quot;R$&quot;\ * &quot;-&quot;??_-;_-@_-"/>
    <numFmt numFmtId="43" formatCode="_-* #,##0.00_-;\-* #,##0.00_-;_-* &quot;-&quot;??_-;_-@_-"/>
    <numFmt numFmtId="164" formatCode="_(* #,##0.00_);_(* \(#,##0.00\);_(* &quot;-&quot;??_);_(@_)"/>
    <numFmt numFmtId="165" formatCode="&quot;R$ &quot;#,##0_);[Red]\(&quot;R$ &quot;#,##0\)"/>
    <numFmt numFmtId="166" formatCode="_(* #,##0_);_(* \(#,##0\);_(* &quot;-&quot;??_);_(@_)"/>
    <numFmt numFmtId="167" formatCode="0.00000000"/>
    <numFmt numFmtId="168" formatCode="#,##0.00&quot;F&quot;_);\(#,##0.00&quot;F&quot;\)"/>
    <numFmt numFmtId="169" formatCode="0\ 000\ 000\ 000"/>
    <numFmt numFmtId="170" formatCode="0.000000000"/>
    <numFmt numFmtId="171" formatCode="0.00_)"/>
  </numFmts>
  <fonts count="59">
    <font>
      <sz val="10"/>
      <name val="Arial"/>
    </font>
    <font>
      <sz val="11"/>
      <color theme="1"/>
      <name val="Calibri"/>
      <family val="2"/>
      <scheme val="minor"/>
    </font>
    <font>
      <sz val="11"/>
      <color theme="1"/>
      <name val="Calibri"/>
      <family val="2"/>
      <scheme val="minor"/>
    </font>
    <font>
      <sz val="10"/>
      <name val="Arial"/>
      <family val="2"/>
    </font>
    <font>
      <sz val="10"/>
      <name val="Trebuchet MS"/>
      <family val="2"/>
    </font>
    <font>
      <b/>
      <sz val="12"/>
      <name val="Times New Roman"/>
      <family val="1"/>
    </font>
    <font>
      <sz val="12"/>
      <name val="Times New Roman"/>
      <family val="1"/>
    </font>
    <font>
      <i/>
      <sz val="12"/>
      <name val="Times New Roman"/>
      <family val="1"/>
    </font>
    <font>
      <b/>
      <i/>
      <u/>
      <sz val="8"/>
      <color indexed="12"/>
      <name val="Arial"/>
      <family val="2"/>
    </font>
    <font>
      <sz val="8"/>
      <name val="Arial"/>
      <family val="2"/>
    </font>
    <font>
      <sz val="12"/>
      <name val="Trebuchet MS"/>
      <family val="2"/>
    </font>
    <font>
      <sz val="12"/>
      <name val="Arial"/>
      <family val="2"/>
    </font>
    <font>
      <b/>
      <i/>
      <u/>
      <sz val="12"/>
      <name val="Arial"/>
      <family val="2"/>
    </font>
    <font>
      <b/>
      <u/>
      <sz val="12"/>
      <name val="Times New Roman"/>
      <family val="1"/>
    </font>
    <font>
      <sz val="16"/>
      <color indexed="56"/>
      <name val="KPMG Logo"/>
    </font>
    <font>
      <sz val="10"/>
      <name val="Arial"/>
      <family val="2"/>
    </font>
    <font>
      <sz val="10"/>
      <color theme="1"/>
      <name val="Trebuchet MS"/>
      <family val="2"/>
    </font>
    <font>
      <b/>
      <sz val="12"/>
      <color rgb="FFFF0000"/>
      <name val="Times New Roman"/>
      <family val="1"/>
    </font>
    <font>
      <b/>
      <sz val="12"/>
      <color rgb="FFFF0000"/>
      <name val="Wingdings"/>
      <charset val="2"/>
    </font>
    <font>
      <b/>
      <sz val="10"/>
      <color rgb="FFFF0000"/>
      <name val="Wingdings"/>
      <charset val="2"/>
    </font>
    <font>
      <b/>
      <sz val="12"/>
      <color theme="3" tint="-0.249977111117893"/>
      <name val="Times New Roman"/>
      <family val="1"/>
    </font>
    <font>
      <b/>
      <sz val="10"/>
      <name val="Arial"/>
      <family val="2"/>
    </font>
    <font>
      <b/>
      <sz val="10"/>
      <name val="Trebuchet MS"/>
      <family val="2"/>
    </font>
    <font>
      <sz val="11"/>
      <name val="Times"/>
      <family val="1"/>
    </font>
    <font>
      <sz val="11"/>
      <name val="Times"/>
    </font>
    <font>
      <sz val="11"/>
      <name val="Times New Roman"/>
      <family val="1"/>
    </font>
    <font>
      <b/>
      <i/>
      <sz val="11"/>
      <name val="Times New Roman"/>
      <family val="1"/>
    </font>
    <font>
      <i/>
      <sz val="11"/>
      <name val="Times New Roman"/>
      <family val="1"/>
    </font>
    <font>
      <b/>
      <sz val="11"/>
      <name val="Times New Roman"/>
      <family val="1"/>
    </font>
    <font>
      <sz val="11"/>
      <name val="Book Antiqua"/>
      <family val="1"/>
    </font>
    <font>
      <b/>
      <sz val="11"/>
      <color indexed="10"/>
      <name val="Times New Roman"/>
      <family val="1"/>
    </font>
    <font>
      <b/>
      <sz val="8"/>
      <color indexed="81"/>
      <name val="Tahoma"/>
      <family val="2"/>
    </font>
    <font>
      <sz val="8"/>
      <color indexed="81"/>
      <name val="Tahoma"/>
      <family val="2"/>
    </font>
    <font>
      <sz val="8"/>
      <color indexed="12"/>
      <name val="Helv"/>
    </font>
    <font>
      <sz val="10"/>
      <name val="Geneva"/>
    </font>
    <font>
      <u/>
      <sz val="10"/>
      <color indexed="12"/>
      <name val="Arial"/>
      <family val="2"/>
    </font>
    <font>
      <u/>
      <sz val="8"/>
      <color indexed="36"/>
      <name val="Geneva"/>
    </font>
    <font>
      <sz val="10"/>
      <name val="Courier"/>
      <family val="3"/>
    </font>
    <font>
      <sz val="8"/>
      <color indexed="8"/>
      <name val="Helv"/>
    </font>
    <font>
      <sz val="10"/>
      <name val="MS Sans Serif"/>
      <family val="2"/>
    </font>
    <font>
      <sz val="10"/>
      <color indexed="20"/>
      <name val="Times New Roman"/>
      <family val="1"/>
    </font>
    <font>
      <sz val="7"/>
      <name val="Small Fonts"/>
      <family val="2"/>
    </font>
    <font>
      <sz val="11"/>
      <color indexed="8"/>
      <name val="Calibri"/>
      <family val="2"/>
    </font>
    <font>
      <sz val="10"/>
      <name val="Times New Roman"/>
      <family val="1"/>
    </font>
    <font>
      <sz val="10"/>
      <color indexed="10"/>
      <name val="MS Sans Serif"/>
      <family val="2"/>
    </font>
    <font>
      <sz val="10"/>
      <color indexed="8"/>
      <name val="MS Sans Serif"/>
      <family val="2"/>
    </font>
    <font>
      <sz val="8"/>
      <name val="Helv"/>
    </font>
    <font>
      <sz val="8"/>
      <name val="Courier New"/>
      <family val="3"/>
    </font>
    <font>
      <b/>
      <sz val="11"/>
      <name val="Times"/>
    </font>
    <font>
      <u/>
      <sz val="10"/>
      <color theme="10"/>
      <name val="Arial"/>
      <family val="2"/>
    </font>
    <font>
      <u/>
      <sz val="8"/>
      <color theme="10"/>
      <name val="Arial"/>
      <family val="2"/>
    </font>
    <font>
      <b/>
      <sz val="11"/>
      <color theme="0"/>
      <name val="Times New Roman"/>
      <family val="1"/>
    </font>
    <font>
      <sz val="11"/>
      <color theme="0"/>
      <name val="Times New Roman"/>
      <family val="1"/>
    </font>
    <font>
      <b/>
      <i/>
      <sz val="11"/>
      <color theme="0"/>
      <name val="Times New Roman"/>
      <family val="1"/>
    </font>
    <font>
      <i/>
      <sz val="11"/>
      <color theme="0"/>
      <name val="Times New Roman"/>
      <family val="1"/>
    </font>
    <font>
      <b/>
      <sz val="11"/>
      <color rgb="FFFF0000"/>
      <name val="Times New Roman"/>
      <family val="1"/>
    </font>
    <font>
      <b/>
      <sz val="9"/>
      <color theme="0"/>
      <name val="Trebuchet MS"/>
      <family val="5"/>
    </font>
    <font>
      <sz val="12"/>
      <color theme="0"/>
      <name val="Times New Roman"/>
      <family val="1"/>
    </font>
    <font>
      <i/>
      <sz val="10"/>
      <name val="Arial"/>
      <family val="2"/>
    </font>
  </fonts>
  <fills count="13">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indexed="22"/>
      </patternFill>
    </fill>
    <fill>
      <patternFill patternType="gray0625"/>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theme="3"/>
        <bgColor indexed="64"/>
      </patternFill>
    </fill>
    <fill>
      <patternFill patternType="solid">
        <fgColor theme="4" tint="0.79998168889431442"/>
        <bgColor indexed="64"/>
      </patternFill>
    </fill>
    <fill>
      <patternFill patternType="solid">
        <fgColor rgb="FFFFFF00"/>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ck">
        <color indexed="64"/>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thin">
        <color indexed="64"/>
      </left>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medium">
        <color indexed="64"/>
      </left>
      <right/>
      <top/>
      <bottom style="medium">
        <color indexed="64"/>
      </bottom>
      <diagonal/>
    </border>
  </borders>
  <cellStyleXfs count="62">
    <xf numFmtId="0" fontId="0" fillId="0" borderId="0"/>
    <xf numFmtId="164" fontId="3" fillId="0" borderId="0" applyFont="0" applyFill="0" applyBorder="0" applyAlignment="0" applyProtection="0"/>
    <xf numFmtId="0" fontId="3" fillId="0" borderId="0"/>
    <xf numFmtId="0" fontId="16" fillId="0" borderId="0"/>
    <xf numFmtId="9" fontId="15" fillId="0" borderId="0" applyFont="0" applyFill="0" applyBorder="0" applyAlignment="0" applyProtection="0"/>
    <xf numFmtId="0" fontId="3" fillId="0" borderId="0"/>
    <xf numFmtId="9" fontId="29" fillId="0" borderId="0" applyFont="0" applyFill="0" applyBorder="0" applyAlignment="0" applyProtection="0"/>
    <xf numFmtId="0" fontId="33" fillId="0" borderId="10">
      <protection hidden="1"/>
    </xf>
    <xf numFmtId="0" fontId="34" fillId="5" borderId="10" applyNumberFormat="0" applyFont="0" applyBorder="0" applyAlignment="0" applyProtection="0">
      <protection hidden="1"/>
    </xf>
    <xf numFmtId="0" fontId="35"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37" fontId="5" fillId="6" borderId="11" applyNumberFormat="0" applyAlignment="0">
      <alignment horizontal="left"/>
    </xf>
    <xf numFmtId="38" fontId="9" fillId="7" borderId="0" applyNumberFormat="0" applyBorder="0" applyAlignment="0" applyProtection="0"/>
    <xf numFmtId="0" fontId="36" fillId="0" borderId="0" applyNumberFormat="0" applyFill="0" applyBorder="0" applyAlignment="0" applyProtection="0">
      <alignment vertical="top"/>
      <protection locked="0"/>
    </xf>
    <xf numFmtId="0" fontId="37" fillId="0" borderId="0"/>
    <xf numFmtId="167" fontId="6" fillId="0" borderId="0"/>
    <xf numFmtId="168" fontId="6" fillId="0" borderId="0"/>
    <xf numFmtId="169" fontId="6" fillId="0" borderId="0"/>
    <xf numFmtId="10" fontId="9" fillId="8" borderId="9" applyNumberFormat="0" applyBorder="0" applyAlignment="0" applyProtection="0"/>
    <xf numFmtId="0" fontId="38" fillId="0" borderId="10">
      <alignment horizontal="left"/>
      <protection locked="0"/>
    </xf>
    <xf numFmtId="41" fontId="3" fillId="0" borderId="0" applyFont="0" applyFill="0" applyBorder="0" applyAlignment="0" applyProtection="0"/>
    <xf numFmtId="38" fontId="39" fillId="0" borderId="0" applyFont="0" applyFill="0" applyBorder="0" applyAlignment="0" applyProtection="0"/>
    <xf numFmtId="0" fontId="40" fillId="0" borderId="0" applyBorder="0"/>
    <xf numFmtId="37" fontId="41" fillId="0" borderId="0"/>
    <xf numFmtId="167" fontId="6" fillId="0" borderId="0"/>
    <xf numFmtId="168" fontId="6" fillId="0" borderId="0"/>
    <xf numFmtId="169" fontId="6" fillId="0" borderId="0"/>
    <xf numFmtId="170" fontId="6" fillId="0" borderId="0">
      <alignment horizontal="right"/>
    </xf>
    <xf numFmtId="0" fontId="42" fillId="0" borderId="0"/>
    <xf numFmtId="0" fontId="2" fillId="0" borderId="0"/>
    <xf numFmtId="0" fontId="3" fillId="0" borderId="0"/>
    <xf numFmtId="0" fontId="3" fillId="0" borderId="0"/>
    <xf numFmtId="0" fontId="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42" fillId="9" borderId="12" applyNumberFormat="0" applyFont="0" applyAlignment="0" applyProtection="0"/>
    <xf numFmtId="0" fontId="21" fillId="0" borderId="0" applyNumberFormat="0" applyFill="0" applyBorder="0" applyProtection="0">
      <alignment horizontal="left"/>
    </xf>
    <xf numFmtId="10" fontId="3" fillId="0" borderId="0" applyFont="0" applyFill="0" applyBorder="0" applyAlignment="0" applyProtection="0"/>
    <xf numFmtId="9" fontId="3" fillId="0" borderId="0" applyFont="0" applyFill="0" applyBorder="0" applyAlignment="0" applyProtection="0"/>
    <xf numFmtId="3" fontId="3" fillId="0" borderId="0" applyFont="0" applyFill="0" applyBorder="0" applyAlignment="0" applyProtection="0"/>
    <xf numFmtId="0" fontId="44" fillId="0" borderId="10" applyNumberFormat="0" applyFill="0" applyBorder="0" applyAlignment="0" applyProtection="0">
      <protection hidden="1"/>
    </xf>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45" fillId="0" borderId="0" applyNumberFormat="0" applyFill="0" applyBorder="0" applyAlignment="0" applyProtection="0"/>
    <xf numFmtId="0" fontId="46" fillId="5" borderId="10"/>
    <xf numFmtId="171" fontId="43" fillId="0" borderId="0" applyFont="0" applyFill="0" applyBorder="0" applyAlignment="0" applyProtection="0"/>
    <xf numFmtId="171" fontId="43" fillId="0" borderId="0" applyFont="0" applyFill="0" applyBorder="0" applyAlignment="0" applyProtection="0"/>
    <xf numFmtId="0" fontId="47" fillId="0" borderId="0" applyNumberFormat="0" applyFill="0" applyBorder="0" applyAlignment="0" applyProtection="0"/>
    <xf numFmtId="0" fontId="1" fillId="0" borderId="0"/>
    <xf numFmtId="44" fontId="1" fillId="0" borderId="0" applyFont="0" applyFill="0" applyBorder="0" applyAlignment="0" applyProtection="0"/>
    <xf numFmtId="0" fontId="49" fillId="0" borderId="0" applyNumberFormat="0" applyFill="0" applyBorder="0" applyAlignment="0" applyProtection="0"/>
  </cellStyleXfs>
  <cellXfs count="171">
    <xf numFmtId="0" fontId="0" fillId="0" borderId="0" xfId="0"/>
    <xf numFmtId="0" fontId="4" fillId="0" borderId="0" xfId="0" applyFont="1"/>
    <xf numFmtId="0" fontId="6" fillId="0" borderId="0" xfId="0" applyFont="1"/>
    <xf numFmtId="0" fontId="6" fillId="0" borderId="0" xfId="0" applyFont="1" applyAlignment="1">
      <alignment vertical="top" wrapText="1"/>
    </xf>
    <xf numFmtId="0" fontId="6" fillId="0" borderId="0" xfId="0" applyFont="1" applyAlignment="1">
      <alignment vertical="center"/>
    </xf>
    <xf numFmtId="0" fontId="6" fillId="0" borderId="0" xfId="0" applyFont="1" applyAlignment="1">
      <alignment vertical="center" wrapText="1"/>
    </xf>
    <xf numFmtId="0" fontId="17" fillId="0" borderId="0" xfId="0" applyFont="1"/>
    <xf numFmtId="165" fontId="6" fillId="0" borderId="0" xfId="0" applyNumberFormat="1" applyFont="1" applyAlignment="1">
      <alignment horizontal="center" vertical="center" wrapText="1"/>
    </xf>
    <xf numFmtId="0" fontId="5" fillId="2" borderId="2" xfId="0" applyFont="1" applyFill="1" applyBorder="1" applyAlignment="1">
      <alignment horizontal="center" vertical="center" wrapText="1"/>
    </xf>
    <xf numFmtId="0" fontId="6" fillId="2" borderId="0" xfId="0" applyFont="1" applyFill="1" applyAlignment="1">
      <alignment horizontal="left" vertical="center"/>
    </xf>
    <xf numFmtId="0" fontId="5" fillId="2" borderId="0" xfId="0" applyFont="1" applyFill="1" applyAlignment="1">
      <alignment horizontal="left"/>
    </xf>
    <xf numFmtId="0" fontId="6" fillId="2" borderId="0" xfId="0" applyFont="1" applyFill="1" applyAlignment="1">
      <alignment horizontal="left"/>
    </xf>
    <xf numFmtId="0" fontId="5" fillId="2" borderId="0" xfId="0" applyFont="1" applyFill="1" applyAlignment="1">
      <alignment horizontal="center"/>
    </xf>
    <xf numFmtId="0" fontId="5" fillId="2" borderId="0" xfId="0" applyFont="1" applyFill="1"/>
    <xf numFmtId="0" fontId="19" fillId="0" borderId="0" xfId="0" applyFont="1"/>
    <xf numFmtId="0" fontId="7" fillId="0" borderId="0" xfId="0" applyFont="1" applyAlignment="1">
      <alignment vertical="center"/>
    </xf>
    <xf numFmtId="9" fontId="7" fillId="0" borderId="0" xfId="0" applyNumberFormat="1" applyFont="1" applyAlignment="1">
      <alignment vertical="center" wrapText="1"/>
    </xf>
    <xf numFmtId="0" fontId="17" fillId="0" borderId="0" xfId="0" applyFont="1" applyAlignment="1">
      <alignment horizontal="center" vertical="center"/>
    </xf>
    <xf numFmtId="0" fontId="6" fillId="0" borderId="0" xfId="0" applyFont="1" applyAlignment="1">
      <alignment wrapText="1"/>
    </xf>
    <xf numFmtId="0" fontId="5" fillId="0" borderId="0" xfId="0" applyFont="1"/>
    <xf numFmtId="0" fontId="6" fillId="0" borderId="0" xfId="0" applyFont="1" applyAlignment="1">
      <alignment horizontal="left" indent="1"/>
    </xf>
    <xf numFmtId="0" fontId="8" fillId="0" borderId="0" xfId="2" applyFont="1" applyAlignment="1">
      <alignment horizontal="left" vertical="top" wrapText="1"/>
    </xf>
    <xf numFmtId="0" fontId="9" fillId="0" borderId="0" xfId="2" applyFont="1"/>
    <xf numFmtId="0" fontId="10" fillId="0" borderId="0" xfId="0" applyFont="1"/>
    <xf numFmtId="0" fontId="11" fillId="0" borderId="0" xfId="2" applyFont="1"/>
    <xf numFmtId="0" fontId="11" fillId="0" borderId="0" xfId="2" applyFont="1" applyAlignment="1">
      <alignment horizontal="justify" vertical="top" wrapText="1"/>
    </xf>
    <xf numFmtId="0" fontId="12" fillId="0" borderId="0" xfId="2" applyFont="1" applyAlignment="1">
      <alignment horizontal="left" vertical="top" wrapText="1"/>
    </xf>
    <xf numFmtId="0" fontId="11" fillId="0" borderId="0" xfId="2" quotePrefix="1" applyFont="1" applyAlignment="1">
      <alignment horizontal="justify" vertical="top" wrapText="1"/>
    </xf>
    <xf numFmtId="0" fontId="11" fillId="0" borderId="0" xfId="2" applyFont="1" applyAlignment="1">
      <alignment vertical="top"/>
    </xf>
    <xf numFmtId="0" fontId="6" fillId="0" borderId="0" xfId="2" quotePrefix="1" applyFont="1" applyAlignment="1">
      <alignment horizontal="justify" vertical="top" wrapText="1"/>
    </xf>
    <xf numFmtId="0" fontId="20" fillId="0" borderId="0" xfId="0" applyFont="1"/>
    <xf numFmtId="0" fontId="7" fillId="0" borderId="0" xfId="0" applyFont="1"/>
    <xf numFmtId="0" fontId="13" fillId="0" borderId="0" xfId="0" applyFont="1"/>
    <xf numFmtId="164" fontId="4" fillId="0" borderId="0" xfId="1" applyFont="1"/>
    <xf numFmtId="0" fontId="17" fillId="0" borderId="0" xfId="0" applyFont="1" applyAlignment="1">
      <alignment vertical="center" wrapText="1"/>
    </xf>
    <xf numFmtId="165" fontId="18" fillId="0" borderId="5" xfId="0" applyNumberFormat="1" applyFont="1" applyBorder="1" applyAlignment="1">
      <alignment horizontal="center" vertical="center" wrapText="1"/>
    </xf>
    <xf numFmtId="9" fontId="4" fillId="0" borderId="0" xfId="4" applyFont="1" applyBorder="1"/>
    <xf numFmtId="0" fontId="22" fillId="0" borderId="0" xfId="0" applyFont="1"/>
    <xf numFmtId="0" fontId="24" fillId="0" borderId="0" xfId="2" applyFont="1" applyAlignment="1">
      <alignment horizontal="left" vertical="top"/>
    </xf>
    <xf numFmtId="0" fontId="4" fillId="0" borderId="0" xfId="0" applyFont="1" applyAlignment="1">
      <alignment vertical="top"/>
    </xf>
    <xf numFmtId="0" fontId="25" fillId="0" borderId="0" xfId="5" applyFont="1"/>
    <xf numFmtId="0" fontId="27" fillId="0" borderId="0" xfId="5" applyFont="1" applyAlignment="1">
      <alignment horizontal="justify" wrapText="1"/>
    </xf>
    <xf numFmtId="10" fontId="25" fillId="0" borderId="0" xfId="6" applyNumberFormat="1" applyFont="1" applyAlignment="1">
      <alignment horizontal="center"/>
    </xf>
    <xf numFmtId="10" fontId="25" fillId="0" borderId="0" xfId="6" applyNumberFormat="1" applyFont="1" applyFill="1" applyAlignment="1">
      <alignment horizontal="center"/>
    </xf>
    <xf numFmtId="10" fontId="25" fillId="0" borderId="0" xfId="6" applyNumberFormat="1" applyFont="1" applyFill="1" applyBorder="1" applyAlignment="1">
      <alignment horizontal="center"/>
    </xf>
    <xf numFmtId="0" fontId="30" fillId="0" borderId="0" xfId="5" applyFont="1" applyAlignment="1">
      <alignment horizontal="center"/>
    </xf>
    <xf numFmtId="0" fontId="28" fillId="3" borderId="1" xfId="5" applyFont="1" applyFill="1" applyBorder="1" applyAlignment="1">
      <alignment horizontal="center"/>
    </xf>
    <xf numFmtId="0" fontId="28" fillId="0" borderId="0" xfId="5" applyFont="1" applyAlignment="1">
      <alignment horizontal="center"/>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14" fillId="0" borderId="0" xfId="0" applyFont="1"/>
    <xf numFmtId="0" fontId="50" fillId="0" borderId="0" xfId="61" applyFont="1" applyAlignment="1">
      <alignment horizontal="left" vertical="top"/>
    </xf>
    <xf numFmtId="0" fontId="51" fillId="10" borderId="0" xfId="5" applyFont="1" applyFill="1" applyAlignment="1">
      <alignment horizontal="center"/>
    </xf>
    <xf numFmtId="0" fontId="51" fillId="10" borderId="0" xfId="5" applyFont="1" applyFill="1" applyAlignment="1">
      <alignment horizontal="left"/>
    </xf>
    <xf numFmtId="0" fontId="51" fillId="10" borderId="5" xfId="5" applyFont="1" applyFill="1" applyBorder="1"/>
    <xf numFmtId="10" fontId="51" fillId="10" borderId="5" xfId="6" applyNumberFormat="1" applyFont="1" applyFill="1" applyBorder="1" applyAlignment="1">
      <alignment horizontal="center"/>
    </xf>
    <xf numFmtId="0" fontId="8" fillId="0" borderId="0" xfId="2" applyFont="1" applyAlignment="1">
      <alignment horizontal="left" vertical="top"/>
    </xf>
    <xf numFmtId="0" fontId="11" fillId="0" borderId="0" xfId="2" applyFont="1" applyAlignment="1">
      <alignment horizontal="justify" vertical="top"/>
    </xf>
    <xf numFmtId="0" fontId="53" fillId="10" borderId="0" xfId="5" applyFont="1" applyFill="1" applyAlignment="1">
      <alignment horizontal="center"/>
    </xf>
    <xf numFmtId="0" fontId="49" fillId="0" borderId="0" xfId="61"/>
    <xf numFmtId="0" fontId="21" fillId="0" borderId="0" xfId="0" applyFont="1"/>
    <xf numFmtId="0" fontId="51" fillId="10" borderId="13" xfId="5" applyFont="1" applyFill="1" applyBorder="1" applyAlignment="1">
      <alignment horizontal="center" vertical="center" wrapText="1"/>
    </xf>
    <xf numFmtId="0" fontId="56" fillId="10" borderId="4" xfId="0" applyFont="1" applyFill="1" applyBorder="1" applyAlignment="1">
      <alignment horizontal="center" vertical="center" wrapText="1"/>
    </xf>
    <xf numFmtId="0" fontId="3" fillId="0" borderId="0" xfId="0" applyFont="1"/>
    <xf numFmtId="0" fontId="25" fillId="0" borderId="14" xfId="5" applyFont="1" applyBorder="1" applyAlignment="1">
      <alignment horizontal="center"/>
    </xf>
    <xf numFmtId="0" fontId="25" fillId="0" borderId="17" xfId="5" applyFont="1" applyBorder="1" applyAlignment="1">
      <alignment horizontal="center"/>
    </xf>
    <xf numFmtId="0" fontId="25" fillId="0" borderId="19" xfId="5" applyFont="1" applyBorder="1" applyAlignment="1">
      <alignment horizontal="center"/>
    </xf>
    <xf numFmtId="0" fontId="0" fillId="0" borderId="0" xfId="0" applyAlignment="1">
      <alignment horizontal="center"/>
    </xf>
    <xf numFmtId="0" fontId="0" fillId="0" borderId="22" xfId="0" applyBorder="1"/>
    <xf numFmtId="0" fontId="3" fillId="0" borderId="22" xfId="0" applyFont="1" applyBorder="1"/>
    <xf numFmtId="0" fontId="51" fillId="10" borderId="0" xfId="5" applyFont="1" applyFill="1"/>
    <xf numFmtId="10" fontId="0" fillId="0" borderId="0" xfId="4" applyNumberFormat="1" applyFont="1"/>
    <xf numFmtId="10" fontId="7" fillId="0" borderId="0" xfId="0" applyNumberFormat="1" applyFont="1" applyAlignment="1">
      <alignment vertical="center" wrapText="1"/>
    </xf>
    <xf numFmtId="164" fontId="25" fillId="0" borderId="15" xfId="1" applyFont="1" applyBorder="1" applyAlignment="1">
      <alignment horizontal="center"/>
    </xf>
    <xf numFmtId="164" fontId="25" fillId="0" borderId="16" xfId="1" applyFont="1" applyBorder="1" applyAlignment="1">
      <alignment horizontal="center"/>
    </xf>
    <xf numFmtId="164" fontId="25" fillId="0" borderId="6" xfId="1" applyFont="1" applyBorder="1" applyAlignment="1">
      <alignment horizontal="center"/>
    </xf>
    <xf numFmtId="164" fontId="25" fillId="0" borderId="18" xfId="1" applyFont="1" applyBorder="1" applyAlignment="1">
      <alignment horizontal="center"/>
    </xf>
    <xf numFmtId="164" fontId="25" fillId="0" borderId="20" xfId="1" applyFont="1" applyBorder="1" applyAlignment="1">
      <alignment horizontal="center"/>
    </xf>
    <xf numFmtId="164" fontId="25" fillId="0" borderId="21" xfId="1" applyFont="1" applyBorder="1" applyAlignment="1">
      <alignment horizontal="center"/>
    </xf>
    <xf numFmtId="0" fontId="0" fillId="0" borderId="0" xfId="0" applyAlignment="1">
      <alignment vertical="top"/>
    </xf>
    <xf numFmtId="0" fontId="25" fillId="0" borderId="0" xfId="5" applyFont="1" applyProtection="1">
      <protection hidden="1"/>
    </xf>
    <xf numFmtId="0" fontId="26" fillId="0" borderId="0" xfId="5" applyFont="1" applyAlignment="1" applyProtection="1">
      <alignment wrapText="1"/>
      <protection hidden="1"/>
    </xf>
    <xf numFmtId="0" fontId="27" fillId="0" borderId="0" xfId="5" applyFont="1" applyAlignment="1" applyProtection="1">
      <alignment horizontal="justify" wrapText="1"/>
      <protection hidden="1"/>
    </xf>
    <xf numFmtId="0" fontId="53" fillId="10" borderId="0" xfId="5" applyFont="1" applyFill="1" applyAlignment="1" applyProtection="1">
      <alignment wrapText="1"/>
      <protection hidden="1"/>
    </xf>
    <xf numFmtId="0" fontId="54" fillId="10" borderId="0" xfId="5" applyFont="1" applyFill="1" applyAlignment="1" applyProtection="1">
      <alignment horizontal="justify" wrapText="1"/>
      <protection hidden="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49" fillId="0" borderId="0" xfId="61" applyFill="1" applyProtection="1">
      <protection hidden="1"/>
    </xf>
    <xf numFmtId="0" fontId="28" fillId="0" borderId="0" xfId="5" applyFont="1" applyProtection="1">
      <protection hidden="1"/>
    </xf>
    <xf numFmtId="0" fontId="51" fillId="10" borderId="5" xfId="5" applyFont="1" applyFill="1" applyBorder="1" applyProtection="1">
      <protection hidden="1"/>
    </xf>
    <xf numFmtId="10" fontId="51" fillId="10" borderId="5" xfId="6" applyNumberFormat="1" applyFont="1" applyFill="1" applyBorder="1" applyAlignment="1" applyProtection="1">
      <alignment horizontal="center"/>
      <protection hidden="1"/>
    </xf>
    <xf numFmtId="0" fontId="28" fillId="0" borderId="0" xfId="5" applyFont="1" applyAlignment="1" applyProtection="1">
      <alignment horizontal="right"/>
      <protection hidden="1"/>
    </xf>
    <xf numFmtId="10" fontId="25" fillId="0" borderId="0" xfId="6" applyNumberFormat="1" applyFont="1" applyAlignment="1" applyProtection="1">
      <alignment horizontal="center"/>
      <protection hidden="1"/>
    </xf>
    <xf numFmtId="10" fontId="25" fillId="0" borderId="0" xfId="6" applyNumberFormat="1" applyFont="1" applyFill="1" applyAlignment="1" applyProtection="1">
      <alignment horizontal="center"/>
      <protection hidden="1"/>
    </xf>
    <xf numFmtId="0" fontId="55" fillId="0" borderId="0" xfId="5" applyFont="1" applyProtection="1">
      <protection hidden="1"/>
    </xf>
    <xf numFmtId="10" fontId="25" fillId="0" borderId="0" xfId="6" applyNumberFormat="1" applyFont="1" applyFill="1" applyBorder="1" applyAlignment="1" applyProtection="1">
      <alignment horizontal="center"/>
      <protection hidden="1"/>
    </xf>
    <xf numFmtId="0" fontId="51" fillId="10" borderId="0" xfId="5" applyFont="1" applyFill="1" applyAlignment="1" applyProtection="1">
      <alignment horizontal="center"/>
      <protection hidden="1"/>
    </xf>
    <xf numFmtId="0" fontId="51" fillId="10" borderId="0" xfId="5" applyFont="1" applyFill="1" applyAlignment="1" applyProtection="1">
      <alignment horizontal="left"/>
      <protection hidden="1"/>
    </xf>
    <xf numFmtId="0" fontId="52" fillId="10" borderId="0" xfId="5" applyFont="1" applyFill="1" applyProtection="1">
      <protection hidden="1"/>
    </xf>
    <xf numFmtId="0" fontId="25" fillId="0" borderId="0" xfId="5" applyFont="1" applyAlignment="1" applyProtection="1">
      <alignment wrapText="1"/>
      <protection hidden="1"/>
    </xf>
    <xf numFmtId="0" fontId="26" fillId="0" borderId="0" xfId="5" applyFont="1" applyAlignment="1" applyProtection="1">
      <alignment horizontal="right"/>
      <protection hidden="1"/>
    </xf>
    <xf numFmtId="166" fontId="25" fillId="4" borderId="0" xfId="5" applyNumberFormat="1" applyFont="1" applyFill="1" applyProtection="1">
      <protection hidden="1"/>
    </xf>
    <xf numFmtId="166" fontId="25" fillId="2" borderId="0" xfId="5" applyNumberFormat="1" applyFont="1" applyFill="1" applyProtection="1">
      <protection hidden="1"/>
    </xf>
    <xf numFmtId="0" fontId="52" fillId="10" borderId="0" xfId="5" applyFont="1" applyFill="1" applyAlignment="1" applyProtection="1">
      <alignment horizontal="center"/>
      <protection hidden="1"/>
    </xf>
    <xf numFmtId="0" fontId="53" fillId="10" borderId="0" xfId="5" applyFont="1" applyFill="1" applyAlignment="1" applyProtection="1">
      <alignment horizontal="center"/>
      <protection hidden="1"/>
    </xf>
    <xf numFmtId="0" fontId="28" fillId="0" borderId="0" xfId="5" applyFont="1" applyAlignment="1" applyProtection="1">
      <alignment horizontal="right" vertical="top"/>
      <protection hidden="1"/>
    </xf>
    <xf numFmtId="0" fontId="25" fillId="0" borderId="6" xfId="5" applyFont="1" applyBorder="1" applyProtection="1">
      <protection hidden="1"/>
    </xf>
    <xf numFmtId="0" fontId="25" fillId="0" borderId="7" xfId="5" applyFont="1" applyBorder="1" applyAlignment="1" applyProtection="1">
      <alignment horizontal="center"/>
      <protection hidden="1"/>
    </xf>
    <xf numFmtId="0" fontId="25" fillId="11" borderId="0" xfId="5" applyFont="1" applyFill="1" applyProtection="1">
      <protection hidden="1"/>
    </xf>
    <xf numFmtId="0" fontId="25" fillId="0" borderId="8" xfId="5" applyFont="1" applyBorder="1" applyAlignment="1" applyProtection="1">
      <alignment wrapText="1"/>
      <protection hidden="1"/>
    </xf>
    <xf numFmtId="0" fontId="0" fillId="0" borderId="0" xfId="0" applyProtection="1">
      <protection hidden="1"/>
    </xf>
    <xf numFmtId="0" fontId="54" fillId="10" borderId="9" xfId="5" applyFont="1" applyFill="1" applyBorder="1" applyAlignment="1" applyProtection="1">
      <alignment horizontal="center"/>
      <protection hidden="1"/>
    </xf>
    <xf numFmtId="0" fontId="51" fillId="10" borderId="2" xfId="5" applyFont="1" applyFill="1" applyBorder="1" applyAlignment="1" applyProtection="1">
      <alignment horizontal="center"/>
      <protection hidden="1"/>
    </xf>
    <xf numFmtId="0" fontId="51" fillId="10" borderId="1" xfId="5" applyFont="1" applyFill="1" applyBorder="1" applyAlignment="1" applyProtection="1">
      <alignment horizontal="center"/>
      <protection hidden="1"/>
    </xf>
    <xf numFmtId="0" fontId="25" fillId="0" borderId="9" xfId="5" applyFont="1" applyBorder="1" applyProtection="1">
      <protection hidden="1"/>
    </xf>
    <xf numFmtId="10" fontId="26" fillId="0" borderId="9" xfId="4" applyNumberFormat="1" applyFont="1" applyBorder="1" applyAlignment="1" applyProtection="1">
      <alignment horizontal="center"/>
      <protection hidden="1"/>
    </xf>
    <xf numFmtId="10" fontId="26" fillId="0" borderId="9" xfId="5" applyNumberFormat="1" applyFont="1" applyBorder="1" applyAlignment="1" applyProtection="1">
      <alignment horizontal="center"/>
      <protection hidden="1"/>
    </xf>
    <xf numFmtId="0" fontId="25" fillId="0" borderId="7" xfId="5" applyFont="1" applyBorder="1" applyProtection="1">
      <protection hidden="1"/>
    </xf>
    <xf numFmtId="0" fontId="53" fillId="10" borderId="9" xfId="5" applyFont="1" applyFill="1" applyBorder="1" applyAlignment="1" applyProtection="1">
      <alignment horizontal="center" wrapText="1"/>
      <protection hidden="1"/>
    </xf>
    <xf numFmtId="0" fontId="25" fillId="0" borderId="23" xfId="5" applyFont="1" applyBorder="1"/>
    <xf numFmtId="0" fontId="0" fillId="0" borderId="24" xfId="0" applyBorder="1"/>
    <xf numFmtId="0" fontId="25" fillId="0" borderId="26" xfId="5" applyFont="1" applyBorder="1"/>
    <xf numFmtId="0" fontId="25" fillId="0" borderId="28" xfId="5" applyFont="1" applyBorder="1"/>
    <xf numFmtId="0" fontId="0" fillId="0" borderId="5" xfId="0" applyBorder="1"/>
    <xf numFmtId="0" fontId="19" fillId="0" borderId="0" xfId="0" applyFont="1" applyAlignment="1">
      <alignment horizontal="center"/>
    </xf>
    <xf numFmtId="10" fontId="0" fillId="0" borderId="24" xfId="0" applyNumberFormat="1" applyBorder="1" applyAlignment="1">
      <alignment horizontal="center"/>
    </xf>
    <xf numFmtId="9" fontId="0" fillId="0" borderId="24" xfId="0" applyNumberFormat="1" applyBorder="1" applyAlignment="1">
      <alignment horizontal="center"/>
    </xf>
    <xf numFmtId="10" fontId="0" fillId="0" borderId="25" xfId="0" applyNumberFormat="1" applyBorder="1" applyAlignment="1">
      <alignment horizontal="center"/>
    </xf>
    <xf numFmtId="10" fontId="0" fillId="0" borderId="0" xfId="0" applyNumberFormat="1" applyAlignment="1">
      <alignment horizontal="center"/>
    </xf>
    <xf numFmtId="9" fontId="0" fillId="0" borderId="0" xfId="0" applyNumberFormat="1" applyAlignment="1">
      <alignment horizontal="center"/>
    </xf>
    <xf numFmtId="10" fontId="0" fillId="0" borderId="27" xfId="0" applyNumberFormat="1" applyBorder="1" applyAlignment="1">
      <alignment horizontal="center"/>
    </xf>
    <xf numFmtId="10" fontId="0" fillId="0" borderId="5" xfId="0" applyNumberFormat="1" applyBorder="1" applyAlignment="1">
      <alignment horizontal="center"/>
    </xf>
    <xf numFmtId="9" fontId="0" fillId="0" borderId="5" xfId="0" applyNumberFormat="1" applyBorder="1" applyAlignment="1">
      <alignment horizontal="center"/>
    </xf>
    <xf numFmtId="10" fontId="0" fillId="0" borderId="29" xfId="0" applyNumberFormat="1" applyBorder="1" applyAlignment="1">
      <alignment horizontal="center"/>
    </xf>
    <xf numFmtId="10" fontId="51" fillId="10" borderId="0" xfId="6" applyNumberFormat="1" applyFont="1" applyFill="1" applyBorder="1" applyAlignment="1">
      <alignment horizontal="center"/>
    </xf>
    <xf numFmtId="0" fontId="25" fillId="0" borderId="30" xfId="5" applyFont="1" applyBorder="1" applyAlignment="1">
      <alignment horizontal="center"/>
    </xf>
    <xf numFmtId="0" fontId="25" fillId="0" borderId="0" xfId="5" applyFont="1" applyAlignment="1">
      <alignment horizontal="center"/>
    </xf>
    <xf numFmtId="164" fontId="25" fillId="0" borderId="0" xfId="1" applyFont="1" applyBorder="1" applyAlignment="1">
      <alignment horizontal="center"/>
    </xf>
    <xf numFmtId="164" fontId="25" fillId="0" borderId="31" xfId="1" applyFont="1" applyBorder="1" applyAlignment="1">
      <alignment horizontal="center"/>
    </xf>
    <xf numFmtId="164" fontId="25" fillId="0" borderId="32" xfId="1" applyFont="1" applyBorder="1" applyAlignment="1">
      <alignment horizontal="center"/>
    </xf>
    <xf numFmtId="0" fontId="0" fillId="0" borderId="0" xfId="0" applyAlignment="1">
      <alignment vertical="top" wrapText="1"/>
    </xf>
    <xf numFmtId="0" fontId="3" fillId="0" borderId="0" xfId="0" applyFont="1" applyAlignment="1">
      <alignment vertical="top" wrapText="1"/>
    </xf>
    <xf numFmtId="166" fontId="6" fillId="0" borderId="0" xfId="1" applyNumberFormat="1" applyFont="1" applyAlignment="1">
      <alignment horizontal="center" vertical="center"/>
    </xf>
    <xf numFmtId="0" fontId="48" fillId="0" borderId="0" xfId="2" applyFont="1" applyAlignment="1">
      <alignment horizontal="left" vertical="top"/>
    </xf>
    <xf numFmtId="165" fontId="18" fillId="0" borderId="2" xfId="0" applyNumberFormat="1" applyFont="1" applyBorder="1" applyAlignment="1">
      <alignment vertical="center" wrapText="1"/>
    </xf>
    <xf numFmtId="0" fontId="27" fillId="0" borderId="0" xfId="5" applyFont="1" applyAlignment="1">
      <alignment horizontal="left" vertical="top" wrapText="1"/>
    </xf>
    <xf numFmtId="0" fontId="53" fillId="10" borderId="0" xfId="5" applyFont="1" applyFill="1" applyAlignment="1">
      <alignment horizontal="left" vertical="top" wrapText="1"/>
    </xf>
    <xf numFmtId="0" fontId="26" fillId="0" borderId="0" xfId="5" applyFont="1" applyAlignment="1">
      <alignment horizontal="left" vertical="top" wrapText="1"/>
    </xf>
    <xf numFmtId="0" fontId="6" fillId="0" borderId="0" xfId="0" applyFont="1" applyAlignment="1">
      <alignment horizontal="left" vertical="top" wrapText="1"/>
    </xf>
    <xf numFmtId="166" fontId="57" fillId="10" borderId="3" xfId="1" applyNumberFormat="1" applyFont="1" applyFill="1" applyBorder="1" applyAlignment="1">
      <alignment horizontal="center" vertical="center" wrapText="1"/>
    </xf>
    <xf numFmtId="166" fontId="57" fillId="10" borderId="2" xfId="1" applyNumberFormat="1" applyFont="1" applyFill="1" applyBorder="1" applyAlignment="1">
      <alignment horizontal="center" vertical="center" wrapText="1"/>
    </xf>
    <xf numFmtId="165" fontId="6" fillId="0" borderId="3" xfId="0" applyNumberFormat="1" applyFont="1" applyBorder="1" applyAlignment="1">
      <alignment horizontal="right" vertical="center" wrapText="1"/>
    </xf>
    <xf numFmtId="165" fontId="6" fillId="0" borderId="2" xfId="0" applyNumberFormat="1" applyFont="1" applyBorder="1" applyAlignment="1">
      <alignment horizontal="right" vertical="center" wrapText="1"/>
    </xf>
    <xf numFmtId="0" fontId="51" fillId="10" borderId="13" xfId="5" applyFont="1" applyFill="1" applyBorder="1" applyAlignment="1">
      <alignment horizontal="center" vertical="center" wrapText="1"/>
    </xf>
    <xf numFmtId="0" fontId="51" fillId="10" borderId="33" xfId="5"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23" fillId="0" borderId="0" xfId="2" applyFont="1" applyAlignment="1">
      <alignment horizontal="justify" vertical="top" wrapText="1"/>
    </xf>
    <xf numFmtId="0" fontId="6" fillId="0" borderId="0" xfId="0" applyFont="1" applyAlignment="1">
      <alignment horizontal="left" wrapText="1"/>
    </xf>
    <xf numFmtId="165" fontId="6" fillId="12" borderId="3" xfId="0" applyNumberFormat="1" applyFont="1" applyFill="1" applyBorder="1" applyAlignment="1">
      <alignment horizontal="right" vertical="center" wrapText="1"/>
    </xf>
    <xf numFmtId="165" fontId="6" fillId="12" borderId="2" xfId="0" applyNumberFormat="1" applyFont="1" applyFill="1" applyBorder="1" applyAlignment="1">
      <alignment horizontal="right" vertical="center" wrapText="1"/>
    </xf>
    <xf numFmtId="0" fontId="57" fillId="10" borderId="0" xfId="0" applyFont="1" applyFill="1" applyAlignment="1">
      <alignment vertical="center" wrapText="1"/>
    </xf>
    <xf numFmtId="0" fontId="25" fillId="0" borderId="0" xfId="0" applyFont="1" applyAlignment="1">
      <alignment horizontal="left" vertical="top" wrapText="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26" fillId="0" borderId="0" xfId="5" applyFont="1" applyAlignment="1" applyProtection="1">
      <alignment horizontal="left" vertical="top" wrapText="1"/>
      <protection hidden="1"/>
    </xf>
    <xf numFmtId="0" fontId="53" fillId="0" borderId="0" xfId="5" applyFont="1" applyAlignment="1" applyProtection="1">
      <alignment horizontal="left" vertical="top"/>
      <protection hidden="1"/>
    </xf>
    <xf numFmtId="0" fontId="25" fillId="0" borderId="0" xfId="5" applyFont="1" applyAlignment="1" applyProtection="1">
      <alignment horizontal="center"/>
      <protection hidden="1"/>
    </xf>
    <xf numFmtId="0" fontId="25" fillId="0" borderId="0" xfId="5" applyFont="1" applyAlignment="1" applyProtection="1">
      <alignment horizontal="center" vertical="top" wrapText="1"/>
      <protection hidden="1"/>
    </xf>
    <xf numFmtId="0" fontId="25" fillId="0" borderId="0" xfId="5" applyFont="1" applyAlignment="1" applyProtection="1">
      <alignment horizontal="center" vertical="top"/>
      <protection hidden="1"/>
    </xf>
    <xf numFmtId="0" fontId="51" fillId="10" borderId="5" xfId="5" applyFont="1" applyFill="1" applyBorder="1" applyAlignment="1">
      <alignment horizontal="center"/>
    </xf>
  </cellXfs>
  <cellStyles count="62">
    <cellStyle name="Array" xfId="7" xr:uid="{00000000-0005-0000-0000-000000000000}"/>
    <cellStyle name="Array Enter" xfId="8" xr:uid="{00000000-0005-0000-0000-000001000000}"/>
    <cellStyle name="Collegamento ipertestuale" xfId="9" xr:uid="{00000000-0005-0000-0000-000002000000}"/>
    <cellStyle name="Comma 2" xfId="10" xr:uid="{00000000-0005-0000-0000-000004000000}"/>
    <cellStyle name="Comma 3" xfId="11" xr:uid="{00000000-0005-0000-0000-000005000000}"/>
    <cellStyle name="Design" xfId="12" xr:uid="{00000000-0005-0000-0000-000006000000}"/>
    <cellStyle name="Grey" xfId="13" xr:uid="{00000000-0005-0000-0000-000007000000}"/>
    <cellStyle name="Hiperlink" xfId="61" builtinId="8"/>
    <cellStyle name="Hyperlink seguido" xfId="14" xr:uid="{00000000-0005-0000-0000-000008000000}"/>
    <cellStyle name="Indefinido" xfId="15" xr:uid="{00000000-0005-0000-0000-000009000000}"/>
    <cellStyle name="Input (%)" xfId="16" xr:uid="{00000000-0005-0000-0000-00000A000000}"/>
    <cellStyle name="Input (£m)" xfId="17" xr:uid="{00000000-0005-0000-0000-00000B000000}"/>
    <cellStyle name="Input (No)" xfId="18" xr:uid="{00000000-0005-0000-0000-00000C000000}"/>
    <cellStyle name="Input [yellow]" xfId="19" xr:uid="{00000000-0005-0000-0000-00000D000000}"/>
    <cellStyle name="MacroCode" xfId="20" xr:uid="{00000000-0005-0000-0000-00000E000000}"/>
    <cellStyle name="Migliaia (0)_Copia di (TOTOUTST 1)" xfId="21" xr:uid="{00000000-0005-0000-0000-00000F000000}"/>
    <cellStyle name="Migliaia_Capital Expenditures" xfId="22" xr:uid="{00000000-0005-0000-0000-000010000000}"/>
    <cellStyle name="Mike" xfId="23" xr:uid="{00000000-0005-0000-0000-000011000000}"/>
    <cellStyle name="Moeda 2" xfId="60" xr:uid="{1FFBFE72-4604-4B99-ACEA-2C40D9BB3176}"/>
    <cellStyle name="no dec" xfId="24" xr:uid="{00000000-0005-0000-0000-000012000000}"/>
    <cellStyle name="Normal" xfId="0" builtinId="0"/>
    <cellStyle name="Normal - Style1" xfId="5" xr:uid="{00000000-0005-0000-0000-000014000000}"/>
    <cellStyle name="Normal (%)" xfId="25" xr:uid="{00000000-0005-0000-0000-000015000000}"/>
    <cellStyle name="Normal (£m)" xfId="26" xr:uid="{00000000-0005-0000-0000-000016000000}"/>
    <cellStyle name="Normal (No)" xfId="27" xr:uid="{00000000-0005-0000-0000-000017000000}"/>
    <cellStyle name="Normal (x)" xfId="28" xr:uid="{00000000-0005-0000-0000-000018000000}"/>
    <cellStyle name="Normal 10" xfId="29" xr:uid="{00000000-0005-0000-0000-000019000000}"/>
    <cellStyle name="Normal 11" xfId="2" xr:uid="{00000000-0005-0000-0000-00001A000000}"/>
    <cellStyle name="Normal 12" xfId="30" xr:uid="{00000000-0005-0000-0000-00001B000000}"/>
    <cellStyle name="Normal 13" xfId="59" xr:uid="{C06D3F73-882D-450C-8BD9-0F89837E8202}"/>
    <cellStyle name="Normal 2" xfId="3" xr:uid="{00000000-0005-0000-0000-00001C000000}"/>
    <cellStyle name="Normal 2 2" xfId="31" xr:uid="{00000000-0005-0000-0000-00001D000000}"/>
    <cellStyle name="Normal 3" xfId="32" xr:uid="{00000000-0005-0000-0000-00001E000000}"/>
    <cellStyle name="Normal 3 2" xfId="33" xr:uid="{00000000-0005-0000-0000-00001F000000}"/>
    <cellStyle name="Normal 4" xfId="34" xr:uid="{00000000-0005-0000-0000-000020000000}"/>
    <cellStyle name="Normal 5" xfId="35" xr:uid="{00000000-0005-0000-0000-000021000000}"/>
    <cellStyle name="Normal 5 2" xfId="58" xr:uid="{2B567E4F-5C72-4B13-B7E7-4C0239C8DB68}"/>
    <cellStyle name="Normal 6" xfId="36" xr:uid="{00000000-0005-0000-0000-000022000000}"/>
    <cellStyle name="Normal 7" xfId="37" xr:uid="{00000000-0005-0000-0000-000023000000}"/>
    <cellStyle name="Normal 8" xfId="38" xr:uid="{00000000-0005-0000-0000-000024000000}"/>
    <cellStyle name="Normal 9" xfId="39" xr:uid="{00000000-0005-0000-0000-000025000000}"/>
    <cellStyle name="Normale_ cellular Costs" xfId="40" xr:uid="{00000000-0005-0000-0000-000026000000}"/>
    <cellStyle name="Nota 2" xfId="41" xr:uid="{00000000-0005-0000-0000-000027000000}"/>
    <cellStyle name="Nota 3" xfId="42" xr:uid="{00000000-0005-0000-0000-000028000000}"/>
    <cellStyle name="Nota 4" xfId="43" xr:uid="{00000000-0005-0000-0000-000029000000}"/>
    <cellStyle name="Nota 5" xfId="44" xr:uid="{00000000-0005-0000-0000-00002A000000}"/>
    <cellStyle name="Nota 6" xfId="45" xr:uid="{00000000-0005-0000-0000-00002B000000}"/>
    <cellStyle name="Objective" xfId="46" xr:uid="{00000000-0005-0000-0000-00002C000000}"/>
    <cellStyle name="Percent [2]" xfId="47" xr:uid="{00000000-0005-0000-0000-00002E000000}"/>
    <cellStyle name="Percent 2" xfId="48" xr:uid="{00000000-0005-0000-0000-00002F000000}"/>
    <cellStyle name="Percent 2 2" xfId="6" xr:uid="{00000000-0005-0000-0000-000030000000}"/>
    <cellStyle name="Porcentagem" xfId="4" builtinId="5"/>
    <cellStyle name="Punto0" xfId="49" xr:uid="{00000000-0005-0000-0000-000031000000}"/>
    <cellStyle name="Red Text" xfId="50" xr:uid="{00000000-0005-0000-0000-000032000000}"/>
    <cellStyle name="Separador de milhares 2" xfId="51" xr:uid="{00000000-0005-0000-0000-000033000000}"/>
    <cellStyle name="Separador de milhares 3" xfId="52" xr:uid="{00000000-0005-0000-0000-000034000000}"/>
    <cellStyle name="Separador de milhares 4" xfId="53" xr:uid="{00000000-0005-0000-0000-000035000000}"/>
    <cellStyle name="Style 1" xfId="54" xr:uid="{00000000-0005-0000-0000-000036000000}"/>
    <cellStyle name="TopGrey" xfId="55" xr:uid="{00000000-0005-0000-0000-000037000000}"/>
    <cellStyle name="Valuta (0)_ cellular Costs" xfId="56" xr:uid="{00000000-0005-0000-0000-000038000000}"/>
    <cellStyle name="Valuta_ cellular Costs" xfId="57" xr:uid="{00000000-0005-0000-0000-00003900000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6350</xdr:rowOff>
    </xdr:from>
    <xdr:to>
      <xdr:col>4</xdr:col>
      <xdr:colOff>464255</xdr:colOff>
      <xdr:row>6</xdr:row>
      <xdr:rowOff>57511</xdr:rowOff>
    </xdr:to>
    <xdr:pic>
      <xdr:nvPicPr>
        <xdr:cNvPr id="2" name="Imagem 1">
          <a:extLst>
            <a:ext uri="{FF2B5EF4-FFF2-40B4-BE49-F238E27FC236}">
              <a16:creationId xmlns:a16="http://schemas.microsoft.com/office/drawing/2014/main" id="{25E26781-CB5E-4C94-9801-97840D7A9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6350"/>
          <a:ext cx="2293055" cy="1003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378179</xdr:colOff>
      <xdr:row>0</xdr:row>
      <xdr:rowOff>76201</xdr:rowOff>
    </xdr:from>
    <xdr:to>
      <xdr:col>3</xdr:col>
      <xdr:colOff>79940</xdr:colOff>
      <xdr:row>0</xdr:row>
      <xdr:rowOff>1101240</xdr:rowOff>
    </xdr:to>
    <xdr:pic>
      <xdr:nvPicPr>
        <xdr:cNvPr id="3" name="Imagem 2">
          <a:extLst>
            <a:ext uri="{FF2B5EF4-FFF2-40B4-BE49-F238E27FC236}">
              <a16:creationId xmlns:a16="http://schemas.microsoft.com/office/drawing/2014/main" id="{822FCED2-175D-4060-9E0C-B8807A72E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79" y="76201"/>
          <a:ext cx="2260599" cy="1007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414338</xdr:colOff>
      <xdr:row>0</xdr:row>
      <xdr:rowOff>0</xdr:rowOff>
    </xdr:from>
    <xdr:to>
      <xdr:col>1</xdr:col>
      <xdr:colOff>2177803</xdr:colOff>
      <xdr:row>5</xdr:row>
      <xdr:rowOff>140061</xdr:rowOff>
    </xdr:to>
    <xdr:pic>
      <xdr:nvPicPr>
        <xdr:cNvPr id="2" name="Imagem 1">
          <a:extLst>
            <a:ext uri="{FF2B5EF4-FFF2-40B4-BE49-F238E27FC236}">
              <a16:creationId xmlns:a16="http://schemas.microsoft.com/office/drawing/2014/main" id="{EC733382-D311-4669-86FF-67CFDB5A3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8" y="0"/>
          <a:ext cx="2283530" cy="9973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3</xdr:col>
      <xdr:colOff>57855</xdr:colOff>
      <xdr:row>6</xdr:row>
      <xdr:rowOff>51161</xdr:rowOff>
    </xdr:to>
    <xdr:pic>
      <xdr:nvPicPr>
        <xdr:cNvPr id="2" name="Imagem 1">
          <a:extLst>
            <a:ext uri="{FF2B5EF4-FFF2-40B4-BE49-F238E27FC236}">
              <a16:creationId xmlns:a16="http://schemas.microsoft.com/office/drawing/2014/main" id="{38ECE31E-A85F-4D34-8DB4-2273DFE4E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250" y="0"/>
          <a:ext cx="2296230" cy="100366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ifac.org/system/files/downloads/a021-2010-iaasb-handbook-isa-450.pdf" TargetMode="External"/><Relationship Id="rId2" Type="http://schemas.openxmlformats.org/officeDocument/2006/relationships/hyperlink" Target="https://www.ifac.org/system/files/downloads/a018-2010-iaasb-handbook-isa-320.pdf" TargetMode="External"/><Relationship Id="rId1" Type="http://schemas.openxmlformats.org/officeDocument/2006/relationships/hyperlink" Target="http://www1.cfc.org.br/sisweb/sre/detalhes_sre.aspx?codigo=2016/NBCTA320(R1)%20/"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2E88-883D-4D48-895A-EE0F17681F20}">
  <dimension ref="B8:S23"/>
  <sheetViews>
    <sheetView showGridLines="0" zoomScale="80" zoomScaleNormal="80" workbookViewId="0">
      <selection activeCell="D20" sqref="D20"/>
    </sheetView>
  </sheetViews>
  <sheetFormatPr defaultRowHeight="13.2"/>
  <sheetData>
    <row r="8" spans="2:19" ht="14.4">
      <c r="B8" s="146" t="s">
        <v>0</v>
      </c>
      <c r="C8" s="146"/>
      <c r="D8" s="146"/>
      <c r="E8" s="146"/>
      <c r="F8" s="146"/>
      <c r="G8" s="146"/>
      <c r="H8" s="146"/>
      <c r="I8" s="146"/>
      <c r="J8" s="146"/>
      <c r="K8" s="146"/>
      <c r="L8" s="146"/>
      <c r="M8" s="146"/>
      <c r="N8" s="146"/>
      <c r="O8" s="146"/>
      <c r="P8" s="146"/>
      <c r="Q8" s="146"/>
      <c r="R8" s="146"/>
      <c r="S8" s="146"/>
    </row>
    <row r="9" spans="2:19" ht="64.95" customHeight="1">
      <c r="B9" s="147" t="s">
        <v>1</v>
      </c>
      <c r="C9" s="147"/>
      <c r="D9" s="147"/>
      <c r="E9" s="147"/>
      <c r="F9" s="147"/>
      <c r="G9" s="147"/>
      <c r="H9" s="147"/>
      <c r="I9" s="147"/>
      <c r="J9" s="147"/>
      <c r="K9" s="147"/>
      <c r="L9" s="147"/>
      <c r="M9" s="147"/>
      <c r="N9" s="147"/>
      <c r="O9" s="147"/>
      <c r="P9" s="147"/>
      <c r="Q9" s="147"/>
      <c r="R9" s="147"/>
      <c r="S9" s="147"/>
    </row>
    <row r="11" spans="2:19" ht="135.44999999999999" customHeight="1">
      <c r="B11" s="145" t="s">
        <v>2</v>
      </c>
      <c r="C11" s="145"/>
      <c r="D11" s="145"/>
      <c r="E11" s="145"/>
      <c r="F11" s="145"/>
      <c r="G11" s="145"/>
      <c r="H11" s="145"/>
      <c r="I11" s="145"/>
      <c r="J11" s="145"/>
      <c r="K11" s="145"/>
      <c r="L11" s="145"/>
      <c r="M11" s="145"/>
      <c r="N11" s="145"/>
      <c r="O11" s="145"/>
      <c r="P11" s="145"/>
      <c r="Q11" s="145"/>
      <c r="R11" s="145"/>
      <c r="S11" s="145"/>
    </row>
    <row r="13" spans="2:19" ht="142.5" customHeight="1">
      <c r="B13" s="145" t="s">
        <v>3</v>
      </c>
      <c r="C13" s="145"/>
      <c r="D13" s="145"/>
      <c r="E13" s="145"/>
      <c r="F13" s="145"/>
      <c r="G13" s="145"/>
      <c r="H13" s="145"/>
      <c r="I13" s="145"/>
      <c r="J13" s="145"/>
      <c r="K13" s="145"/>
      <c r="L13" s="145"/>
      <c r="M13" s="145"/>
      <c r="N13" s="145"/>
      <c r="O13" s="145"/>
      <c r="P13" s="145"/>
      <c r="Q13" s="145"/>
      <c r="R13" s="145"/>
      <c r="S13" s="145"/>
    </row>
    <row r="15" spans="2:19" ht="142.94999999999999" customHeight="1">
      <c r="B15" s="145" t="s">
        <v>4</v>
      </c>
      <c r="C15" s="145"/>
      <c r="D15" s="145"/>
      <c r="E15" s="145"/>
      <c r="F15" s="145"/>
      <c r="G15" s="145"/>
      <c r="H15" s="145"/>
      <c r="I15" s="145"/>
      <c r="J15" s="145"/>
      <c r="K15" s="145"/>
      <c r="L15" s="145"/>
      <c r="M15" s="145"/>
      <c r="N15" s="145"/>
      <c r="O15" s="145"/>
      <c r="P15" s="145"/>
      <c r="Q15" s="145"/>
      <c r="R15" s="145"/>
      <c r="S15" s="145"/>
    </row>
    <row r="17" spans="2:19" ht="171.45" customHeight="1">
      <c r="B17" s="145" t="s">
        <v>5</v>
      </c>
      <c r="C17" s="145"/>
      <c r="D17" s="145"/>
      <c r="E17" s="145"/>
      <c r="F17" s="145"/>
      <c r="G17" s="145"/>
      <c r="H17" s="145"/>
      <c r="I17" s="145"/>
      <c r="J17" s="145"/>
      <c r="K17" s="145"/>
      <c r="L17" s="145"/>
      <c r="M17" s="145"/>
      <c r="N17" s="145"/>
      <c r="O17" s="145"/>
      <c r="P17" s="145"/>
      <c r="Q17" s="145"/>
      <c r="R17" s="145"/>
      <c r="S17" s="145"/>
    </row>
    <row r="19" spans="2:19" ht="161.69999999999999" customHeight="1">
      <c r="B19" s="145" t="s">
        <v>6</v>
      </c>
      <c r="C19" s="145"/>
      <c r="D19" s="145"/>
      <c r="E19" s="145"/>
      <c r="F19" s="145"/>
      <c r="G19" s="145"/>
      <c r="H19" s="145"/>
      <c r="I19" s="145"/>
      <c r="J19" s="145"/>
      <c r="K19" s="145"/>
      <c r="L19" s="145"/>
      <c r="M19" s="145"/>
      <c r="N19" s="145"/>
      <c r="O19" s="145"/>
      <c r="P19" s="145"/>
      <c r="Q19" s="145"/>
      <c r="R19" s="145"/>
      <c r="S19" s="145"/>
    </row>
    <row r="21" spans="2:19" ht="157.94999999999999" customHeight="1">
      <c r="B21" s="145" t="s">
        <v>7</v>
      </c>
      <c r="C21" s="145"/>
      <c r="D21" s="145"/>
      <c r="E21" s="145"/>
      <c r="F21" s="145"/>
      <c r="G21" s="145"/>
      <c r="H21" s="145"/>
      <c r="I21" s="145"/>
      <c r="J21" s="145"/>
      <c r="K21" s="145"/>
      <c r="L21" s="145"/>
      <c r="M21" s="145"/>
      <c r="N21" s="145"/>
      <c r="O21" s="145"/>
      <c r="P21" s="145"/>
      <c r="Q21" s="145"/>
      <c r="R21" s="145"/>
      <c r="S21" s="145"/>
    </row>
    <row r="23" spans="2:19" ht="172.95" customHeight="1">
      <c r="B23" s="145" t="s">
        <v>8</v>
      </c>
      <c r="C23" s="145"/>
      <c r="D23" s="145"/>
      <c r="E23" s="145"/>
      <c r="F23" s="145"/>
      <c r="G23" s="145"/>
      <c r="H23" s="145"/>
      <c r="I23" s="145"/>
      <c r="J23" s="145"/>
      <c r="K23" s="145"/>
      <c r="L23" s="145"/>
      <c r="M23" s="145"/>
      <c r="N23" s="145"/>
      <c r="O23" s="145"/>
      <c r="P23" s="145"/>
      <c r="Q23" s="145"/>
      <c r="R23" s="145"/>
      <c r="S23" s="145"/>
    </row>
  </sheetData>
  <mergeCells count="9">
    <mergeCell ref="B17:S17"/>
    <mergeCell ref="B19:S19"/>
    <mergeCell ref="B21:S21"/>
    <mergeCell ref="B23:S23"/>
    <mergeCell ref="B8:S8"/>
    <mergeCell ref="B9:S9"/>
    <mergeCell ref="B11:S11"/>
    <mergeCell ref="B13:S13"/>
    <mergeCell ref="B15:S1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showGridLines="0" tabSelected="1" topLeftCell="A11" zoomScale="90" zoomScaleNormal="90" workbookViewId="0">
      <selection activeCell="B19" sqref="B19:K19"/>
    </sheetView>
  </sheetViews>
  <sheetFormatPr defaultColWidth="9.33203125" defaultRowHeight="14.4"/>
  <cols>
    <col min="1" max="1" width="5.6640625" style="1" bestFit="1" customWidth="1"/>
    <col min="2" max="2" width="14.33203125" style="1" customWidth="1"/>
    <col min="3" max="3" width="17.33203125" style="1" customWidth="1"/>
    <col min="4" max="4" width="15.6640625" style="1" customWidth="1"/>
    <col min="5" max="5" width="13.6640625" style="1" customWidth="1"/>
    <col min="6" max="6" width="8.33203125" style="1" customWidth="1"/>
    <col min="7" max="7" width="13.6640625" style="1" customWidth="1"/>
    <col min="8" max="8" width="18.5546875" style="1" bestFit="1" customWidth="1"/>
    <col min="9" max="9" width="4.33203125" style="1" bestFit="1" customWidth="1"/>
    <col min="10" max="10" width="3" style="1" customWidth="1"/>
    <col min="11" max="11" width="14.6640625" style="1" bestFit="1" customWidth="1"/>
    <col min="12" max="16384" width="9.33203125" style="1"/>
  </cols>
  <sheetData>
    <row r="1" spans="1:9" ht="91.2" customHeight="1">
      <c r="B1" s="50"/>
      <c r="C1" s="2"/>
      <c r="D1" s="2"/>
      <c r="E1" s="2"/>
      <c r="F1" s="2"/>
      <c r="G1" s="59"/>
      <c r="H1" s="17"/>
    </row>
    <row r="2" spans="1:9" ht="16.2">
      <c r="B2" s="30" t="s">
        <v>111</v>
      </c>
      <c r="C2" s="9"/>
      <c r="D2" s="3"/>
      <c r="E2" s="10"/>
      <c r="F2" s="10"/>
      <c r="G2" s="11"/>
      <c r="H2" s="12"/>
    </row>
    <row r="3" spans="1:9" ht="16.2">
      <c r="B3" s="31" t="s">
        <v>9</v>
      </c>
      <c r="C3" s="9"/>
      <c r="D3" s="3"/>
      <c r="E3" s="10"/>
      <c r="F3" s="10"/>
      <c r="G3" s="11"/>
      <c r="H3" s="12"/>
    </row>
    <row r="4" spans="1:9" ht="16.2">
      <c r="B4" s="31" t="s">
        <v>112</v>
      </c>
      <c r="C4" s="9"/>
      <c r="D4" s="3"/>
      <c r="E4" s="10"/>
      <c r="F4" s="10"/>
      <c r="G4" s="11"/>
      <c r="H4" s="12"/>
    </row>
    <row r="5" spans="1:9" ht="16.2">
      <c r="B5" s="32" t="s">
        <v>10</v>
      </c>
      <c r="C5" s="9"/>
      <c r="D5" s="3"/>
      <c r="E5" s="10"/>
      <c r="F5" s="10"/>
      <c r="G5" s="11"/>
      <c r="H5" s="12"/>
    </row>
    <row r="6" spans="1:9" ht="16.2">
      <c r="B6" s="13"/>
      <c r="C6" s="9"/>
      <c r="D6" s="3"/>
      <c r="E6" s="10"/>
      <c r="F6" s="10"/>
      <c r="G6" s="11"/>
      <c r="H6" s="12"/>
      <c r="I6" s="23"/>
    </row>
    <row r="7" spans="1:9" s="22" customFormat="1" ht="15">
      <c r="A7" s="21"/>
      <c r="B7" s="53" t="s">
        <v>11</v>
      </c>
      <c r="C7" s="52"/>
      <c r="D7" s="52"/>
      <c r="E7" s="52"/>
      <c r="F7" s="52"/>
      <c r="G7" s="52"/>
      <c r="H7" s="52"/>
      <c r="I7" s="24"/>
    </row>
    <row r="8" spans="1:9" s="22" customFormat="1" ht="48" customHeight="1">
      <c r="A8" s="21"/>
      <c r="B8" s="157" t="str">
        <f>CONCATENATE("Calcular a materiality (M), performance materiality (PM) e AMPT para os trabalhos de auditoria da"&amp;" "&amp;B2&amp;", considerando os critérios elencados na NBC TA 320 (R1) [DOU 05/09/16] - Materialidade no Planejamento e na Execução da Auditoria - [ISA 320]  para escolha do melhor benchmark.")</f>
        <v>Calcular a materiality (M), performance materiality (PM) e AMPT para os trabalhos de auditoria da S3 Saude, considerando os critérios elencados na NBC TA 320 (R1) [DOU 05/09/16] - Materialidade no Planejamento e na Execução da Auditoria - [ISA 320]  para escolha do melhor benchmark.</v>
      </c>
      <c r="C8" s="157"/>
      <c r="D8" s="157"/>
      <c r="E8" s="157"/>
      <c r="F8" s="157"/>
      <c r="G8" s="157"/>
      <c r="H8" s="157"/>
      <c r="I8" s="28"/>
    </row>
    <row r="9" spans="1:9" s="22" customFormat="1" ht="15">
      <c r="B9" s="51" t="s">
        <v>12</v>
      </c>
      <c r="C9" s="25"/>
      <c r="D9" s="25"/>
      <c r="E9" s="25"/>
      <c r="F9" s="56" t="s">
        <v>13</v>
      </c>
      <c r="G9" s="57"/>
      <c r="H9" s="25"/>
      <c r="I9" s="25"/>
    </row>
    <row r="10" spans="1:9" s="22" customFormat="1" ht="15">
      <c r="B10" s="51" t="s">
        <v>14</v>
      </c>
      <c r="C10" s="25"/>
      <c r="D10" s="25"/>
      <c r="E10" s="25"/>
      <c r="F10" s="21" t="s">
        <v>15</v>
      </c>
      <c r="G10" s="25"/>
      <c r="H10" s="25"/>
      <c r="I10" s="25"/>
    </row>
    <row r="11" spans="1:9" s="22" customFormat="1" ht="15">
      <c r="B11" s="51" t="s">
        <v>16</v>
      </c>
      <c r="C11" s="25"/>
      <c r="D11" s="25"/>
      <c r="E11" s="25"/>
      <c r="F11" s="21" t="s">
        <v>17</v>
      </c>
      <c r="G11" s="25"/>
      <c r="H11" s="25"/>
      <c r="I11" s="25"/>
    </row>
    <row r="12" spans="1:9" s="22" customFormat="1" ht="15">
      <c r="A12" s="21"/>
      <c r="B12" s="53" t="s">
        <v>18</v>
      </c>
      <c r="C12" s="52"/>
      <c r="D12" s="52"/>
      <c r="E12" s="52"/>
      <c r="F12" s="52"/>
      <c r="G12" s="52"/>
      <c r="H12" s="52"/>
      <c r="I12" s="24"/>
    </row>
    <row r="13" spans="1:9" s="22" customFormat="1" ht="15.6">
      <c r="A13" s="21"/>
      <c r="B13" s="38" t="s">
        <v>19</v>
      </c>
      <c r="C13" s="26"/>
      <c r="D13" s="24"/>
      <c r="E13" s="26"/>
      <c r="F13" s="26"/>
      <c r="G13" s="26"/>
      <c r="H13" s="24"/>
      <c r="I13" s="24"/>
    </row>
    <row r="14" spans="1:9" s="22" customFormat="1" ht="15.6">
      <c r="A14" s="21"/>
      <c r="B14" s="38" t="s">
        <v>20</v>
      </c>
      <c r="C14" s="26"/>
      <c r="D14" s="24"/>
      <c r="E14" s="26"/>
      <c r="F14" s="26"/>
      <c r="G14" s="26"/>
      <c r="H14" s="24"/>
      <c r="I14" s="24"/>
    </row>
    <row r="15" spans="1:9" s="22" customFormat="1" ht="15">
      <c r="A15" s="21"/>
      <c r="B15" s="143" t="str">
        <f>CONCATENATE("Utilizamos como base o "&amp;CONCATENATE(B19)&amp;" registrada em"&amp;" "&amp;RIGHT(B4,10))</f>
        <v>Utilizamos como base o Total de receitas da S3 Saude registrada em 31/12/2023</v>
      </c>
      <c r="C15" s="27"/>
      <c r="D15" s="27"/>
      <c r="E15" s="27"/>
      <c r="F15" s="27"/>
      <c r="G15" s="27"/>
      <c r="H15" s="27"/>
      <c r="I15" s="27"/>
    </row>
    <row r="16" spans="1:9" s="22" customFormat="1" ht="15">
      <c r="A16" s="21"/>
      <c r="B16" s="38" t="s">
        <v>21</v>
      </c>
      <c r="C16" s="27"/>
      <c r="D16" s="27"/>
      <c r="E16" s="27"/>
      <c r="F16" s="27"/>
      <c r="G16" s="27"/>
      <c r="H16" s="27"/>
      <c r="I16" s="27"/>
    </row>
    <row r="17" spans="1:13" s="22" customFormat="1" ht="15.6">
      <c r="A17" s="21"/>
      <c r="B17" s="29"/>
      <c r="C17" s="27"/>
      <c r="D17" s="27"/>
      <c r="E17" s="27"/>
      <c r="F17" s="27"/>
      <c r="G17" s="27"/>
      <c r="H17" s="27"/>
      <c r="I17" s="27"/>
    </row>
    <row r="18" spans="1:13" s="22" customFormat="1" ht="15.6">
      <c r="A18" s="21"/>
      <c r="B18" s="29"/>
      <c r="C18" s="27"/>
      <c r="D18" s="27"/>
      <c r="E18" s="27"/>
      <c r="F18" s="27"/>
      <c r="G18" s="27"/>
      <c r="H18" s="27"/>
      <c r="I18" s="27"/>
    </row>
    <row r="19" spans="1:13" s="22" customFormat="1" ht="15.45" customHeight="1" thickBot="1">
      <c r="A19" s="21"/>
      <c r="B19" s="153" t="str">
        <f>CONCATENATE('% Benchmark'!B51&amp;" "&amp;"da "&amp;RIGHT(B2,50))</f>
        <v>Total de receitas da S3 Saude</v>
      </c>
      <c r="C19" s="153"/>
      <c r="D19" s="153"/>
      <c r="E19" s="153"/>
      <c r="F19" s="153"/>
      <c r="G19" s="153"/>
      <c r="H19" s="153"/>
      <c r="I19" s="153"/>
      <c r="J19" s="153"/>
      <c r="K19" s="153"/>
    </row>
    <row r="20" spans="1:13" ht="16.2" thickBot="1">
      <c r="B20" s="4"/>
      <c r="C20" s="4"/>
      <c r="D20" s="4"/>
      <c r="E20" s="4"/>
      <c r="F20" s="4"/>
      <c r="G20" s="4"/>
      <c r="H20" s="4"/>
      <c r="K20" s="35" t="s">
        <v>22</v>
      </c>
    </row>
    <row r="21" spans="1:13" ht="42" customHeight="1" thickBot="1">
      <c r="B21" s="153" t="s">
        <v>23</v>
      </c>
      <c r="C21" s="153"/>
      <c r="D21" s="154" t="str">
        <f>CONCATENATE("Periodo do Planejamento - Real"&amp;" "&amp;LEFT(RIGHT(B4,10),8)&amp;RIGHT(B4,2)-1)</f>
        <v>Periodo do Planejamento - Real 31/12/2022</v>
      </c>
      <c r="E21" s="153"/>
      <c r="F21" s="8"/>
      <c r="G21" s="154" t="str">
        <f>CONCATENATE("Período do planejamento - Real"&amp;" "&amp;RIGHT(B4,10))</f>
        <v>Período do planejamento - Real 31/12/2023</v>
      </c>
      <c r="H21" s="153"/>
      <c r="I21" s="61"/>
      <c r="K21" s="62" t="str">
        <f>CONCATENATE("∆ % 
Dez/"&amp;""&amp;RIGHT(B4,2)-1)&amp;"- Dez/"&amp;""&amp;RIGHT(B4,2)</f>
        <v>∆ % 
Dez/22- Dez/23</v>
      </c>
    </row>
    <row r="22" spans="1:13" ht="15.75" customHeight="1" thickBot="1">
      <c r="B22" s="155" t="s">
        <v>24</v>
      </c>
      <c r="C22" s="156"/>
      <c r="D22" s="151">
        <v>1402695.6</v>
      </c>
      <c r="E22" s="152"/>
      <c r="F22" s="14" t="s">
        <v>25</v>
      </c>
      <c r="G22" s="159">
        <v>1502520676.8099999</v>
      </c>
      <c r="H22" s="160"/>
      <c r="I22" s="144" t="s">
        <v>26</v>
      </c>
      <c r="K22" s="36">
        <f>IFERROR((G22/D22-1),0)</f>
        <v>1070.1666000877167</v>
      </c>
    </row>
    <row r="23" spans="1:13" ht="15.75" customHeight="1" thickBot="1">
      <c r="B23" s="48" t="s">
        <v>27</v>
      </c>
      <c r="C23" s="49" t="s">
        <v>27</v>
      </c>
      <c r="D23" s="151">
        <v>0</v>
      </c>
      <c r="E23" s="152"/>
      <c r="F23" s="14" t="s">
        <v>25</v>
      </c>
      <c r="G23" s="151">
        <v>0</v>
      </c>
      <c r="H23" s="152"/>
      <c r="I23" s="144" t="s">
        <v>26</v>
      </c>
      <c r="K23" s="36">
        <f>IFERROR((G23/D23-1),0)</f>
        <v>0</v>
      </c>
    </row>
    <row r="24" spans="1:13" ht="15.75" customHeight="1" thickBot="1">
      <c r="B24" s="155" t="s">
        <v>28</v>
      </c>
      <c r="C24" s="156"/>
      <c r="D24" s="151">
        <f>D22-D23</f>
        <v>1402695.6</v>
      </c>
      <c r="E24" s="152"/>
      <c r="F24" s="14" t="s">
        <v>25</v>
      </c>
      <c r="G24" s="151">
        <f>G22-G23</f>
        <v>1502520676.8099999</v>
      </c>
      <c r="H24" s="152"/>
      <c r="I24" s="144" t="s">
        <v>22</v>
      </c>
      <c r="J24" s="33"/>
      <c r="K24" s="36">
        <f>IFERROR((G24/D24-1),0)</f>
        <v>1070.1666000877167</v>
      </c>
    </row>
    <row r="25" spans="1:13" ht="15.75" customHeight="1" thickBot="1">
      <c r="B25" s="155" t="s">
        <v>29</v>
      </c>
      <c r="C25" s="156"/>
      <c r="D25" s="151">
        <f>D24*$E$27</f>
        <v>17561.748912000003</v>
      </c>
      <c r="E25" s="152"/>
      <c r="F25" s="14" t="s">
        <v>25</v>
      </c>
      <c r="G25" s="151">
        <f>G24*$E$27</f>
        <v>18811558.873661198</v>
      </c>
      <c r="H25" s="152"/>
      <c r="I25" s="144" t="s">
        <v>22</v>
      </c>
      <c r="J25" s="33"/>
      <c r="K25" s="36">
        <f>IFERROR((G25/D25-1),0)</f>
        <v>1070.1666000877165</v>
      </c>
    </row>
    <row r="26" spans="1:13" ht="16.2" thickBot="1">
      <c r="B26" s="4"/>
      <c r="C26" s="4"/>
      <c r="D26" s="4"/>
      <c r="E26" s="4"/>
      <c r="F26" s="4"/>
      <c r="G26" s="4"/>
      <c r="H26" s="4"/>
    </row>
    <row r="27" spans="1:13" ht="15" customHeight="1" thickBot="1">
      <c r="B27" s="161" t="s">
        <v>30</v>
      </c>
      <c r="C27" s="161"/>
      <c r="D27" s="161"/>
      <c r="E27" s="72">
        <f>'% Benchmark'!C51</f>
        <v>1.252E-2</v>
      </c>
      <c r="F27" s="34"/>
      <c r="G27" s="149">
        <f>G25</f>
        <v>18811558.873661198</v>
      </c>
      <c r="H27" s="150"/>
      <c r="I27" s="14" t="s">
        <v>22</v>
      </c>
      <c r="K27" s="149">
        <v>19000000</v>
      </c>
      <c r="L27" s="150"/>
      <c r="M27" s="14" t="s">
        <v>31</v>
      </c>
    </row>
    <row r="28" spans="1:13" ht="16.5" customHeight="1" thickBot="1">
      <c r="B28" s="5"/>
      <c r="C28" s="5"/>
      <c r="D28" s="4"/>
      <c r="E28" s="15"/>
      <c r="F28" s="4"/>
      <c r="G28" s="142"/>
      <c r="H28" s="142"/>
      <c r="K28" s="142"/>
      <c r="L28" s="142"/>
    </row>
    <row r="29" spans="1:13" ht="15" customHeight="1" thickBot="1">
      <c r="B29" s="161" t="s">
        <v>32</v>
      </c>
      <c r="C29" s="161"/>
      <c r="D29" s="161"/>
      <c r="E29" s="16">
        <f>'% Benchmark'!C63</f>
        <v>0.57501999999999998</v>
      </c>
      <c r="F29" s="5"/>
      <c r="G29" s="149">
        <f>G27*E29</f>
        <v>10817022.583532661</v>
      </c>
      <c r="H29" s="150"/>
      <c r="I29" s="14" t="s">
        <v>22</v>
      </c>
      <c r="K29" s="149">
        <v>11000000</v>
      </c>
      <c r="L29" s="150"/>
      <c r="M29" s="14" t="s">
        <v>31</v>
      </c>
    </row>
    <row r="30" spans="1:13" ht="16.5" customHeight="1" thickBot="1">
      <c r="B30" s="5"/>
      <c r="C30" s="5"/>
      <c r="D30" s="4"/>
      <c r="E30" s="15"/>
      <c r="F30" s="4"/>
      <c r="G30" s="142"/>
      <c r="H30" s="142"/>
      <c r="K30" s="142"/>
      <c r="L30" s="142"/>
    </row>
    <row r="31" spans="1:13" ht="15" customHeight="1" thickBot="1">
      <c r="B31" s="161" t="s">
        <v>33</v>
      </c>
      <c r="C31" s="161"/>
      <c r="D31" s="161"/>
      <c r="E31" s="72">
        <f>'% Benchmark'!D51</f>
        <v>3.6019999999999996E-2</v>
      </c>
      <c r="F31" s="5"/>
      <c r="G31" s="149">
        <f>G27*E31</f>
        <v>677592.35062927625</v>
      </c>
      <c r="H31" s="150"/>
      <c r="I31" s="14" t="s">
        <v>22</v>
      </c>
      <c r="K31" s="149">
        <v>700000</v>
      </c>
      <c r="L31" s="150"/>
      <c r="M31" s="14" t="s">
        <v>31</v>
      </c>
    </row>
    <row r="32" spans="1:13" ht="15" customHeight="1">
      <c r="B32" s="5"/>
      <c r="C32" s="5"/>
      <c r="D32" s="5"/>
      <c r="E32" s="5"/>
      <c r="F32" s="5"/>
      <c r="G32" s="7"/>
      <c r="H32" s="7"/>
    </row>
    <row r="33" spans="1:12" ht="16.2">
      <c r="B33" s="5"/>
      <c r="C33" s="5"/>
      <c r="D33" s="5"/>
      <c r="E33" s="2"/>
      <c r="F33" s="2"/>
      <c r="G33" s="2"/>
      <c r="H33" s="2"/>
    </row>
    <row r="34" spans="1:12" ht="16.2">
      <c r="B34" s="5"/>
      <c r="C34" s="5"/>
      <c r="D34" s="5"/>
      <c r="E34" s="2"/>
      <c r="F34" s="2"/>
      <c r="G34" s="2"/>
      <c r="H34" s="2"/>
    </row>
    <row r="35" spans="1:12" ht="16.2">
      <c r="B35" s="19" t="s">
        <v>34</v>
      </c>
      <c r="C35" s="2"/>
      <c r="D35" s="2"/>
      <c r="E35" s="2"/>
      <c r="F35" s="2"/>
      <c r="G35" s="2"/>
      <c r="H35" s="2"/>
    </row>
    <row r="36" spans="1:12" ht="16.5" customHeight="1">
      <c r="A36" s="6"/>
      <c r="B36" s="162" t="str">
        <f>CONCATENATE("A entidade se enquadra nos critérios estabelecidos pelo NBC TA 320 (R1) [DOU 05/09/16] - Materialidade no Planejamento e na Execução da Auditoria - [ISA 320], e optamos por adotar para calculo da materialidade o"&amp;" "&amp;'% Benchmark'!B51&amp;" como benchmark.")</f>
        <v>A entidade se enquadra nos critérios estabelecidos pelo NBC TA 320 (R1) [DOU 05/09/16] - Materialidade no Planejamento e na Execução da Auditoria - [ISA 320], e optamos por adotar para calculo da materialidade o Total de receitas como benchmark.</v>
      </c>
      <c r="C36" s="162"/>
      <c r="D36" s="162"/>
      <c r="E36" s="162"/>
      <c r="F36" s="162"/>
      <c r="G36" s="162"/>
      <c r="H36" s="162"/>
      <c r="I36" s="162"/>
      <c r="J36" s="162"/>
      <c r="K36" s="162"/>
      <c r="L36" s="39"/>
    </row>
    <row r="37" spans="1:12" ht="18.75" customHeight="1">
      <c r="A37" s="6"/>
      <c r="B37" s="162"/>
      <c r="C37" s="162"/>
      <c r="D37" s="162"/>
      <c r="E37" s="162"/>
      <c r="F37" s="162"/>
      <c r="G37" s="162"/>
      <c r="H37" s="162"/>
      <c r="I37" s="162"/>
      <c r="J37" s="162"/>
      <c r="K37" s="162"/>
      <c r="L37" s="3"/>
    </row>
    <row r="38" spans="1:12" ht="60.75" customHeight="1">
      <c r="B38" s="148" t="s">
        <v>35</v>
      </c>
      <c r="C38" s="148"/>
      <c r="D38" s="148"/>
      <c r="E38" s="148"/>
      <c r="F38" s="148"/>
      <c r="G38" s="148"/>
      <c r="H38" s="148"/>
      <c r="I38" s="148"/>
      <c r="J38" s="148"/>
      <c r="K38" s="148"/>
      <c r="L38" s="3"/>
    </row>
    <row r="39" spans="1:12" ht="16.5" customHeight="1">
      <c r="A39" s="6"/>
      <c r="B39" s="158"/>
      <c r="C39" s="158"/>
      <c r="D39" s="158"/>
      <c r="E39" s="158"/>
      <c r="F39" s="158"/>
      <c r="G39" s="158"/>
      <c r="H39" s="158"/>
      <c r="I39" s="158"/>
      <c r="J39" s="158"/>
    </row>
    <row r="40" spans="1:12" ht="16.5" customHeight="1">
      <c r="A40" s="6"/>
      <c r="B40" s="158"/>
      <c r="C40" s="158"/>
      <c r="D40" s="158"/>
      <c r="E40" s="158"/>
      <c r="F40" s="158"/>
      <c r="G40" s="158"/>
      <c r="H40" s="158"/>
      <c r="I40" s="158"/>
      <c r="J40" s="158"/>
    </row>
    <row r="41" spans="1:12" ht="16.5" customHeight="1">
      <c r="B41" s="18"/>
      <c r="C41" s="18"/>
      <c r="D41" s="18"/>
      <c r="E41" s="18"/>
      <c r="F41" s="18"/>
      <c r="G41" s="18"/>
      <c r="H41" s="18"/>
    </row>
    <row r="42" spans="1:12" ht="15" customHeight="1">
      <c r="A42" s="19"/>
      <c r="B42" s="37" t="s">
        <v>36</v>
      </c>
      <c r="C42" s="2"/>
      <c r="D42" s="18"/>
      <c r="E42" s="18"/>
      <c r="F42" s="18"/>
      <c r="G42" s="18"/>
      <c r="H42" s="18"/>
    </row>
    <row r="43" spans="1:12" ht="16.2">
      <c r="A43" s="14" t="s">
        <v>37</v>
      </c>
      <c r="B43" s="20" t="s">
        <v>38</v>
      </c>
      <c r="C43" s="2"/>
    </row>
    <row r="44" spans="1:12" ht="16.2">
      <c r="A44" s="14" t="s">
        <v>39</v>
      </c>
      <c r="B44" s="20" t="s">
        <v>40</v>
      </c>
      <c r="C44" s="2"/>
    </row>
    <row r="45" spans="1:12" ht="16.2">
      <c r="A45" s="14" t="s">
        <v>41</v>
      </c>
      <c r="B45" s="20" t="s">
        <v>42</v>
      </c>
      <c r="C45" s="2"/>
    </row>
    <row r="46" spans="1:12" ht="16.2">
      <c r="A46" s="14" t="s">
        <v>31</v>
      </c>
      <c r="B46" s="20" t="s">
        <v>43</v>
      </c>
      <c r="C46" s="20"/>
    </row>
  </sheetData>
  <mergeCells count="28">
    <mergeCell ref="B8:H8"/>
    <mergeCell ref="B39:J40"/>
    <mergeCell ref="G22:H22"/>
    <mergeCell ref="B22:C22"/>
    <mergeCell ref="D22:E22"/>
    <mergeCell ref="G24:H24"/>
    <mergeCell ref="B31:D31"/>
    <mergeCell ref="G31:H31"/>
    <mergeCell ref="B29:D29"/>
    <mergeCell ref="G29:H29"/>
    <mergeCell ref="B27:D27"/>
    <mergeCell ref="B25:C25"/>
    <mergeCell ref="D25:E25"/>
    <mergeCell ref="B19:K19"/>
    <mergeCell ref="B36:K37"/>
    <mergeCell ref="D23:E23"/>
    <mergeCell ref="B38:K38"/>
    <mergeCell ref="K31:L31"/>
    <mergeCell ref="G27:H27"/>
    <mergeCell ref="D24:E24"/>
    <mergeCell ref="B21:C21"/>
    <mergeCell ref="D21:E21"/>
    <mergeCell ref="B24:C24"/>
    <mergeCell ref="G21:H21"/>
    <mergeCell ref="G23:H23"/>
    <mergeCell ref="G25:H25"/>
    <mergeCell ref="K27:L27"/>
    <mergeCell ref="K29:L29"/>
  </mergeCells>
  <phoneticPr fontId="0" type="noConversion"/>
  <hyperlinks>
    <hyperlink ref="B9" r:id="rId1" xr:uid="{EF61FD75-1289-41F5-845A-D47E3568CB6A}"/>
    <hyperlink ref="B10" r:id="rId2" xr:uid="{C01DC602-553A-4E6C-91AD-E2F7108F84F5}"/>
    <hyperlink ref="B11" r:id="rId3" xr:uid="{AE3A268F-A0BE-4E5A-B5DC-4AFFABDB1D35}"/>
  </hyperlinks>
  <pageMargins left="0.39370078740157483" right="0.39370078740157483" top="0.39370078740157483" bottom="0.39370078740157483" header="0.51181102362204722" footer="0.51181102362204722"/>
  <pageSetup paperSize="9" scale="61" fitToHeight="2" orientation="portrait" horizontalDpi="200" verticalDpi="200" r:id="rId4"/>
  <headerFooter alignWithMargins="0"/>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44915DDF-1C16-4295-B98E-AFA600DB8FF2}">
          <x14:formula1>
            <xm:f>'% Benchmark'!$B$15:$B$19</xm:f>
          </x14:formula1>
          <xm:sqref>B22:C22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9"/>
  <sheetViews>
    <sheetView showGridLines="0" zoomScale="80" zoomScaleNormal="80" workbookViewId="0">
      <selection activeCell="B32" sqref="B32:B37"/>
    </sheetView>
  </sheetViews>
  <sheetFormatPr defaultColWidth="33.44140625" defaultRowHeight="13.8"/>
  <cols>
    <col min="1" max="1" width="7.44140625" style="40" customWidth="1"/>
    <col min="2" max="2" width="98.5546875" style="40" customWidth="1"/>
    <col min="3" max="3" width="17.5546875" style="40" customWidth="1"/>
    <col min="4" max="4" width="21.5546875" style="40" customWidth="1"/>
    <col min="5" max="5" width="17" style="40" customWidth="1"/>
    <col min="6" max="6" width="5.5546875" style="40" customWidth="1"/>
    <col min="7" max="7" width="33.44140625" style="40"/>
    <col min="8" max="8" width="17.5546875" style="40" customWidth="1"/>
    <col min="9" max="256" width="33.44140625" style="40"/>
    <col min="257" max="257" width="7.44140625" style="40" customWidth="1"/>
    <col min="258" max="258" width="98.5546875" style="40" customWidth="1"/>
    <col min="259" max="259" width="17.5546875" style="40" customWidth="1"/>
    <col min="260" max="260" width="21.5546875" style="40" customWidth="1"/>
    <col min="261" max="261" width="17" style="40" customWidth="1"/>
    <col min="262" max="262" width="5.5546875" style="40" customWidth="1"/>
    <col min="263" max="263" width="33.44140625" style="40"/>
    <col min="264" max="264" width="17.5546875" style="40" customWidth="1"/>
    <col min="265" max="512" width="33.44140625" style="40"/>
    <col min="513" max="513" width="7.44140625" style="40" customWidth="1"/>
    <col min="514" max="514" width="98.5546875" style="40" customWidth="1"/>
    <col min="515" max="515" width="17.5546875" style="40" customWidth="1"/>
    <col min="516" max="516" width="21.5546875" style="40" customWidth="1"/>
    <col min="517" max="517" width="17" style="40" customWidth="1"/>
    <col min="518" max="518" width="5.5546875" style="40" customWidth="1"/>
    <col min="519" max="519" width="33.44140625" style="40"/>
    <col min="520" max="520" width="17.5546875" style="40" customWidth="1"/>
    <col min="521" max="768" width="33.44140625" style="40"/>
    <col min="769" max="769" width="7.44140625" style="40" customWidth="1"/>
    <col min="770" max="770" width="98.5546875" style="40" customWidth="1"/>
    <col min="771" max="771" width="17.5546875" style="40" customWidth="1"/>
    <col min="772" max="772" width="21.5546875" style="40" customWidth="1"/>
    <col min="773" max="773" width="17" style="40" customWidth="1"/>
    <col min="774" max="774" width="5.5546875" style="40" customWidth="1"/>
    <col min="775" max="775" width="33.44140625" style="40"/>
    <col min="776" max="776" width="17.5546875" style="40" customWidth="1"/>
    <col min="777" max="1024" width="33.44140625" style="40"/>
    <col min="1025" max="1025" width="7.44140625" style="40" customWidth="1"/>
    <col min="1026" max="1026" width="98.5546875" style="40" customWidth="1"/>
    <col min="1027" max="1027" width="17.5546875" style="40" customWidth="1"/>
    <col min="1028" max="1028" width="21.5546875" style="40" customWidth="1"/>
    <col min="1029" max="1029" width="17" style="40" customWidth="1"/>
    <col min="1030" max="1030" width="5.5546875" style="40" customWidth="1"/>
    <col min="1031" max="1031" width="33.44140625" style="40"/>
    <col min="1032" max="1032" width="17.5546875" style="40" customWidth="1"/>
    <col min="1033" max="1280" width="33.44140625" style="40"/>
    <col min="1281" max="1281" width="7.44140625" style="40" customWidth="1"/>
    <col min="1282" max="1282" width="98.5546875" style="40" customWidth="1"/>
    <col min="1283" max="1283" width="17.5546875" style="40" customWidth="1"/>
    <col min="1284" max="1284" width="21.5546875" style="40" customWidth="1"/>
    <col min="1285" max="1285" width="17" style="40" customWidth="1"/>
    <col min="1286" max="1286" width="5.5546875" style="40" customWidth="1"/>
    <col min="1287" max="1287" width="33.44140625" style="40"/>
    <col min="1288" max="1288" width="17.5546875" style="40" customWidth="1"/>
    <col min="1289" max="1536" width="33.44140625" style="40"/>
    <col min="1537" max="1537" width="7.44140625" style="40" customWidth="1"/>
    <col min="1538" max="1538" width="98.5546875" style="40" customWidth="1"/>
    <col min="1539" max="1539" width="17.5546875" style="40" customWidth="1"/>
    <col min="1540" max="1540" width="21.5546875" style="40" customWidth="1"/>
    <col min="1541" max="1541" width="17" style="40" customWidth="1"/>
    <col min="1542" max="1542" width="5.5546875" style="40" customWidth="1"/>
    <col min="1543" max="1543" width="33.44140625" style="40"/>
    <col min="1544" max="1544" width="17.5546875" style="40" customWidth="1"/>
    <col min="1545" max="1792" width="33.44140625" style="40"/>
    <col min="1793" max="1793" width="7.44140625" style="40" customWidth="1"/>
    <col min="1794" max="1794" width="98.5546875" style="40" customWidth="1"/>
    <col min="1795" max="1795" width="17.5546875" style="40" customWidth="1"/>
    <col min="1796" max="1796" width="21.5546875" style="40" customWidth="1"/>
    <col min="1797" max="1797" width="17" style="40" customWidth="1"/>
    <col min="1798" max="1798" width="5.5546875" style="40" customWidth="1"/>
    <col min="1799" max="1799" width="33.44140625" style="40"/>
    <col min="1800" max="1800" width="17.5546875" style="40" customWidth="1"/>
    <col min="1801" max="2048" width="33.44140625" style="40"/>
    <col min="2049" max="2049" width="7.44140625" style="40" customWidth="1"/>
    <col min="2050" max="2050" width="98.5546875" style="40" customWidth="1"/>
    <col min="2051" max="2051" width="17.5546875" style="40" customWidth="1"/>
    <col min="2052" max="2052" width="21.5546875" style="40" customWidth="1"/>
    <col min="2053" max="2053" width="17" style="40" customWidth="1"/>
    <col min="2054" max="2054" width="5.5546875" style="40" customWidth="1"/>
    <col min="2055" max="2055" width="33.44140625" style="40"/>
    <col min="2056" max="2056" width="17.5546875" style="40" customWidth="1"/>
    <col min="2057" max="2304" width="33.44140625" style="40"/>
    <col min="2305" max="2305" width="7.44140625" style="40" customWidth="1"/>
    <col min="2306" max="2306" width="98.5546875" style="40" customWidth="1"/>
    <col min="2307" max="2307" width="17.5546875" style="40" customWidth="1"/>
    <col min="2308" max="2308" width="21.5546875" style="40" customWidth="1"/>
    <col min="2309" max="2309" width="17" style="40" customWidth="1"/>
    <col min="2310" max="2310" width="5.5546875" style="40" customWidth="1"/>
    <col min="2311" max="2311" width="33.44140625" style="40"/>
    <col min="2312" max="2312" width="17.5546875" style="40" customWidth="1"/>
    <col min="2313" max="2560" width="33.44140625" style="40"/>
    <col min="2561" max="2561" width="7.44140625" style="40" customWidth="1"/>
    <col min="2562" max="2562" width="98.5546875" style="40" customWidth="1"/>
    <col min="2563" max="2563" width="17.5546875" style="40" customWidth="1"/>
    <col min="2564" max="2564" width="21.5546875" style="40" customWidth="1"/>
    <col min="2565" max="2565" width="17" style="40" customWidth="1"/>
    <col min="2566" max="2566" width="5.5546875" style="40" customWidth="1"/>
    <col min="2567" max="2567" width="33.44140625" style="40"/>
    <col min="2568" max="2568" width="17.5546875" style="40" customWidth="1"/>
    <col min="2569" max="2816" width="33.44140625" style="40"/>
    <col min="2817" max="2817" width="7.44140625" style="40" customWidth="1"/>
    <col min="2818" max="2818" width="98.5546875" style="40" customWidth="1"/>
    <col min="2819" max="2819" width="17.5546875" style="40" customWidth="1"/>
    <col min="2820" max="2820" width="21.5546875" style="40" customWidth="1"/>
    <col min="2821" max="2821" width="17" style="40" customWidth="1"/>
    <col min="2822" max="2822" width="5.5546875" style="40" customWidth="1"/>
    <col min="2823" max="2823" width="33.44140625" style="40"/>
    <col min="2824" max="2824" width="17.5546875" style="40" customWidth="1"/>
    <col min="2825" max="3072" width="33.44140625" style="40"/>
    <col min="3073" max="3073" width="7.44140625" style="40" customWidth="1"/>
    <col min="3074" max="3074" width="98.5546875" style="40" customWidth="1"/>
    <col min="3075" max="3075" width="17.5546875" style="40" customWidth="1"/>
    <col min="3076" max="3076" width="21.5546875" style="40" customWidth="1"/>
    <col min="3077" max="3077" width="17" style="40" customWidth="1"/>
    <col min="3078" max="3078" width="5.5546875" style="40" customWidth="1"/>
    <col min="3079" max="3079" width="33.44140625" style="40"/>
    <col min="3080" max="3080" width="17.5546875" style="40" customWidth="1"/>
    <col min="3081" max="3328" width="33.44140625" style="40"/>
    <col min="3329" max="3329" width="7.44140625" style="40" customWidth="1"/>
    <col min="3330" max="3330" width="98.5546875" style="40" customWidth="1"/>
    <col min="3331" max="3331" width="17.5546875" style="40" customWidth="1"/>
    <col min="3332" max="3332" width="21.5546875" style="40" customWidth="1"/>
    <col min="3333" max="3333" width="17" style="40" customWidth="1"/>
    <col min="3334" max="3334" width="5.5546875" style="40" customWidth="1"/>
    <col min="3335" max="3335" width="33.44140625" style="40"/>
    <col min="3336" max="3336" width="17.5546875" style="40" customWidth="1"/>
    <col min="3337" max="3584" width="33.44140625" style="40"/>
    <col min="3585" max="3585" width="7.44140625" style="40" customWidth="1"/>
    <col min="3586" max="3586" width="98.5546875" style="40" customWidth="1"/>
    <col min="3587" max="3587" width="17.5546875" style="40" customWidth="1"/>
    <col min="3588" max="3588" width="21.5546875" style="40" customWidth="1"/>
    <col min="3589" max="3589" width="17" style="40" customWidth="1"/>
    <col min="3590" max="3590" width="5.5546875" style="40" customWidth="1"/>
    <col min="3591" max="3591" width="33.44140625" style="40"/>
    <col min="3592" max="3592" width="17.5546875" style="40" customWidth="1"/>
    <col min="3593" max="3840" width="33.44140625" style="40"/>
    <col min="3841" max="3841" width="7.44140625" style="40" customWidth="1"/>
    <col min="3842" max="3842" width="98.5546875" style="40" customWidth="1"/>
    <col min="3843" max="3843" width="17.5546875" style="40" customWidth="1"/>
    <col min="3844" max="3844" width="21.5546875" style="40" customWidth="1"/>
    <col min="3845" max="3845" width="17" style="40" customWidth="1"/>
    <col min="3846" max="3846" width="5.5546875" style="40" customWidth="1"/>
    <col min="3847" max="3847" width="33.44140625" style="40"/>
    <col min="3848" max="3848" width="17.5546875" style="40" customWidth="1"/>
    <col min="3849" max="4096" width="33.44140625" style="40"/>
    <col min="4097" max="4097" width="7.44140625" style="40" customWidth="1"/>
    <col min="4098" max="4098" width="98.5546875" style="40" customWidth="1"/>
    <col min="4099" max="4099" width="17.5546875" style="40" customWidth="1"/>
    <col min="4100" max="4100" width="21.5546875" style="40" customWidth="1"/>
    <col min="4101" max="4101" width="17" style="40" customWidth="1"/>
    <col min="4102" max="4102" width="5.5546875" style="40" customWidth="1"/>
    <col min="4103" max="4103" width="33.44140625" style="40"/>
    <col min="4104" max="4104" width="17.5546875" style="40" customWidth="1"/>
    <col min="4105" max="4352" width="33.44140625" style="40"/>
    <col min="4353" max="4353" width="7.44140625" style="40" customWidth="1"/>
    <col min="4354" max="4354" width="98.5546875" style="40" customWidth="1"/>
    <col min="4355" max="4355" width="17.5546875" style="40" customWidth="1"/>
    <col min="4356" max="4356" width="21.5546875" style="40" customWidth="1"/>
    <col min="4357" max="4357" width="17" style="40" customWidth="1"/>
    <col min="4358" max="4358" width="5.5546875" style="40" customWidth="1"/>
    <col min="4359" max="4359" width="33.44140625" style="40"/>
    <col min="4360" max="4360" width="17.5546875" style="40" customWidth="1"/>
    <col min="4361" max="4608" width="33.44140625" style="40"/>
    <col min="4609" max="4609" width="7.44140625" style="40" customWidth="1"/>
    <col min="4610" max="4610" width="98.5546875" style="40" customWidth="1"/>
    <col min="4611" max="4611" width="17.5546875" style="40" customWidth="1"/>
    <col min="4612" max="4612" width="21.5546875" style="40" customWidth="1"/>
    <col min="4613" max="4613" width="17" style="40" customWidth="1"/>
    <col min="4614" max="4614" width="5.5546875" style="40" customWidth="1"/>
    <col min="4615" max="4615" width="33.44140625" style="40"/>
    <col min="4616" max="4616" width="17.5546875" style="40" customWidth="1"/>
    <col min="4617" max="4864" width="33.44140625" style="40"/>
    <col min="4865" max="4865" width="7.44140625" style="40" customWidth="1"/>
    <col min="4866" max="4866" width="98.5546875" style="40" customWidth="1"/>
    <col min="4867" max="4867" width="17.5546875" style="40" customWidth="1"/>
    <col min="4868" max="4868" width="21.5546875" style="40" customWidth="1"/>
    <col min="4869" max="4869" width="17" style="40" customWidth="1"/>
    <col min="4870" max="4870" width="5.5546875" style="40" customWidth="1"/>
    <col min="4871" max="4871" width="33.44140625" style="40"/>
    <col min="4872" max="4872" width="17.5546875" style="40" customWidth="1"/>
    <col min="4873" max="5120" width="33.44140625" style="40"/>
    <col min="5121" max="5121" width="7.44140625" style="40" customWidth="1"/>
    <col min="5122" max="5122" width="98.5546875" style="40" customWidth="1"/>
    <col min="5123" max="5123" width="17.5546875" style="40" customWidth="1"/>
    <col min="5124" max="5124" width="21.5546875" style="40" customWidth="1"/>
    <col min="5125" max="5125" width="17" style="40" customWidth="1"/>
    <col min="5126" max="5126" width="5.5546875" style="40" customWidth="1"/>
    <col min="5127" max="5127" width="33.44140625" style="40"/>
    <col min="5128" max="5128" width="17.5546875" style="40" customWidth="1"/>
    <col min="5129" max="5376" width="33.44140625" style="40"/>
    <col min="5377" max="5377" width="7.44140625" style="40" customWidth="1"/>
    <col min="5378" max="5378" width="98.5546875" style="40" customWidth="1"/>
    <col min="5379" max="5379" width="17.5546875" style="40" customWidth="1"/>
    <col min="5380" max="5380" width="21.5546875" style="40" customWidth="1"/>
    <col min="5381" max="5381" width="17" style="40" customWidth="1"/>
    <col min="5382" max="5382" width="5.5546875" style="40" customWidth="1"/>
    <col min="5383" max="5383" width="33.44140625" style="40"/>
    <col min="5384" max="5384" width="17.5546875" style="40" customWidth="1"/>
    <col min="5385" max="5632" width="33.44140625" style="40"/>
    <col min="5633" max="5633" width="7.44140625" style="40" customWidth="1"/>
    <col min="5634" max="5634" width="98.5546875" style="40" customWidth="1"/>
    <col min="5635" max="5635" width="17.5546875" style="40" customWidth="1"/>
    <col min="5636" max="5636" width="21.5546875" style="40" customWidth="1"/>
    <col min="5637" max="5637" width="17" style="40" customWidth="1"/>
    <col min="5638" max="5638" width="5.5546875" style="40" customWidth="1"/>
    <col min="5639" max="5639" width="33.44140625" style="40"/>
    <col min="5640" max="5640" width="17.5546875" style="40" customWidth="1"/>
    <col min="5641" max="5888" width="33.44140625" style="40"/>
    <col min="5889" max="5889" width="7.44140625" style="40" customWidth="1"/>
    <col min="5890" max="5890" width="98.5546875" style="40" customWidth="1"/>
    <col min="5891" max="5891" width="17.5546875" style="40" customWidth="1"/>
    <col min="5892" max="5892" width="21.5546875" style="40" customWidth="1"/>
    <col min="5893" max="5893" width="17" style="40" customWidth="1"/>
    <col min="5894" max="5894" width="5.5546875" style="40" customWidth="1"/>
    <col min="5895" max="5895" width="33.44140625" style="40"/>
    <col min="5896" max="5896" width="17.5546875" style="40" customWidth="1"/>
    <col min="5897" max="6144" width="33.44140625" style="40"/>
    <col min="6145" max="6145" width="7.44140625" style="40" customWidth="1"/>
    <col min="6146" max="6146" width="98.5546875" style="40" customWidth="1"/>
    <col min="6147" max="6147" width="17.5546875" style="40" customWidth="1"/>
    <col min="6148" max="6148" width="21.5546875" style="40" customWidth="1"/>
    <col min="6149" max="6149" width="17" style="40" customWidth="1"/>
    <col min="6150" max="6150" width="5.5546875" style="40" customWidth="1"/>
    <col min="6151" max="6151" width="33.44140625" style="40"/>
    <col min="6152" max="6152" width="17.5546875" style="40" customWidth="1"/>
    <col min="6153" max="6400" width="33.44140625" style="40"/>
    <col min="6401" max="6401" width="7.44140625" style="40" customWidth="1"/>
    <col min="6402" max="6402" width="98.5546875" style="40" customWidth="1"/>
    <col min="6403" max="6403" width="17.5546875" style="40" customWidth="1"/>
    <col min="6404" max="6404" width="21.5546875" style="40" customWidth="1"/>
    <col min="6405" max="6405" width="17" style="40" customWidth="1"/>
    <col min="6406" max="6406" width="5.5546875" style="40" customWidth="1"/>
    <col min="6407" max="6407" width="33.44140625" style="40"/>
    <col min="6408" max="6408" width="17.5546875" style="40" customWidth="1"/>
    <col min="6409" max="6656" width="33.44140625" style="40"/>
    <col min="6657" max="6657" width="7.44140625" style="40" customWidth="1"/>
    <col min="6658" max="6658" width="98.5546875" style="40" customWidth="1"/>
    <col min="6659" max="6659" width="17.5546875" style="40" customWidth="1"/>
    <col min="6660" max="6660" width="21.5546875" style="40" customWidth="1"/>
    <col min="6661" max="6661" width="17" style="40" customWidth="1"/>
    <col min="6662" max="6662" width="5.5546875" style="40" customWidth="1"/>
    <col min="6663" max="6663" width="33.44140625" style="40"/>
    <col min="6664" max="6664" width="17.5546875" style="40" customWidth="1"/>
    <col min="6665" max="6912" width="33.44140625" style="40"/>
    <col min="6913" max="6913" width="7.44140625" style="40" customWidth="1"/>
    <col min="6914" max="6914" width="98.5546875" style="40" customWidth="1"/>
    <col min="6915" max="6915" width="17.5546875" style="40" customWidth="1"/>
    <col min="6916" max="6916" width="21.5546875" style="40" customWidth="1"/>
    <col min="6917" max="6917" width="17" style="40" customWidth="1"/>
    <col min="6918" max="6918" width="5.5546875" style="40" customWidth="1"/>
    <col min="6919" max="6919" width="33.44140625" style="40"/>
    <col min="6920" max="6920" width="17.5546875" style="40" customWidth="1"/>
    <col min="6921" max="7168" width="33.44140625" style="40"/>
    <col min="7169" max="7169" width="7.44140625" style="40" customWidth="1"/>
    <col min="7170" max="7170" width="98.5546875" style="40" customWidth="1"/>
    <col min="7171" max="7171" width="17.5546875" style="40" customWidth="1"/>
    <col min="7172" max="7172" width="21.5546875" style="40" customWidth="1"/>
    <col min="7173" max="7173" width="17" style="40" customWidth="1"/>
    <col min="7174" max="7174" width="5.5546875" style="40" customWidth="1"/>
    <col min="7175" max="7175" width="33.44140625" style="40"/>
    <col min="7176" max="7176" width="17.5546875" style="40" customWidth="1"/>
    <col min="7177" max="7424" width="33.44140625" style="40"/>
    <col min="7425" max="7425" width="7.44140625" style="40" customWidth="1"/>
    <col min="7426" max="7426" width="98.5546875" style="40" customWidth="1"/>
    <col min="7427" max="7427" width="17.5546875" style="40" customWidth="1"/>
    <col min="7428" max="7428" width="21.5546875" style="40" customWidth="1"/>
    <col min="7429" max="7429" width="17" style="40" customWidth="1"/>
    <col min="7430" max="7430" width="5.5546875" style="40" customWidth="1"/>
    <col min="7431" max="7431" width="33.44140625" style="40"/>
    <col min="7432" max="7432" width="17.5546875" style="40" customWidth="1"/>
    <col min="7433" max="7680" width="33.44140625" style="40"/>
    <col min="7681" max="7681" width="7.44140625" style="40" customWidth="1"/>
    <col min="7682" max="7682" width="98.5546875" style="40" customWidth="1"/>
    <col min="7683" max="7683" width="17.5546875" style="40" customWidth="1"/>
    <col min="7684" max="7684" width="21.5546875" style="40" customWidth="1"/>
    <col min="7685" max="7685" width="17" style="40" customWidth="1"/>
    <col min="7686" max="7686" width="5.5546875" style="40" customWidth="1"/>
    <col min="7687" max="7687" width="33.44140625" style="40"/>
    <col min="7688" max="7688" width="17.5546875" style="40" customWidth="1"/>
    <col min="7689" max="7936" width="33.44140625" style="40"/>
    <col min="7937" max="7937" width="7.44140625" style="40" customWidth="1"/>
    <col min="7938" max="7938" width="98.5546875" style="40" customWidth="1"/>
    <col min="7939" max="7939" width="17.5546875" style="40" customWidth="1"/>
    <col min="7940" max="7940" width="21.5546875" style="40" customWidth="1"/>
    <col min="7941" max="7941" width="17" style="40" customWidth="1"/>
    <col min="7942" max="7942" width="5.5546875" style="40" customWidth="1"/>
    <col min="7943" max="7943" width="33.44140625" style="40"/>
    <col min="7944" max="7944" width="17.5546875" style="40" customWidth="1"/>
    <col min="7945" max="8192" width="33.44140625" style="40"/>
    <col min="8193" max="8193" width="7.44140625" style="40" customWidth="1"/>
    <col min="8194" max="8194" width="98.5546875" style="40" customWidth="1"/>
    <col min="8195" max="8195" width="17.5546875" style="40" customWidth="1"/>
    <col min="8196" max="8196" width="21.5546875" style="40" customWidth="1"/>
    <col min="8197" max="8197" width="17" style="40" customWidth="1"/>
    <col min="8198" max="8198" width="5.5546875" style="40" customWidth="1"/>
    <col min="8199" max="8199" width="33.44140625" style="40"/>
    <col min="8200" max="8200" width="17.5546875" style="40" customWidth="1"/>
    <col min="8201" max="8448" width="33.44140625" style="40"/>
    <col min="8449" max="8449" width="7.44140625" style="40" customWidth="1"/>
    <col min="8450" max="8450" width="98.5546875" style="40" customWidth="1"/>
    <col min="8451" max="8451" width="17.5546875" style="40" customWidth="1"/>
    <col min="8452" max="8452" width="21.5546875" style="40" customWidth="1"/>
    <col min="8453" max="8453" width="17" style="40" customWidth="1"/>
    <col min="8454" max="8454" width="5.5546875" style="40" customWidth="1"/>
    <col min="8455" max="8455" width="33.44140625" style="40"/>
    <col min="8456" max="8456" width="17.5546875" style="40" customWidth="1"/>
    <col min="8457" max="8704" width="33.44140625" style="40"/>
    <col min="8705" max="8705" width="7.44140625" style="40" customWidth="1"/>
    <col min="8706" max="8706" width="98.5546875" style="40" customWidth="1"/>
    <col min="8707" max="8707" width="17.5546875" style="40" customWidth="1"/>
    <col min="8708" max="8708" width="21.5546875" style="40" customWidth="1"/>
    <col min="8709" max="8709" width="17" style="40" customWidth="1"/>
    <col min="8710" max="8710" width="5.5546875" style="40" customWidth="1"/>
    <col min="8711" max="8711" width="33.44140625" style="40"/>
    <col min="8712" max="8712" width="17.5546875" style="40" customWidth="1"/>
    <col min="8713" max="8960" width="33.44140625" style="40"/>
    <col min="8961" max="8961" width="7.44140625" style="40" customWidth="1"/>
    <col min="8962" max="8962" width="98.5546875" style="40" customWidth="1"/>
    <col min="8963" max="8963" width="17.5546875" style="40" customWidth="1"/>
    <col min="8964" max="8964" width="21.5546875" style="40" customWidth="1"/>
    <col min="8965" max="8965" width="17" style="40" customWidth="1"/>
    <col min="8966" max="8966" width="5.5546875" style="40" customWidth="1"/>
    <col min="8967" max="8967" width="33.44140625" style="40"/>
    <col min="8968" max="8968" width="17.5546875" style="40" customWidth="1"/>
    <col min="8969" max="9216" width="33.44140625" style="40"/>
    <col min="9217" max="9217" width="7.44140625" style="40" customWidth="1"/>
    <col min="9218" max="9218" width="98.5546875" style="40" customWidth="1"/>
    <col min="9219" max="9219" width="17.5546875" style="40" customWidth="1"/>
    <col min="9220" max="9220" width="21.5546875" style="40" customWidth="1"/>
    <col min="9221" max="9221" width="17" style="40" customWidth="1"/>
    <col min="9222" max="9222" width="5.5546875" style="40" customWidth="1"/>
    <col min="9223" max="9223" width="33.44140625" style="40"/>
    <col min="9224" max="9224" width="17.5546875" style="40" customWidth="1"/>
    <col min="9225" max="9472" width="33.44140625" style="40"/>
    <col min="9473" max="9473" width="7.44140625" style="40" customWidth="1"/>
    <col min="9474" max="9474" width="98.5546875" style="40" customWidth="1"/>
    <col min="9475" max="9475" width="17.5546875" style="40" customWidth="1"/>
    <col min="9476" max="9476" width="21.5546875" style="40" customWidth="1"/>
    <col min="9477" max="9477" width="17" style="40" customWidth="1"/>
    <col min="9478" max="9478" width="5.5546875" style="40" customWidth="1"/>
    <col min="9479" max="9479" width="33.44140625" style="40"/>
    <col min="9480" max="9480" width="17.5546875" style="40" customWidth="1"/>
    <col min="9481" max="9728" width="33.44140625" style="40"/>
    <col min="9729" max="9729" width="7.44140625" style="40" customWidth="1"/>
    <col min="9730" max="9730" width="98.5546875" style="40" customWidth="1"/>
    <col min="9731" max="9731" width="17.5546875" style="40" customWidth="1"/>
    <col min="9732" max="9732" width="21.5546875" style="40" customWidth="1"/>
    <col min="9733" max="9733" width="17" style="40" customWidth="1"/>
    <col min="9734" max="9734" width="5.5546875" style="40" customWidth="1"/>
    <col min="9735" max="9735" width="33.44140625" style="40"/>
    <col min="9736" max="9736" width="17.5546875" style="40" customWidth="1"/>
    <col min="9737" max="9984" width="33.44140625" style="40"/>
    <col min="9985" max="9985" width="7.44140625" style="40" customWidth="1"/>
    <col min="9986" max="9986" width="98.5546875" style="40" customWidth="1"/>
    <col min="9987" max="9987" width="17.5546875" style="40" customWidth="1"/>
    <col min="9988" max="9988" width="21.5546875" style="40" customWidth="1"/>
    <col min="9989" max="9989" width="17" style="40" customWidth="1"/>
    <col min="9990" max="9990" width="5.5546875" style="40" customWidth="1"/>
    <col min="9991" max="9991" width="33.44140625" style="40"/>
    <col min="9992" max="9992" width="17.5546875" style="40" customWidth="1"/>
    <col min="9993" max="10240" width="33.44140625" style="40"/>
    <col min="10241" max="10241" width="7.44140625" style="40" customWidth="1"/>
    <col min="10242" max="10242" width="98.5546875" style="40" customWidth="1"/>
    <col min="10243" max="10243" width="17.5546875" style="40" customWidth="1"/>
    <col min="10244" max="10244" width="21.5546875" style="40" customWidth="1"/>
    <col min="10245" max="10245" width="17" style="40" customWidth="1"/>
    <col min="10246" max="10246" width="5.5546875" style="40" customWidth="1"/>
    <col min="10247" max="10247" width="33.44140625" style="40"/>
    <col min="10248" max="10248" width="17.5546875" style="40" customWidth="1"/>
    <col min="10249" max="10496" width="33.44140625" style="40"/>
    <col min="10497" max="10497" width="7.44140625" style="40" customWidth="1"/>
    <col min="10498" max="10498" width="98.5546875" style="40" customWidth="1"/>
    <col min="10499" max="10499" width="17.5546875" style="40" customWidth="1"/>
    <col min="10500" max="10500" width="21.5546875" style="40" customWidth="1"/>
    <col min="10501" max="10501" width="17" style="40" customWidth="1"/>
    <col min="10502" max="10502" width="5.5546875" style="40" customWidth="1"/>
    <col min="10503" max="10503" width="33.44140625" style="40"/>
    <col min="10504" max="10504" width="17.5546875" style="40" customWidth="1"/>
    <col min="10505" max="10752" width="33.44140625" style="40"/>
    <col min="10753" max="10753" width="7.44140625" style="40" customWidth="1"/>
    <col min="10754" max="10754" width="98.5546875" style="40" customWidth="1"/>
    <col min="10755" max="10755" width="17.5546875" style="40" customWidth="1"/>
    <col min="10756" max="10756" width="21.5546875" style="40" customWidth="1"/>
    <col min="10757" max="10757" width="17" style="40" customWidth="1"/>
    <col min="10758" max="10758" width="5.5546875" style="40" customWidth="1"/>
    <col min="10759" max="10759" width="33.44140625" style="40"/>
    <col min="10760" max="10760" width="17.5546875" style="40" customWidth="1"/>
    <col min="10761" max="11008" width="33.44140625" style="40"/>
    <col min="11009" max="11009" width="7.44140625" style="40" customWidth="1"/>
    <col min="11010" max="11010" width="98.5546875" style="40" customWidth="1"/>
    <col min="11011" max="11011" width="17.5546875" style="40" customWidth="1"/>
    <col min="11012" max="11012" width="21.5546875" style="40" customWidth="1"/>
    <col min="11013" max="11013" width="17" style="40" customWidth="1"/>
    <col min="11014" max="11014" width="5.5546875" style="40" customWidth="1"/>
    <col min="11015" max="11015" width="33.44140625" style="40"/>
    <col min="11016" max="11016" width="17.5546875" style="40" customWidth="1"/>
    <col min="11017" max="11264" width="33.44140625" style="40"/>
    <col min="11265" max="11265" width="7.44140625" style="40" customWidth="1"/>
    <col min="11266" max="11266" width="98.5546875" style="40" customWidth="1"/>
    <col min="11267" max="11267" width="17.5546875" style="40" customWidth="1"/>
    <col min="11268" max="11268" width="21.5546875" style="40" customWidth="1"/>
    <col min="11269" max="11269" width="17" style="40" customWidth="1"/>
    <col min="11270" max="11270" width="5.5546875" style="40" customWidth="1"/>
    <col min="11271" max="11271" width="33.44140625" style="40"/>
    <col min="11272" max="11272" width="17.5546875" style="40" customWidth="1"/>
    <col min="11273" max="11520" width="33.44140625" style="40"/>
    <col min="11521" max="11521" width="7.44140625" style="40" customWidth="1"/>
    <col min="11522" max="11522" width="98.5546875" style="40" customWidth="1"/>
    <col min="11523" max="11523" width="17.5546875" style="40" customWidth="1"/>
    <col min="11524" max="11524" width="21.5546875" style="40" customWidth="1"/>
    <col min="11525" max="11525" width="17" style="40" customWidth="1"/>
    <col min="11526" max="11526" width="5.5546875" style="40" customWidth="1"/>
    <col min="11527" max="11527" width="33.44140625" style="40"/>
    <col min="11528" max="11528" width="17.5546875" style="40" customWidth="1"/>
    <col min="11529" max="11776" width="33.44140625" style="40"/>
    <col min="11777" max="11777" width="7.44140625" style="40" customWidth="1"/>
    <col min="11778" max="11778" width="98.5546875" style="40" customWidth="1"/>
    <col min="11779" max="11779" width="17.5546875" style="40" customWidth="1"/>
    <col min="11780" max="11780" width="21.5546875" style="40" customWidth="1"/>
    <col min="11781" max="11781" width="17" style="40" customWidth="1"/>
    <col min="11782" max="11782" width="5.5546875" style="40" customWidth="1"/>
    <col min="11783" max="11783" width="33.44140625" style="40"/>
    <col min="11784" max="11784" width="17.5546875" style="40" customWidth="1"/>
    <col min="11785" max="12032" width="33.44140625" style="40"/>
    <col min="12033" max="12033" width="7.44140625" style="40" customWidth="1"/>
    <col min="12034" max="12034" width="98.5546875" style="40" customWidth="1"/>
    <col min="12035" max="12035" width="17.5546875" style="40" customWidth="1"/>
    <col min="12036" max="12036" width="21.5546875" style="40" customWidth="1"/>
    <col min="12037" max="12037" width="17" style="40" customWidth="1"/>
    <col min="12038" max="12038" width="5.5546875" style="40" customWidth="1"/>
    <col min="12039" max="12039" width="33.44140625" style="40"/>
    <col min="12040" max="12040" width="17.5546875" style="40" customWidth="1"/>
    <col min="12041" max="12288" width="33.44140625" style="40"/>
    <col min="12289" max="12289" width="7.44140625" style="40" customWidth="1"/>
    <col min="12290" max="12290" width="98.5546875" style="40" customWidth="1"/>
    <col min="12291" max="12291" width="17.5546875" style="40" customWidth="1"/>
    <col min="12292" max="12292" width="21.5546875" style="40" customWidth="1"/>
    <col min="12293" max="12293" width="17" style="40" customWidth="1"/>
    <col min="12294" max="12294" width="5.5546875" style="40" customWidth="1"/>
    <col min="12295" max="12295" width="33.44140625" style="40"/>
    <col min="12296" max="12296" width="17.5546875" style="40" customWidth="1"/>
    <col min="12297" max="12544" width="33.44140625" style="40"/>
    <col min="12545" max="12545" width="7.44140625" style="40" customWidth="1"/>
    <col min="12546" max="12546" width="98.5546875" style="40" customWidth="1"/>
    <col min="12547" max="12547" width="17.5546875" style="40" customWidth="1"/>
    <col min="12548" max="12548" width="21.5546875" style="40" customWidth="1"/>
    <col min="12549" max="12549" width="17" style="40" customWidth="1"/>
    <col min="12550" max="12550" width="5.5546875" style="40" customWidth="1"/>
    <col min="12551" max="12551" width="33.44140625" style="40"/>
    <col min="12552" max="12552" width="17.5546875" style="40" customWidth="1"/>
    <col min="12553" max="12800" width="33.44140625" style="40"/>
    <col min="12801" max="12801" width="7.44140625" style="40" customWidth="1"/>
    <col min="12802" max="12802" width="98.5546875" style="40" customWidth="1"/>
    <col min="12803" max="12803" width="17.5546875" style="40" customWidth="1"/>
    <col min="12804" max="12804" width="21.5546875" style="40" customWidth="1"/>
    <col min="12805" max="12805" width="17" style="40" customWidth="1"/>
    <col min="12806" max="12806" width="5.5546875" style="40" customWidth="1"/>
    <col min="12807" max="12807" width="33.44140625" style="40"/>
    <col min="12808" max="12808" width="17.5546875" style="40" customWidth="1"/>
    <col min="12809" max="13056" width="33.44140625" style="40"/>
    <col min="13057" max="13057" width="7.44140625" style="40" customWidth="1"/>
    <col min="13058" max="13058" width="98.5546875" style="40" customWidth="1"/>
    <col min="13059" max="13059" width="17.5546875" style="40" customWidth="1"/>
    <col min="13060" max="13060" width="21.5546875" style="40" customWidth="1"/>
    <col min="13061" max="13061" width="17" style="40" customWidth="1"/>
    <col min="13062" max="13062" width="5.5546875" style="40" customWidth="1"/>
    <col min="13063" max="13063" width="33.44140625" style="40"/>
    <col min="13064" max="13064" width="17.5546875" style="40" customWidth="1"/>
    <col min="13065" max="13312" width="33.44140625" style="40"/>
    <col min="13313" max="13313" width="7.44140625" style="40" customWidth="1"/>
    <col min="13314" max="13314" width="98.5546875" style="40" customWidth="1"/>
    <col min="13315" max="13315" width="17.5546875" style="40" customWidth="1"/>
    <col min="13316" max="13316" width="21.5546875" style="40" customWidth="1"/>
    <col min="13317" max="13317" width="17" style="40" customWidth="1"/>
    <col min="13318" max="13318" width="5.5546875" style="40" customWidth="1"/>
    <col min="13319" max="13319" width="33.44140625" style="40"/>
    <col min="13320" max="13320" width="17.5546875" style="40" customWidth="1"/>
    <col min="13321" max="13568" width="33.44140625" style="40"/>
    <col min="13569" max="13569" width="7.44140625" style="40" customWidth="1"/>
    <col min="13570" max="13570" width="98.5546875" style="40" customWidth="1"/>
    <col min="13571" max="13571" width="17.5546875" style="40" customWidth="1"/>
    <col min="13572" max="13572" width="21.5546875" style="40" customWidth="1"/>
    <col min="13573" max="13573" width="17" style="40" customWidth="1"/>
    <col min="13574" max="13574" width="5.5546875" style="40" customWidth="1"/>
    <col min="13575" max="13575" width="33.44140625" style="40"/>
    <col min="13576" max="13576" width="17.5546875" style="40" customWidth="1"/>
    <col min="13577" max="13824" width="33.44140625" style="40"/>
    <col min="13825" max="13825" width="7.44140625" style="40" customWidth="1"/>
    <col min="13826" max="13826" width="98.5546875" style="40" customWidth="1"/>
    <col min="13827" max="13827" width="17.5546875" style="40" customWidth="1"/>
    <col min="13828" max="13828" width="21.5546875" style="40" customWidth="1"/>
    <col min="13829" max="13829" width="17" style="40" customWidth="1"/>
    <col min="13830" max="13830" width="5.5546875" style="40" customWidth="1"/>
    <col min="13831" max="13831" width="33.44140625" style="40"/>
    <col min="13832" max="13832" width="17.5546875" style="40" customWidth="1"/>
    <col min="13833" max="14080" width="33.44140625" style="40"/>
    <col min="14081" max="14081" width="7.44140625" style="40" customWidth="1"/>
    <col min="14082" max="14082" width="98.5546875" style="40" customWidth="1"/>
    <col min="14083" max="14083" width="17.5546875" style="40" customWidth="1"/>
    <col min="14084" max="14084" width="21.5546875" style="40" customWidth="1"/>
    <col min="14085" max="14085" width="17" style="40" customWidth="1"/>
    <col min="14086" max="14086" width="5.5546875" style="40" customWidth="1"/>
    <col min="14087" max="14087" width="33.44140625" style="40"/>
    <col min="14088" max="14088" width="17.5546875" style="40" customWidth="1"/>
    <col min="14089" max="14336" width="33.44140625" style="40"/>
    <col min="14337" max="14337" width="7.44140625" style="40" customWidth="1"/>
    <col min="14338" max="14338" width="98.5546875" style="40" customWidth="1"/>
    <col min="14339" max="14339" width="17.5546875" style="40" customWidth="1"/>
    <col min="14340" max="14340" width="21.5546875" style="40" customWidth="1"/>
    <col min="14341" max="14341" width="17" style="40" customWidth="1"/>
    <col min="14342" max="14342" width="5.5546875" style="40" customWidth="1"/>
    <col min="14343" max="14343" width="33.44140625" style="40"/>
    <col min="14344" max="14344" width="17.5546875" style="40" customWidth="1"/>
    <col min="14345" max="14592" width="33.44140625" style="40"/>
    <col min="14593" max="14593" width="7.44140625" style="40" customWidth="1"/>
    <col min="14594" max="14594" width="98.5546875" style="40" customWidth="1"/>
    <col min="14595" max="14595" width="17.5546875" style="40" customWidth="1"/>
    <col min="14596" max="14596" width="21.5546875" style="40" customWidth="1"/>
    <col min="14597" max="14597" width="17" style="40" customWidth="1"/>
    <col min="14598" max="14598" width="5.5546875" style="40" customWidth="1"/>
    <col min="14599" max="14599" width="33.44140625" style="40"/>
    <col min="14600" max="14600" width="17.5546875" style="40" customWidth="1"/>
    <col min="14601" max="14848" width="33.44140625" style="40"/>
    <col min="14849" max="14849" width="7.44140625" style="40" customWidth="1"/>
    <col min="14850" max="14850" width="98.5546875" style="40" customWidth="1"/>
    <col min="14851" max="14851" width="17.5546875" style="40" customWidth="1"/>
    <col min="14852" max="14852" width="21.5546875" style="40" customWidth="1"/>
    <col min="14853" max="14853" width="17" style="40" customWidth="1"/>
    <col min="14854" max="14854" width="5.5546875" style="40" customWidth="1"/>
    <col min="14855" max="14855" width="33.44140625" style="40"/>
    <col min="14856" max="14856" width="17.5546875" style="40" customWidth="1"/>
    <col min="14857" max="15104" width="33.44140625" style="40"/>
    <col min="15105" max="15105" width="7.44140625" style="40" customWidth="1"/>
    <col min="15106" max="15106" width="98.5546875" style="40" customWidth="1"/>
    <col min="15107" max="15107" width="17.5546875" style="40" customWidth="1"/>
    <col min="15108" max="15108" width="21.5546875" style="40" customWidth="1"/>
    <col min="15109" max="15109" width="17" style="40" customWidth="1"/>
    <col min="15110" max="15110" width="5.5546875" style="40" customWidth="1"/>
    <col min="15111" max="15111" width="33.44140625" style="40"/>
    <col min="15112" max="15112" width="17.5546875" style="40" customWidth="1"/>
    <col min="15113" max="15360" width="33.44140625" style="40"/>
    <col min="15361" max="15361" width="7.44140625" style="40" customWidth="1"/>
    <col min="15362" max="15362" width="98.5546875" style="40" customWidth="1"/>
    <col min="15363" max="15363" width="17.5546875" style="40" customWidth="1"/>
    <col min="15364" max="15364" width="21.5546875" style="40" customWidth="1"/>
    <col min="15365" max="15365" width="17" style="40" customWidth="1"/>
    <col min="15366" max="15366" width="5.5546875" style="40" customWidth="1"/>
    <col min="15367" max="15367" width="33.44140625" style="40"/>
    <col min="15368" max="15368" width="17.5546875" style="40" customWidth="1"/>
    <col min="15369" max="15616" width="33.44140625" style="40"/>
    <col min="15617" max="15617" width="7.44140625" style="40" customWidth="1"/>
    <col min="15618" max="15618" width="98.5546875" style="40" customWidth="1"/>
    <col min="15619" max="15619" width="17.5546875" style="40" customWidth="1"/>
    <col min="15620" max="15620" width="21.5546875" style="40" customWidth="1"/>
    <col min="15621" max="15621" width="17" style="40" customWidth="1"/>
    <col min="15622" max="15622" width="5.5546875" style="40" customWidth="1"/>
    <col min="15623" max="15623" width="33.44140625" style="40"/>
    <col min="15624" max="15624" width="17.5546875" style="40" customWidth="1"/>
    <col min="15625" max="15872" width="33.44140625" style="40"/>
    <col min="15873" max="15873" width="7.44140625" style="40" customWidth="1"/>
    <col min="15874" max="15874" width="98.5546875" style="40" customWidth="1"/>
    <col min="15875" max="15875" width="17.5546875" style="40" customWidth="1"/>
    <col min="15876" max="15876" width="21.5546875" style="40" customWidth="1"/>
    <col min="15877" max="15877" width="17" style="40" customWidth="1"/>
    <col min="15878" max="15878" width="5.5546875" style="40" customWidth="1"/>
    <col min="15879" max="15879" width="33.44140625" style="40"/>
    <col min="15880" max="15880" width="17.5546875" style="40" customWidth="1"/>
    <col min="15881" max="16128" width="33.44140625" style="40"/>
    <col min="16129" max="16129" width="7.44140625" style="40" customWidth="1"/>
    <col min="16130" max="16130" width="98.5546875" style="40" customWidth="1"/>
    <col min="16131" max="16131" width="17.5546875" style="40" customWidth="1"/>
    <col min="16132" max="16132" width="21.5546875" style="40" customWidth="1"/>
    <col min="16133" max="16133" width="17" style="40" customWidth="1"/>
    <col min="16134" max="16134" width="5.5546875" style="40" customWidth="1"/>
    <col min="16135" max="16135" width="33.44140625" style="40"/>
    <col min="16136" max="16136" width="17.5546875" style="40" customWidth="1"/>
    <col min="16137" max="16384" width="33.44140625" style="40"/>
  </cols>
  <sheetData>
    <row r="1" spans="1:14">
      <c r="A1" s="80"/>
      <c r="B1" s="80"/>
      <c r="C1" s="80"/>
      <c r="D1" s="80"/>
      <c r="E1" s="80"/>
      <c r="F1" s="80"/>
      <c r="G1" s="80"/>
    </row>
    <row r="2" spans="1:14">
      <c r="A2" s="80"/>
      <c r="B2" s="80"/>
      <c r="C2" s="80"/>
      <c r="D2" s="80"/>
      <c r="E2" s="80"/>
      <c r="F2" s="80"/>
      <c r="G2" s="80"/>
    </row>
    <row r="3" spans="1:14">
      <c r="A3" s="80"/>
      <c r="B3" s="80"/>
      <c r="C3" s="80"/>
      <c r="D3" s="80"/>
      <c r="E3" s="80"/>
      <c r="F3" s="80"/>
      <c r="G3" s="80"/>
    </row>
    <row r="4" spans="1:14">
      <c r="A4" s="80"/>
      <c r="B4" s="80"/>
      <c r="C4" s="80"/>
      <c r="D4" s="80"/>
      <c r="E4" s="80"/>
      <c r="F4" s="80"/>
      <c r="G4" s="80"/>
    </row>
    <row r="5" spans="1:14" ht="14.4">
      <c r="A5" s="81"/>
      <c r="B5" s="82"/>
      <c r="C5" s="82"/>
      <c r="D5" s="82"/>
      <c r="E5" s="82"/>
      <c r="F5" s="82"/>
      <c r="G5" s="82"/>
      <c r="H5" s="41"/>
      <c r="I5" s="41"/>
      <c r="J5" s="41"/>
      <c r="K5" s="41"/>
      <c r="L5" s="41"/>
      <c r="M5" s="41"/>
    </row>
    <row r="6" spans="1:14" ht="14.4">
      <c r="A6" s="80"/>
      <c r="B6" s="83" t="s">
        <v>0</v>
      </c>
      <c r="C6" s="84"/>
      <c r="D6" s="84"/>
      <c r="E6" s="82"/>
      <c r="F6" s="82"/>
      <c r="G6" s="82"/>
      <c r="H6" s="41"/>
      <c r="I6" s="41"/>
      <c r="J6" s="41"/>
      <c r="K6" s="41"/>
      <c r="L6" s="41"/>
      <c r="M6" s="41"/>
    </row>
    <row r="7" spans="1:14" ht="75.45" customHeight="1">
      <c r="A7" s="80"/>
      <c r="B7" s="165" t="s">
        <v>1</v>
      </c>
      <c r="C7" s="166"/>
      <c r="D7" s="166"/>
      <c r="E7" s="82"/>
      <c r="F7" s="82"/>
      <c r="G7" s="82"/>
      <c r="H7" s="41"/>
      <c r="I7" s="41"/>
      <c r="J7" s="41"/>
      <c r="K7" s="41"/>
      <c r="L7" s="41"/>
      <c r="M7" s="41"/>
    </row>
    <row r="8" spans="1:14" ht="19.5" customHeight="1">
      <c r="A8" s="80"/>
      <c r="B8" s="163" t="s">
        <v>44</v>
      </c>
      <c r="C8" s="164"/>
      <c r="D8" s="164"/>
      <c r="E8" s="82"/>
      <c r="F8" s="82"/>
      <c r="G8" s="82"/>
      <c r="H8" s="41"/>
      <c r="I8" s="41"/>
      <c r="J8" s="41"/>
      <c r="K8" s="41"/>
      <c r="L8" s="41"/>
      <c r="M8" s="41"/>
    </row>
    <row r="9" spans="1:14" ht="14.4">
      <c r="A9" s="81"/>
      <c r="B9" s="163" t="s">
        <v>45</v>
      </c>
      <c r="C9" s="164"/>
      <c r="D9" s="164"/>
      <c r="E9" s="82"/>
      <c r="F9" s="82"/>
      <c r="G9" s="82"/>
      <c r="H9" s="41"/>
      <c r="I9" s="41"/>
      <c r="J9" s="41"/>
      <c r="K9" s="41"/>
      <c r="L9" s="41"/>
      <c r="M9" s="41"/>
    </row>
    <row r="10" spans="1:14" ht="14.4">
      <c r="A10" s="81"/>
      <c r="B10" s="85"/>
      <c r="C10" s="86"/>
      <c r="D10" s="86"/>
      <c r="E10" s="82"/>
      <c r="F10" s="82"/>
      <c r="G10" s="82"/>
      <c r="H10" s="41"/>
      <c r="I10" s="41"/>
      <c r="J10" s="41"/>
      <c r="K10" s="41"/>
      <c r="L10" s="41"/>
      <c r="M10" s="41"/>
    </row>
    <row r="11" spans="1:14">
      <c r="A11" s="80"/>
      <c r="B11" s="80"/>
      <c r="C11" s="82"/>
      <c r="D11" s="82"/>
      <c r="E11" s="82"/>
      <c r="F11" s="82"/>
      <c r="G11" s="82"/>
      <c r="H11" s="41"/>
      <c r="I11" s="41"/>
      <c r="J11" s="41"/>
      <c r="K11" s="41"/>
      <c r="L11" s="41"/>
      <c r="M11" s="41"/>
      <c r="N11" s="41"/>
    </row>
    <row r="12" spans="1:14">
      <c r="A12" s="80"/>
      <c r="B12" s="87" t="s">
        <v>46</v>
      </c>
      <c r="C12" s="80"/>
      <c r="D12" s="80"/>
      <c r="E12" s="80"/>
      <c r="F12" s="80"/>
      <c r="G12" s="80"/>
    </row>
    <row r="13" spans="1:14">
      <c r="A13" s="88"/>
      <c r="B13" s="80"/>
      <c r="C13" s="80"/>
      <c r="D13" s="80"/>
      <c r="E13" s="80"/>
      <c r="F13" s="80"/>
      <c r="G13" s="80"/>
    </row>
    <row r="14" spans="1:14">
      <c r="A14" s="88"/>
      <c r="B14" s="89" t="s">
        <v>47</v>
      </c>
      <c r="C14" s="90" t="s">
        <v>48</v>
      </c>
      <c r="D14" s="90" t="s">
        <v>49</v>
      </c>
      <c r="E14" s="80"/>
      <c r="F14" s="80"/>
      <c r="G14" s="80"/>
    </row>
    <row r="15" spans="1:14">
      <c r="A15" s="91" t="s">
        <v>50</v>
      </c>
      <c r="B15" s="80" t="s">
        <v>51</v>
      </c>
      <c r="C15" s="92">
        <v>0.03</v>
      </c>
      <c r="D15" s="92">
        <v>0.1</v>
      </c>
      <c r="E15" s="80"/>
      <c r="F15" s="80"/>
      <c r="G15" s="80"/>
    </row>
    <row r="16" spans="1:14">
      <c r="A16" s="91" t="s">
        <v>52</v>
      </c>
      <c r="B16" s="80" t="s">
        <v>24</v>
      </c>
      <c r="C16" s="92">
        <v>5.0000000000000001E-3</v>
      </c>
      <c r="D16" s="93">
        <v>0.03</v>
      </c>
      <c r="E16" s="94"/>
      <c r="F16" s="80"/>
      <c r="G16" s="80"/>
    </row>
    <row r="17" spans="1:11">
      <c r="A17" s="91" t="s">
        <v>53</v>
      </c>
      <c r="B17" s="80" t="s">
        <v>54</v>
      </c>
      <c r="C17" s="95">
        <v>5.0000000000000001E-3</v>
      </c>
      <c r="D17" s="95">
        <v>0.03</v>
      </c>
      <c r="E17" s="88"/>
      <c r="F17" s="80"/>
      <c r="G17" s="80"/>
    </row>
    <row r="18" spans="1:11" ht="14.4" thickBot="1">
      <c r="A18" s="91" t="s">
        <v>55</v>
      </c>
      <c r="B18" s="80" t="s">
        <v>56</v>
      </c>
      <c r="C18" s="92">
        <v>0.03</v>
      </c>
      <c r="D18" s="93">
        <v>0.1</v>
      </c>
      <c r="E18" s="80"/>
      <c r="F18" s="80"/>
      <c r="G18" s="80"/>
      <c r="K18" s="45"/>
    </row>
    <row r="19" spans="1:11" ht="14.4" thickBot="1">
      <c r="A19" s="91" t="s">
        <v>57</v>
      </c>
      <c r="B19" s="80" t="s">
        <v>58</v>
      </c>
      <c r="C19" s="92">
        <v>5.0000000000000001E-3</v>
      </c>
      <c r="D19" s="93">
        <v>0.03</v>
      </c>
      <c r="E19" s="80"/>
      <c r="F19" s="80"/>
      <c r="G19" s="80"/>
      <c r="K19" s="46" t="s">
        <v>59</v>
      </c>
    </row>
    <row r="20" spans="1:11">
      <c r="A20" s="80"/>
      <c r="B20" s="80"/>
      <c r="C20" s="80"/>
      <c r="D20" s="80"/>
      <c r="E20" s="80"/>
      <c r="F20" s="80"/>
      <c r="G20" s="80"/>
    </row>
    <row r="21" spans="1:11">
      <c r="A21" s="80"/>
      <c r="B21" s="80"/>
      <c r="C21" s="80"/>
      <c r="D21" s="80"/>
      <c r="E21" s="80"/>
      <c r="F21" s="80"/>
      <c r="G21" s="80"/>
    </row>
    <row r="22" spans="1:11">
      <c r="A22" s="80"/>
      <c r="B22" s="96" t="s">
        <v>60</v>
      </c>
      <c r="C22" s="97" t="s">
        <v>61</v>
      </c>
      <c r="D22" s="98"/>
      <c r="E22" s="80"/>
      <c r="F22" s="80"/>
      <c r="G22" s="80"/>
    </row>
    <row r="23" spans="1:11">
      <c r="A23" s="80"/>
      <c r="B23" s="80"/>
      <c r="C23" s="80"/>
      <c r="D23" s="80"/>
      <c r="E23" s="80"/>
      <c r="F23" s="80"/>
      <c r="G23" s="80"/>
    </row>
    <row r="24" spans="1:11" ht="41.4">
      <c r="A24" s="80"/>
      <c r="B24" s="99" t="s">
        <v>62</v>
      </c>
      <c r="C24" s="168" t="s">
        <v>63</v>
      </c>
      <c r="D24" s="169"/>
      <c r="E24" s="80"/>
      <c r="F24" s="80"/>
      <c r="G24" s="80"/>
    </row>
    <row r="25" spans="1:11">
      <c r="A25" s="80"/>
      <c r="B25" s="99"/>
      <c r="C25" s="80"/>
      <c r="D25" s="80"/>
      <c r="E25" s="80"/>
      <c r="F25" s="80"/>
      <c r="G25" s="80"/>
    </row>
    <row r="26" spans="1:11">
      <c r="A26" s="80"/>
      <c r="B26" s="80" t="s">
        <v>64</v>
      </c>
      <c r="C26" s="167" t="s">
        <v>65</v>
      </c>
      <c r="D26" s="167"/>
      <c r="E26" s="80"/>
      <c r="F26" s="80"/>
      <c r="G26" s="80"/>
    </row>
    <row r="27" spans="1:11">
      <c r="A27" s="80"/>
      <c r="B27" s="80"/>
      <c r="C27" s="80"/>
      <c r="D27" s="80"/>
      <c r="E27" s="80"/>
      <c r="F27" s="80"/>
      <c r="G27" s="80"/>
    </row>
    <row r="28" spans="1:11">
      <c r="A28" s="80"/>
      <c r="B28" s="80"/>
      <c r="C28" s="80"/>
      <c r="D28" s="80"/>
      <c r="E28" s="80"/>
      <c r="F28" s="80"/>
      <c r="G28" s="80"/>
    </row>
    <row r="29" spans="1:11" ht="14.4">
      <c r="A29" s="100"/>
      <c r="B29" s="80"/>
      <c r="C29" s="80"/>
      <c r="D29" s="80"/>
      <c r="E29" s="101"/>
      <c r="F29" s="102"/>
      <c r="G29" s="80"/>
      <c r="I29" s="47"/>
    </row>
    <row r="30" spans="1:11">
      <c r="A30" s="80"/>
      <c r="B30" s="80"/>
      <c r="C30" s="80"/>
      <c r="D30" s="80"/>
      <c r="E30" s="80"/>
      <c r="F30" s="80"/>
      <c r="G30" s="80"/>
    </row>
    <row r="31" spans="1:11" ht="14.4">
      <c r="A31" s="80"/>
      <c r="B31" s="103" t="s">
        <v>66</v>
      </c>
      <c r="C31" s="104" t="s">
        <v>67</v>
      </c>
      <c r="D31" s="104" t="s">
        <v>68</v>
      </c>
      <c r="E31" s="104" t="s">
        <v>69</v>
      </c>
      <c r="F31" s="80"/>
      <c r="G31" s="80"/>
    </row>
    <row r="32" spans="1:11">
      <c r="A32" s="105" t="s">
        <v>70</v>
      </c>
      <c r="B32" s="106" t="s">
        <v>71</v>
      </c>
      <c r="C32" s="107" t="s">
        <v>72</v>
      </c>
      <c r="D32" s="106">
        <f>IF(C32="S",1,0)</f>
        <v>0</v>
      </c>
      <c r="E32" s="108"/>
      <c r="F32" s="80"/>
      <c r="G32" s="80"/>
    </row>
    <row r="33" spans="1:7">
      <c r="A33" s="105" t="s">
        <v>73</v>
      </c>
      <c r="B33" s="106" t="s">
        <v>74</v>
      </c>
      <c r="C33" s="107" t="s">
        <v>75</v>
      </c>
      <c r="D33" s="106">
        <f t="shared" ref="D33:D37" si="0">IF(C33="S",1,0)</f>
        <v>1</v>
      </c>
      <c r="E33" s="108"/>
      <c r="F33" s="80"/>
      <c r="G33" s="80"/>
    </row>
    <row r="34" spans="1:7" ht="27.6">
      <c r="A34" s="105" t="s">
        <v>76</v>
      </c>
      <c r="B34" s="109" t="s">
        <v>77</v>
      </c>
      <c r="C34" s="107" t="s">
        <v>75</v>
      </c>
      <c r="D34" s="106">
        <f t="shared" si="0"/>
        <v>1</v>
      </c>
      <c r="E34" s="108"/>
      <c r="F34" s="80"/>
      <c r="G34" s="80"/>
    </row>
    <row r="35" spans="1:7">
      <c r="A35" s="105" t="s">
        <v>78</v>
      </c>
      <c r="B35" s="106" t="s">
        <v>79</v>
      </c>
      <c r="C35" s="107" t="s">
        <v>75</v>
      </c>
      <c r="D35" s="106">
        <f t="shared" si="0"/>
        <v>1</v>
      </c>
      <c r="E35" s="108"/>
      <c r="F35" s="80"/>
      <c r="G35" s="80"/>
    </row>
    <row r="36" spans="1:7">
      <c r="A36" s="105" t="s">
        <v>80</v>
      </c>
      <c r="B36" s="106" t="s">
        <v>81</v>
      </c>
      <c r="C36" s="107" t="s">
        <v>75</v>
      </c>
      <c r="D36" s="106">
        <f t="shared" si="0"/>
        <v>1</v>
      </c>
      <c r="E36" s="108"/>
      <c r="F36" s="80"/>
      <c r="G36" s="80"/>
    </row>
    <row r="37" spans="1:7">
      <c r="A37" s="105" t="s">
        <v>82</v>
      </c>
      <c r="B37" s="106" t="s">
        <v>83</v>
      </c>
      <c r="C37" s="107" t="s">
        <v>72</v>
      </c>
      <c r="D37" s="106">
        <f t="shared" si="0"/>
        <v>0</v>
      </c>
      <c r="E37" s="108"/>
      <c r="F37" s="80"/>
      <c r="G37" s="80"/>
    </row>
    <row r="38" spans="1:7" ht="14.4">
      <c r="A38" s="80"/>
      <c r="B38" s="104"/>
      <c r="C38" s="104"/>
      <c r="D38" s="104">
        <f>SUM(D32:D37)</f>
        <v>4</v>
      </c>
      <c r="E38" s="104" t="str">
        <f>_xlfn.XLOOKUP(D38,$C$41:$C$47,$B$41:$B$47)</f>
        <v>Médio/Alto</v>
      </c>
      <c r="F38" s="80"/>
      <c r="G38" s="80"/>
    </row>
    <row r="39" spans="1:7">
      <c r="A39" s="80"/>
      <c r="B39" s="80"/>
      <c r="C39" s="80"/>
      <c r="D39" s="80"/>
      <c r="E39" s="80"/>
      <c r="F39" s="80"/>
      <c r="G39" s="80"/>
    </row>
    <row r="40" spans="1:7" customFormat="1" ht="14.4">
      <c r="A40" s="110"/>
      <c r="B40" s="89" t="s">
        <v>84</v>
      </c>
      <c r="C40" s="104" t="s">
        <v>68</v>
      </c>
      <c r="D40" s="110"/>
      <c r="E40" s="110"/>
      <c r="F40" s="110"/>
      <c r="G40" s="110"/>
    </row>
    <row r="41" spans="1:7" customFormat="1">
      <c r="A41" s="110"/>
      <c r="B41" s="80" t="s">
        <v>85</v>
      </c>
      <c r="C41" s="80">
        <v>0</v>
      </c>
      <c r="D41" s="110"/>
      <c r="E41" s="110"/>
      <c r="F41" s="110"/>
      <c r="G41" s="110"/>
    </row>
    <row r="42" spans="1:7">
      <c r="A42" s="80"/>
      <c r="B42" s="80" t="s">
        <v>86</v>
      </c>
      <c r="C42" s="80">
        <v>1</v>
      </c>
      <c r="D42" s="80"/>
      <c r="E42" s="80"/>
      <c r="F42" s="80"/>
      <c r="G42" s="80"/>
    </row>
    <row r="43" spans="1:7">
      <c r="A43" s="80"/>
      <c r="B43" s="80" t="s">
        <v>87</v>
      </c>
      <c r="C43" s="80">
        <v>2</v>
      </c>
      <c r="D43" s="80"/>
      <c r="E43" s="80"/>
      <c r="F43" s="80"/>
      <c r="G43" s="80"/>
    </row>
    <row r="44" spans="1:7">
      <c r="A44" s="80"/>
      <c r="B44" s="80" t="s">
        <v>88</v>
      </c>
      <c r="C44" s="80">
        <v>3</v>
      </c>
      <c r="D44" s="80"/>
      <c r="E44" s="80"/>
      <c r="F44" s="80"/>
      <c r="G44" s="80"/>
    </row>
    <row r="45" spans="1:7">
      <c r="A45" s="80"/>
      <c r="B45" s="80" t="s">
        <v>89</v>
      </c>
      <c r="C45" s="80">
        <v>4</v>
      </c>
      <c r="D45" s="80"/>
      <c r="E45" s="80"/>
      <c r="F45" s="80"/>
      <c r="G45" s="80"/>
    </row>
    <row r="46" spans="1:7">
      <c r="A46" s="80"/>
      <c r="B46" s="80" t="s">
        <v>90</v>
      </c>
      <c r="C46" s="80">
        <v>5</v>
      </c>
      <c r="D46" s="80"/>
      <c r="E46" s="80"/>
      <c r="F46" s="80"/>
      <c r="G46" s="80"/>
    </row>
    <row r="47" spans="1:7">
      <c r="A47" s="80"/>
      <c r="B47" s="80" t="s">
        <v>91</v>
      </c>
      <c r="C47" s="80">
        <v>6</v>
      </c>
      <c r="D47" s="80"/>
      <c r="E47" s="80"/>
      <c r="F47" s="80"/>
      <c r="G47" s="80"/>
    </row>
    <row r="48" spans="1:7">
      <c r="A48" s="80"/>
      <c r="B48" s="89"/>
      <c r="C48" s="89"/>
      <c r="D48" s="80"/>
      <c r="E48" s="80"/>
      <c r="F48" s="80"/>
      <c r="G48" s="80"/>
    </row>
    <row r="49" spans="1:7" ht="14.4" thickBot="1">
      <c r="A49" s="80"/>
      <c r="B49" s="80"/>
      <c r="C49" s="80"/>
      <c r="D49" s="80"/>
      <c r="E49" s="80"/>
      <c r="F49" s="80"/>
      <c r="G49" s="80"/>
    </row>
    <row r="50" spans="1:7" ht="14.4" thickBot="1">
      <c r="A50" s="80"/>
      <c r="B50" s="111" t="s">
        <v>92</v>
      </c>
      <c r="C50" s="112" t="s">
        <v>59</v>
      </c>
      <c r="D50" s="113" t="s">
        <v>33</v>
      </c>
      <c r="E50" s="80"/>
      <c r="F50" s="80"/>
      <c r="G50" s="80"/>
    </row>
    <row r="51" spans="1:7" ht="14.4">
      <c r="A51" s="80"/>
      <c r="B51" s="114" t="s">
        <v>24</v>
      </c>
      <c r="C51" s="115">
        <f>_xlfn.XLOOKUP(B51,'Tabela Benckmarking'!$B$60:$B$64,'Tabela Benckmarking'!$E$60:$E$64)</f>
        <v>1.252E-2</v>
      </c>
      <c r="D51" s="116">
        <f>_xlfn.XLOOKUP(B51,'Tabela Benckmarking'!$B$60:$B$64,'Tabela Benckmarking'!$G$60:$G$64)</f>
        <v>3.6019999999999996E-2</v>
      </c>
      <c r="E51" s="80"/>
      <c r="F51" s="80"/>
      <c r="G51" s="80"/>
    </row>
    <row r="52" spans="1:7">
      <c r="A52" s="80"/>
      <c r="B52" s="80"/>
      <c r="C52" s="80"/>
      <c r="D52" s="80"/>
      <c r="E52" s="80"/>
      <c r="F52" s="80"/>
      <c r="G52" s="80"/>
    </row>
    <row r="53" spans="1:7" ht="14.4">
      <c r="A53" s="80"/>
      <c r="B53" s="104" t="s">
        <v>93</v>
      </c>
      <c r="C53" s="104" t="s">
        <v>67</v>
      </c>
      <c r="D53" s="104" t="s">
        <v>68</v>
      </c>
      <c r="E53" s="104" t="s">
        <v>69</v>
      </c>
      <c r="F53" s="80"/>
      <c r="G53" s="80"/>
    </row>
    <row r="54" spans="1:7">
      <c r="A54" s="105" t="s">
        <v>70</v>
      </c>
      <c r="B54" s="117" t="s">
        <v>94</v>
      </c>
      <c r="C54" s="107" t="s">
        <v>75</v>
      </c>
      <c r="D54" s="106">
        <f t="shared" ref="D54:D59" si="1">IF(C54="S",1,0)</f>
        <v>1</v>
      </c>
      <c r="E54" s="108"/>
      <c r="F54" s="80"/>
      <c r="G54" s="80"/>
    </row>
    <row r="55" spans="1:7">
      <c r="A55" s="105" t="s">
        <v>73</v>
      </c>
      <c r="B55" s="117" t="s">
        <v>95</v>
      </c>
      <c r="C55" s="107" t="s">
        <v>75</v>
      </c>
      <c r="D55" s="106">
        <f t="shared" si="1"/>
        <v>1</v>
      </c>
      <c r="E55" s="108"/>
      <c r="F55" s="80"/>
      <c r="G55" s="80"/>
    </row>
    <row r="56" spans="1:7">
      <c r="A56" s="105" t="s">
        <v>76</v>
      </c>
      <c r="B56" s="117" t="s">
        <v>96</v>
      </c>
      <c r="C56" s="107" t="s">
        <v>72</v>
      </c>
      <c r="D56" s="106">
        <f t="shared" si="1"/>
        <v>0</v>
      </c>
      <c r="E56" s="108"/>
      <c r="F56" s="80"/>
      <c r="G56" s="80"/>
    </row>
    <row r="57" spans="1:7">
      <c r="A57" s="105" t="s">
        <v>78</v>
      </c>
      <c r="B57" s="117" t="s">
        <v>97</v>
      </c>
      <c r="C57" s="107" t="s">
        <v>72</v>
      </c>
      <c r="D57" s="106">
        <f t="shared" si="1"/>
        <v>0</v>
      </c>
      <c r="E57" s="108"/>
      <c r="F57" s="80"/>
      <c r="G57" s="80"/>
    </row>
    <row r="58" spans="1:7">
      <c r="A58" s="105" t="s">
        <v>80</v>
      </c>
      <c r="B58" s="117" t="s">
        <v>98</v>
      </c>
      <c r="C58" s="107" t="s">
        <v>75</v>
      </c>
      <c r="D58" s="106">
        <f t="shared" si="1"/>
        <v>1</v>
      </c>
      <c r="E58" s="108"/>
      <c r="F58" s="80"/>
      <c r="G58" s="80"/>
    </row>
    <row r="59" spans="1:7">
      <c r="A59" s="105" t="s">
        <v>82</v>
      </c>
      <c r="B59" s="117" t="s">
        <v>99</v>
      </c>
      <c r="C59" s="107" t="s">
        <v>75</v>
      </c>
      <c r="D59" s="106">
        <f t="shared" si="1"/>
        <v>1</v>
      </c>
      <c r="E59" s="108"/>
      <c r="F59" s="80"/>
      <c r="G59" s="80"/>
    </row>
    <row r="60" spans="1:7" ht="14.4">
      <c r="A60" s="80"/>
      <c r="B60" s="104"/>
      <c r="C60" s="104"/>
      <c r="D60" s="104">
        <f>SUM(D54:D59)</f>
        <v>4</v>
      </c>
      <c r="E60" s="104" t="str">
        <f>_xlfn.XLOOKUP(D60,$C$41:$C$47,$B$41:$B$47)</f>
        <v>Médio/Alto</v>
      </c>
      <c r="F60" s="80"/>
      <c r="G60" s="80"/>
    </row>
    <row r="61" spans="1:7" ht="14.4" thickBot="1">
      <c r="A61" s="80"/>
      <c r="B61" s="80"/>
      <c r="C61" s="80"/>
      <c r="D61" s="80"/>
      <c r="E61" s="80"/>
      <c r="F61" s="80"/>
      <c r="G61" s="80"/>
    </row>
    <row r="62" spans="1:7" ht="15" thickBot="1">
      <c r="A62" s="80"/>
      <c r="B62" s="118" t="s">
        <v>100</v>
      </c>
      <c r="C62" s="112" t="s">
        <v>101</v>
      </c>
      <c r="D62" s="80"/>
      <c r="E62" s="80"/>
      <c r="F62" s="80"/>
      <c r="G62" s="80"/>
    </row>
    <row r="63" spans="1:7" ht="14.4">
      <c r="A63" s="80"/>
      <c r="B63" s="114" t="str">
        <f>B51</f>
        <v>Total de receitas</v>
      </c>
      <c r="C63" s="116">
        <f>_xlfn.XLOOKUP(B63,'Tabela Benckmarking'!$B$60:$B$64,'Tabela Benckmarking'!$F$60:$F$64)</f>
        <v>0.57501999999999998</v>
      </c>
      <c r="D63" s="80"/>
      <c r="E63" s="80"/>
      <c r="F63" s="80"/>
      <c r="G63" s="80"/>
    </row>
    <row r="64" spans="1:7">
      <c r="A64" s="80"/>
      <c r="B64" s="80"/>
      <c r="C64" s="80"/>
      <c r="D64" s="80"/>
      <c r="E64" s="80"/>
      <c r="F64" s="80"/>
      <c r="G64" s="80"/>
    </row>
    <row r="65" spans="1:7">
      <c r="A65" s="80"/>
      <c r="B65" s="80"/>
      <c r="C65" s="80"/>
      <c r="D65" s="80"/>
      <c r="E65" s="80"/>
      <c r="F65" s="80"/>
      <c r="G65" s="80"/>
    </row>
    <row r="66" spans="1:7">
      <c r="A66" s="80"/>
      <c r="B66" s="80"/>
      <c r="C66" s="80"/>
      <c r="D66" s="80"/>
      <c r="E66" s="80"/>
      <c r="F66" s="80"/>
      <c r="G66" s="80"/>
    </row>
    <row r="67" spans="1:7">
      <c r="A67" s="80"/>
      <c r="B67" s="80"/>
      <c r="C67" s="80"/>
      <c r="D67" s="80"/>
      <c r="E67" s="80"/>
      <c r="F67" s="80"/>
      <c r="G67" s="80"/>
    </row>
    <row r="68" spans="1:7">
      <c r="A68" s="80"/>
      <c r="B68" s="80"/>
      <c r="C68" s="80"/>
      <c r="D68" s="80"/>
      <c r="E68" s="80"/>
      <c r="F68" s="80"/>
      <c r="G68" s="80"/>
    </row>
    <row r="69" spans="1:7">
      <c r="A69" s="80"/>
      <c r="B69" s="80"/>
      <c r="C69" s="80"/>
      <c r="D69" s="80"/>
      <c r="E69" s="80"/>
      <c r="F69" s="80"/>
      <c r="G69" s="80"/>
    </row>
  </sheetData>
  <mergeCells count="5">
    <mergeCell ref="B8:D8"/>
    <mergeCell ref="B9:D9"/>
    <mergeCell ref="B7:D7"/>
    <mergeCell ref="C26:D26"/>
    <mergeCell ref="C24:D24"/>
  </mergeCells>
  <dataValidations count="2">
    <dataValidation type="list" allowBlank="1" showInputMessage="1" showErrorMessage="1" sqref="C32:C37 C54:C59" xr:uid="{BE0FA6C4-4D6A-4F56-80E3-912F31AB17B8}">
      <formula1>"S,N"</formula1>
    </dataValidation>
    <dataValidation type="list" allowBlank="1" showInputMessage="1" showErrorMessage="1" sqref="B51" xr:uid="{F9485DE8-CAE8-443F-B112-CA2CAFA1A06C}">
      <formula1>$B$15:$B$19</formula1>
    </dataValidation>
  </dataValidations>
  <hyperlinks>
    <hyperlink ref="B12" location="'Tabela Benckmarking'!A1" display="Determinação do Benchmark" xr:uid="{449684AE-5391-4DDA-9F2D-B1457488DE2D}"/>
  </hyperlinks>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6534-BFA5-4867-885D-E94FE1EA8DA6}">
  <dimension ref="A8:T75"/>
  <sheetViews>
    <sheetView showGridLines="0" topLeftCell="A10" zoomScale="80" zoomScaleNormal="80" workbookViewId="0">
      <selection activeCell="B62" sqref="B62"/>
    </sheetView>
  </sheetViews>
  <sheetFormatPr defaultRowHeight="13.2" outlineLevelRow="1"/>
  <cols>
    <col min="1" max="1" width="3.6640625" customWidth="1"/>
    <col min="2" max="2" width="21.44140625" bestFit="1" customWidth="1"/>
    <col min="3" max="3" width="10.109375" bestFit="1" customWidth="1"/>
    <col min="4" max="4" width="10.44140625" bestFit="1" customWidth="1"/>
    <col min="5" max="5" width="7.33203125" bestFit="1" customWidth="1"/>
    <col min="6" max="6" width="14.6640625" bestFit="1" customWidth="1"/>
    <col min="7" max="7" width="10.5546875" bestFit="1" customWidth="1"/>
    <col min="8" max="8" width="10.88671875" bestFit="1" customWidth="1"/>
    <col min="9" max="9" width="3.6640625" customWidth="1"/>
    <col min="10" max="10" width="13.33203125" bestFit="1" customWidth="1"/>
    <col min="11" max="11" width="10.5546875" bestFit="1" customWidth="1"/>
    <col min="12" max="12" width="10.88671875" bestFit="1" customWidth="1"/>
    <col min="13" max="13" width="3.6640625" customWidth="1"/>
    <col min="14" max="14" width="16.33203125" bestFit="1" customWidth="1"/>
    <col min="15" max="15" width="10.5546875" bestFit="1" customWidth="1"/>
    <col min="16" max="16" width="10.88671875" bestFit="1" customWidth="1"/>
    <col min="17" max="17" width="3.6640625" customWidth="1"/>
    <col min="18" max="18" width="15.6640625" bestFit="1" customWidth="1"/>
    <col min="19" max="19" width="10.5546875" bestFit="1" customWidth="1"/>
    <col min="20" max="20" width="10.88671875" bestFit="1" customWidth="1"/>
  </cols>
  <sheetData>
    <row r="8" spans="2:20">
      <c r="B8" s="60" t="s">
        <v>102</v>
      </c>
    </row>
    <row r="9" spans="2:20">
      <c r="B9" s="63" t="s">
        <v>103</v>
      </c>
    </row>
    <row r="11" spans="2:20">
      <c r="B11" s="60" t="s">
        <v>104</v>
      </c>
    </row>
    <row r="12" spans="2:20">
      <c r="B12" s="63" t="s">
        <v>105</v>
      </c>
    </row>
    <row r="13" spans="2:20">
      <c r="B13" s="63" t="s">
        <v>106</v>
      </c>
    </row>
    <row r="14" spans="2:20" ht="13.8" thickBot="1">
      <c r="B14" s="69" t="s">
        <v>107</v>
      </c>
      <c r="C14" s="68"/>
      <c r="D14" s="68"/>
      <c r="E14" s="68"/>
      <c r="F14" s="68"/>
      <c r="G14" s="68"/>
      <c r="H14" s="68"/>
      <c r="I14" s="68"/>
      <c r="J14" s="68"/>
      <c r="K14" s="68"/>
      <c r="L14" s="68"/>
      <c r="M14" s="68"/>
      <c r="N14" s="68"/>
      <c r="O14" s="68"/>
      <c r="P14" s="68"/>
      <c r="Q14" s="68"/>
      <c r="R14" s="68"/>
      <c r="S14" s="68"/>
      <c r="T14" s="68"/>
    </row>
    <row r="15" spans="2:20" ht="13.8" outlineLevel="1" thickTop="1">
      <c r="H15" s="60"/>
    </row>
    <row r="16" spans="2:20" ht="14.4" outlineLevel="1">
      <c r="B16" s="58" t="s">
        <v>108</v>
      </c>
      <c r="C16" s="58" t="s">
        <v>68</v>
      </c>
      <c r="D16" s="58" t="s">
        <v>59</v>
      </c>
      <c r="F16" s="58" t="s">
        <v>108</v>
      </c>
      <c r="G16" s="58" t="s">
        <v>68</v>
      </c>
      <c r="H16" s="58" t="s">
        <v>59</v>
      </c>
      <c r="J16" s="58" t="s">
        <v>108</v>
      </c>
      <c r="K16" s="58" t="s">
        <v>68</v>
      </c>
      <c r="L16" s="58" t="s">
        <v>59</v>
      </c>
      <c r="M16" s="79"/>
      <c r="N16" s="58" t="s">
        <v>108</v>
      </c>
      <c r="O16" s="58" t="s">
        <v>68</v>
      </c>
      <c r="P16" s="58" t="s">
        <v>59</v>
      </c>
      <c r="Q16" s="79"/>
      <c r="R16" s="58" t="s">
        <v>108</v>
      </c>
      <c r="S16" s="58" t="s">
        <v>68</v>
      </c>
      <c r="T16" s="58" t="s">
        <v>59</v>
      </c>
    </row>
    <row r="17" spans="2:20" ht="13.8" outlineLevel="1">
      <c r="B17" s="40" t="str">
        <f>B26</f>
        <v>Lucro antes dos impostos</v>
      </c>
      <c r="C17">
        <f>'% Benchmark'!$D38</f>
        <v>4</v>
      </c>
      <c r="D17" s="71">
        <f>AVERAGE(_xlfn.XLOOKUP($C17,$B$28:$B$41,$C$28:$C$41),_xlfn.XLOOKUP($C17,$B$28:$B$41,$D$28:$D$41))/100</f>
        <v>4.4602499999999982E-2</v>
      </c>
      <c r="F17" s="40" t="str">
        <f>F26</f>
        <v>Total de receitas</v>
      </c>
      <c r="G17">
        <f>'% Benchmark'!$D38</f>
        <v>4</v>
      </c>
      <c r="H17" s="71">
        <f>AVERAGE(_xlfn.XLOOKUP(G17,F$28:F$34,G$28:G$34),_xlfn.XLOOKUP(G17,F$28:F$34,H$28:H$34))/100</f>
        <v>1.252E-2</v>
      </c>
      <c r="J17" s="40" t="str">
        <f>J26</f>
        <v>Total de ativos</v>
      </c>
      <c r="K17">
        <f>'% Benchmark'!$D38</f>
        <v>4</v>
      </c>
      <c r="L17" s="71">
        <f>AVERAGE(_xlfn.XLOOKUP(K17,J$28:J$34,K$28:K$34),_xlfn.XLOOKUP(K17,J$28:J$34,L$28:L$34))/100</f>
        <v>1.252E-2</v>
      </c>
      <c r="M17" s="79"/>
      <c r="N17" s="40" t="str">
        <f>N26</f>
        <v>Patrimônio líquido</v>
      </c>
      <c r="O17">
        <f>'% Benchmark'!$D38</f>
        <v>4</v>
      </c>
      <c r="P17" s="71">
        <f>AVERAGE(_xlfn.XLOOKUP($O17,$N$28:$N$41,$O$28:$O$41),_xlfn.XLOOKUP($O17,$N$28:$N$41,$P$28:$P$41))/100</f>
        <v>4.4602499999999982E-2</v>
      </c>
      <c r="Q17" s="79"/>
      <c r="R17" s="40" t="str">
        <f>R26</f>
        <v>Total de despesas</v>
      </c>
      <c r="S17">
        <f>'% Benchmark'!$D38</f>
        <v>4</v>
      </c>
      <c r="T17" s="71">
        <f>AVERAGE(_xlfn.XLOOKUP(S17,R$28:R$34,S$28:S$34),_xlfn.XLOOKUP(S17,R$28:R$34,T$28:T$34))/100</f>
        <v>1.252E-2</v>
      </c>
    </row>
    <row r="18" spans="2:20" ht="14.4" outlineLevel="1">
      <c r="B18" s="58" t="s">
        <v>108</v>
      </c>
      <c r="C18" s="58" t="s">
        <v>68</v>
      </c>
      <c r="D18" s="58" t="s">
        <v>33</v>
      </c>
      <c r="F18" s="58" t="s">
        <v>108</v>
      </c>
      <c r="G18" s="58" t="s">
        <v>68</v>
      </c>
      <c r="H18" s="58" t="s">
        <v>33</v>
      </c>
      <c r="J18" s="58" t="s">
        <v>108</v>
      </c>
      <c r="K18" s="58" t="s">
        <v>68</v>
      </c>
      <c r="L18" s="58" t="s">
        <v>33</v>
      </c>
      <c r="M18" s="79"/>
      <c r="N18" s="58" t="s">
        <v>108</v>
      </c>
      <c r="O18" s="58" t="s">
        <v>68</v>
      </c>
      <c r="P18" s="58" t="s">
        <v>33</v>
      </c>
      <c r="Q18" s="79"/>
      <c r="R18" s="58" t="s">
        <v>108</v>
      </c>
      <c r="S18" s="58" t="s">
        <v>68</v>
      </c>
      <c r="T18" s="58" t="s">
        <v>33</v>
      </c>
    </row>
    <row r="19" spans="2:20" outlineLevel="1">
      <c r="B19" t="str">
        <f>B17</f>
        <v>Lucro antes dos impostos</v>
      </c>
      <c r="C19">
        <f>C17</f>
        <v>4</v>
      </c>
      <c r="D19" s="71">
        <f>AVERAGE(_xlfn.XLOOKUP(C19,$B$49:$B$55,$C$49:$C$55),_xlfn.XLOOKUP(C19,$B$49:$B$55,$D$49:$D$55))/100</f>
        <v>3.6019999999999996E-2</v>
      </c>
      <c r="F19" t="str">
        <f>F17</f>
        <v>Total de receitas</v>
      </c>
      <c r="G19">
        <f>'% Benchmark'!D38</f>
        <v>4</v>
      </c>
      <c r="H19" s="71">
        <f>AVERAGE(_xlfn.XLOOKUP(G19,$B$49:$B$55,$C$49:$C$55),_xlfn.XLOOKUP(G19,$B$49:$B$55,$D$49:$D$55))/100</f>
        <v>3.6019999999999996E-2</v>
      </c>
      <c r="J19" t="str">
        <f>J17</f>
        <v>Total de ativos</v>
      </c>
      <c r="K19">
        <f>'% Benchmark'!H38</f>
        <v>0</v>
      </c>
      <c r="L19" s="71">
        <f>AVERAGE(_xlfn.XLOOKUP(K19,$B$49:$B$55,$C$49:$C$55),_xlfn.XLOOKUP(K19,$B$49:$B$55,$D$49:$D$55))/100</f>
        <v>0.05</v>
      </c>
      <c r="M19" s="79"/>
      <c r="N19" t="str">
        <f>N17</f>
        <v>Patrimônio líquido</v>
      </c>
      <c r="O19">
        <f>O17</f>
        <v>4</v>
      </c>
      <c r="P19" s="71">
        <f>AVERAGE(_xlfn.XLOOKUP(O19,$B$49:$B$55,$C$49:$C$55),_xlfn.XLOOKUP(O19,$B$49:$B$55,$D$49:$D$55))/100</f>
        <v>3.6019999999999996E-2</v>
      </c>
      <c r="Q19" s="79"/>
      <c r="R19" t="str">
        <f>R17</f>
        <v>Total de despesas</v>
      </c>
      <c r="S19">
        <f>'% Benchmark'!P38</f>
        <v>0</v>
      </c>
      <c r="T19" s="71">
        <f>AVERAGE(_xlfn.XLOOKUP(S19,$B$49:$B$55,$C$49:$C$55),_xlfn.XLOOKUP(S19,$B$49:$B$55,$D$49:$D$55))/100</f>
        <v>0.05</v>
      </c>
    </row>
    <row r="20" spans="2:20" ht="14.4" outlineLevel="1">
      <c r="B20" s="58" t="s">
        <v>101</v>
      </c>
      <c r="C20" s="58" t="s">
        <v>68</v>
      </c>
      <c r="D20" s="58" t="s">
        <v>101</v>
      </c>
      <c r="F20" s="58" t="s">
        <v>101</v>
      </c>
      <c r="G20" s="58" t="s">
        <v>68</v>
      </c>
      <c r="H20" s="58" t="s">
        <v>101</v>
      </c>
      <c r="J20" s="58" t="s">
        <v>101</v>
      </c>
      <c r="K20" s="58" t="s">
        <v>68</v>
      </c>
      <c r="L20" s="58" t="s">
        <v>101</v>
      </c>
      <c r="M20" s="79"/>
      <c r="N20" s="58" t="s">
        <v>101</v>
      </c>
      <c r="O20" s="58" t="s">
        <v>68</v>
      </c>
      <c r="P20" s="58" t="s">
        <v>101</v>
      </c>
      <c r="Q20" s="79"/>
      <c r="R20" s="58" t="s">
        <v>101</v>
      </c>
      <c r="S20" s="58" t="s">
        <v>68</v>
      </c>
      <c r="T20" s="58" t="s">
        <v>101</v>
      </c>
    </row>
    <row r="21" spans="2:20" outlineLevel="1">
      <c r="B21" t="str">
        <f>B17</f>
        <v>Lucro antes dos impostos</v>
      </c>
      <c r="C21">
        <f>'% Benchmark'!$D60</f>
        <v>4</v>
      </c>
      <c r="D21" s="71">
        <f>AVERAGE(_xlfn.XLOOKUP(C21,$F$49:$F$55,$G$49:$G$55),_xlfn.XLOOKUP(C21,$F$49:$F$55,$H$49:$H$55))/100</f>
        <v>0.57501999999999998</v>
      </c>
      <c r="F21" t="str">
        <f>F17</f>
        <v>Total de receitas</v>
      </c>
      <c r="G21">
        <f>'% Benchmark'!$D60</f>
        <v>4</v>
      </c>
      <c r="H21" s="71">
        <f>AVERAGE(_xlfn.XLOOKUP(G21,$F$49:$F$55,$G$49:$G$55),_xlfn.XLOOKUP(G21,$F$49:$F$55,$H$49:$H$55))/100</f>
        <v>0.57501999999999998</v>
      </c>
      <c r="J21" t="str">
        <f>J17</f>
        <v>Total de ativos</v>
      </c>
      <c r="K21">
        <f>'% Benchmark'!$D60</f>
        <v>4</v>
      </c>
      <c r="L21" s="71">
        <f>AVERAGE(_xlfn.XLOOKUP(K21,$F$49:$F$55,$G$49:$G$55),_xlfn.XLOOKUP(K21,$F$49:$F$55,$H$49:$H$55))/100</f>
        <v>0.57501999999999998</v>
      </c>
      <c r="M21" s="79"/>
      <c r="N21" t="str">
        <f>N17</f>
        <v>Patrimônio líquido</v>
      </c>
      <c r="O21">
        <f>'% Benchmark'!$D60</f>
        <v>4</v>
      </c>
      <c r="P21" s="71">
        <f>AVERAGE(_xlfn.XLOOKUP(O21,$F$49:$F$55,$G$49:$G$55),_xlfn.XLOOKUP(O21,$F$49:$F$55,$H$49:$H$55))/100</f>
        <v>0.57501999999999998</v>
      </c>
      <c r="Q21" s="79"/>
      <c r="R21" t="str">
        <f>R17</f>
        <v>Total de despesas</v>
      </c>
      <c r="S21">
        <f>'% Benchmark'!$D60</f>
        <v>4</v>
      </c>
      <c r="T21" s="71">
        <f>AVERAGE(_xlfn.XLOOKUP(S21,$F$49:$F$55,$G$49:$G$55),_xlfn.XLOOKUP(S21,$F$49:$F$55,$H$49:$H$55))/100</f>
        <v>0.57501999999999998</v>
      </c>
    </row>
    <row r="22" spans="2:20" ht="13.8" outlineLevel="1" thickBot="1">
      <c r="B22" s="68"/>
      <c r="C22" s="68"/>
      <c r="D22" s="68"/>
      <c r="E22" s="68"/>
      <c r="F22" s="68"/>
      <c r="G22" s="68"/>
      <c r="H22" s="68"/>
      <c r="I22" s="68"/>
      <c r="J22" s="68"/>
      <c r="K22" s="68"/>
      <c r="L22" s="68"/>
      <c r="M22" s="68"/>
      <c r="N22" s="68"/>
      <c r="O22" s="68"/>
      <c r="P22" s="68"/>
      <c r="Q22" s="68"/>
      <c r="R22" s="68"/>
      <c r="S22" s="68"/>
      <c r="T22" s="68"/>
    </row>
    <row r="23" spans="2:20" ht="13.8" thickTop="1"/>
    <row r="24" spans="2:20" outlineLevel="1">
      <c r="C24" s="63" t="s">
        <v>109</v>
      </c>
      <c r="D24">
        <v>0.57210000000000005</v>
      </c>
      <c r="G24" s="63" t="s">
        <v>109</v>
      </c>
      <c r="H24">
        <v>0.48799999999999999</v>
      </c>
      <c r="K24" s="63" t="s">
        <v>109</v>
      </c>
      <c r="L24">
        <v>0.48799999999999999</v>
      </c>
      <c r="O24" s="63" t="s">
        <v>109</v>
      </c>
      <c r="P24">
        <v>0.57210000000000005</v>
      </c>
      <c r="S24" s="63" t="s">
        <v>109</v>
      </c>
      <c r="T24">
        <v>0.48799999999999999</v>
      </c>
    </row>
    <row r="25" spans="2:20" ht="13.8" outlineLevel="1">
      <c r="B25" s="54" t="s">
        <v>47</v>
      </c>
      <c r="C25" s="55" t="s">
        <v>48</v>
      </c>
      <c r="D25" s="55" t="s">
        <v>49</v>
      </c>
      <c r="F25" s="54" t="s">
        <v>47</v>
      </c>
      <c r="G25" s="55" t="s">
        <v>48</v>
      </c>
      <c r="H25" s="55" t="s">
        <v>49</v>
      </c>
      <c r="J25" s="54" t="s">
        <v>47</v>
      </c>
      <c r="K25" s="55" t="s">
        <v>48</v>
      </c>
      <c r="L25" s="55" t="s">
        <v>49</v>
      </c>
      <c r="N25" s="54" t="s">
        <v>47</v>
      </c>
      <c r="O25" s="55" t="s">
        <v>48</v>
      </c>
      <c r="P25" s="55" t="s">
        <v>49</v>
      </c>
      <c r="R25" s="54" t="s">
        <v>47</v>
      </c>
      <c r="S25" s="55" t="s">
        <v>48</v>
      </c>
      <c r="T25" s="55" t="s">
        <v>49</v>
      </c>
    </row>
    <row r="26" spans="2:20" ht="13.8" outlineLevel="1">
      <c r="B26" s="40" t="s">
        <v>51</v>
      </c>
      <c r="C26" s="42">
        <v>0.03</v>
      </c>
      <c r="D26" s="42">
        <v>0.1</v>
      </c>
      <c r="F26" s="40" t="s">
        <v>24</v>
      </c>
      <c r="G26" s="42">
        <v>5.0000000000000001E-3</v>
      </c>
      <c r="H26" s="43">
        <v>0.03</v>
      </c>
      <c r="J26" s="40" t="s">
        <v>54</v>
      </c>
      <c r="K26" s="44">
        <v>5.0000000000000001E-3</v>
      </c>
      <c r="L26" s="44">
        <v>0.03</v>
      </c>
      <c r="N26" s="40" t="s">
        <v>56</v>
      </c>
      <c r="O26" s="42">
        <v>0.03</v>
      </c>
      <c r="P26" s="43">
        <v>0.1</v>
      </c>
      <c r="R26" s="40" t="s">
        <v>58</v>
      </c>
      <c r="S26" s="42">
        <v>5.0000000000000001E-3</v>
      </c>
      <c r="T26" s="43">
        <v>0.03</v>
      </c>
    </row>
    <row r="27" spans="2:20" ht="13.8" outlineLevel="1">
      <c r="B27" s="54" t="s">
        <v>110</v>
      </c>
      <c r="C27" s="55" t="s">
        <v>48</v>
      </c>
      <c r="D27" s="55" t="s">
        <v>49</v>
      </c>
      <c r="F27" s="70" t="s">
        <v>110</v>
      </c>
      <c r="G27" s="134" t="s">
        <v>48</v>
      </c>
      <c r="H27" s="134" t="s">
        <v>49</v>
      </c>
      <c r="J27" s="54" t="s">
        <v>110</v>
      </c>
      <c r="K27" s="55" t="s">
        <v>48</v>
      </c>
      <c r="L27" s="55" t="s">
        <v>49</v>
      </c>
      <c r="N27" s="54" t="s">
        <v>110</v>
      </c>
      <c r="O27" s="55" t="s">
        <v>48</v>
      </c>
      <c r="P27" s="55" t="s">
        <v>49</v>
      </c>
      <c r="R27" s="54" t="s">
        <v>110</v>
      </c>
      <c r="S27" s="55" t="s">
        <v>48</v>
      </c>
      <c r="T27" s="55" t="s">
        <v>49</v>
      </c>
    </row>
    <row r="28" spans="2:20" ht="13.8" outlineLevel="1">
      <c r="B28" s="64">
        <v>6</v>
      </c>
      <c r="C28" s="73">
        <v>3</v>
      </c>
      <c r="D28" s="74">
        <v>3</v>
      </c>
      <c r="F28" s="135">
        <v>6</v>
      </c>
      <c r="G28" s="138">
        <v>0.5</v>
      </c>
      <c r="H28" s="139">
        <v>0.5</v>
      </c>
      <c r="I28" s="67"/>
      <c r="J28" s="135">
        <v>6</v>
      </c>
      <c r="K28" s="138">
        <v>0.5</v>
      </c>
      <c r="L28" s="139">
        <v>0.5</v>
      </c>
      <c r="M28" s="67"/>
      <c r="N28" s="64">
        <v>6</v>
      </c>
      <c r="O28" s="73">
        <v>3</v>
      </c>
      <c r="P28" s="74">
        <v>3</v>
      </c>
      <c r="Q28" s="67"/>
      <c r="R28" s="135">
        <v>6</v>
      </c>
      <c r="S28" s="138">
        <v>0.5</v>
      </c>
      <c r="T28" s="139">
        <v>0.5</v>
      </c>
    </row>
    <row r="29" spans="2:20" ht="13.8" outlineLevel="1">
      <c r="B29" s="65">
        <v>5</v>
      </c>
      <c r="C29" s="75">
        <f>D28+0.01</f>
        <v>3.01</v>
      </c>
      <c r="D29" s="76">
        <f>C29+$D$24</f>
        <v>3.5820999999999996</v>
      </c>
      <c r="F29" s="135">
        <v>5</v>
      </c>
      <c r="G29" s="138">
        <v>0.51</v>
      </c>
      <c r="H29" s="139">
        <f>G29+$H$24</f>
        <v>0.998</v>
      </c>
      <c r="I29" s="67"/>
      <c r="J29" s="135">
        <v>5</v>
      </c>
      <c r="K29" s="138">
        <v>0.51</v>
      </c>
      <c r="L29" s="139">
        <f>K29+$L$24</f>
        <v>0.998</v>
      </c>
      <c r="M29" s="67"/>
      <c r="N29" s="65">
        <v>5</v>
      </c>
      <c r="O29" s="75">
        <f>P28+0.01</f>
        <v>3.01</v>
      </c>
      <c r="P29" s="76">
        <f>O29+$P$24</f>
        <v>3.5820999999999996</v>
      </c>
      <c r="Q29" s="67"/>
      <c r="R29" s="135">
        <v>5</v>
      </c>
      <c r="S29" s="138">
        <v>0.51</v>
      </c>
      <c r="T29" s="139">
        <f>S29+$T$24</f>
        <v>0.998</v>
      </c>
    </row>
    <row r="30" spans="2:20" ht="13.8" outlineLevel="1">
      <c r="B30" s="65">
        <v>5</v>
      </c>
      <c r="C30" s="75">
        <f>D29+0.01</f>
        <v>3.5920999999999994</v>
      </c>
      <c r="D30" s="76">
        <f t="shared" ref="D30:D40" si="0">C30+$D$24</f>
        <v>4.1641999999999992</v>
      </c>
      <c r="F30" s="65">
        <v>4</v>
      </c>
      <c r="G30" s="75">
        <f>H29+0.01</f>
        <v>1.008</v>
      </c>
      <c r="H30" s="139">
        <f t="shared" ref="H30:H33" si="1">G30+$H$24</f>
        <v>1.496</v>
      </c>
      <c r="I30" s="67"/>
      <c r="J30" s="65">
        <v>4</v>
      </c>
      <c r="K30" s="75">
        <f>L29+0.01</f>
        <v>1.008</v>
      </c>
      <c r="L30" s="139">
        <f t="shared" ref="L30:L33" si="2">K30+$L$24</f>
        <v>1.496</v>
      </c>
      <c r="M30" s="67"/>
      <c r="N30" s="65">
        <v>5</v>
      </c>
      <c r="O30" s="75">
        <f>P29+0.01</f>
        <v>3.5920999999999994</v>
      </c>
      <c r="P30" s="76">
        <f t="shared" ref="P30:P40" si="3">O30+$P$24</f>
        <v>4.1641999999999992</v>
      </c>
      <c r="Q30" s="67"/>
      <c r="R30" s="65">
        <v>4</v>
      </c>
      <c r="S30" s="75">
        <f>T29+0.01</f>
        <v>1.008</v>
      </c>
      <c r="T30" s="139">
        <f t="shared" ref="T30:T33" si="4">S30+$T$24</f>
        <v>1.496</v>
      </c>
    </row>
    <row r="31" spans="2:20" ht="13.8" outlineLevel="1">
      <c r="B31" s="65">
        <v>4</v>
      </c>
      <c r="C31" s="75">
        <f>D30+0.01</f>
        <v>4.174199999999999</v>
      </c>
      <c r="D31" s="76">
        <f t="shared" si="0"/>
        <v>4.7462999999999989</v>
      </c>
      <c r="F31" s="65">
        <v>3</v>
      </c>
      <c r="G31" s="75">
        <f>H30+0.01</f>
        <v>1.506</v>
      </c>
      <c r="H31" s="139">
        <f t="shared" si="1"/>
        <v>1.994</v>
      </c>
      <c r="I31" s="67"/>
      <c r="J31" s="65">
        <v>3</v>
      </c>
      <c r="K31" s="75">
        <f>L30+0.01</f>
        <v>1.506</v>
      </c>
      <c r="L31" s="139">
        <f t="shared" si="2"/>
        <v>1.994</v>
      </c>
      <c r="M31" s="67"/>
      <c r="N31" s="65">
        <v>4</v>
      </c>
      <c r="O31" s="75">
        <f>P30+0.01</f>
        <v>4.174199999999999</v>
      </c>
      <c r="P31" s="76">
        <f t="shared" si="3"/>
        <v>4.7462999999999989</v>
      </c>
      <c r="Q31" s="67"/>
      <c r="R31" s="65">
        <v>3</v>
      </c>
      <c r="S31" s="75">
        <f>T30+0.01</f>
        <v>1.506</v>
      </c>
      <c r="T31" s="139">
        <f t="shared" si="4"/>
        <v>1.994</v>
      </c>
    </row>
    <row r="32" spans="2:20" ht="13.8" outlineLevel="1">
      <c r="B32" s="65">
        <v>4</v>
      </c>
      <c r="C32" s="75">
        <f t="shared" ref="C32:C40" si="5">D31+0.01</f>
        <v>4.7562999999999986</v>
      </c>
      <c r="D32" s="76">
        <f t="shared" si="0"/>
        <v>5.3283999999999985</v>
      </c>
      <c r="F32" s="65">
        <v>2</v>
      </c>
      <c r="G32" s="75">
        <f>H31+0.01</f>
        <v>2.004</v>
      </c>
      <c r="H32" s="139">
        <f t="shared" si="1"/>
        <v>2.492</v>
      </c>
      <c r="I32" s="67"/>
      <c r="J32" s="65">
        <v>2</v>
      </c>
      <c r="K32" s="75">
        <f>L31+0.01</f>
        <v>2.004</v>
      </c>
      <c r="L32" s="139">
        <f t="shared" si="2"/>
        <v>2.492</v>
      </c>
      <c r="M32" s="67"/>
      <c r="N32" s="65">
        <v>4</v>
      </c>
      <c r="O32" s="75">
        <f t="shared" ref="O32:O40" si="6">P31+0.01</f>
        <v>4.7562999999999986</v>
      </c>
      <c r="P32" s="76">
        <f t="shared" si="3"/>
        <v>5.3283999999999985</v>
      </c>
      <c r="Q32" s="67"/>
      <c r="R32" s="65">
        <v>2</v>
      </c>
      <c r="S32" s="75">
        <f>T31+0.01</f>
        <v>2.004</v>
      </c>
      <c r="T32" s="139">
        <f t="shared" si="4"/>
        <v>2.492</v>
      </c>
    </row>
    <row r="33" spans="2:20" ht="13.8" outlineLevel="1">
      <c r="B33" s="65">
        <v>3</v>
      </c>
      <c r="C33" s="75">
        <f t="shared" si="5"/>
        <v>5.3383999999999983</v>
      </c>
      <c r="D33" s="76">
        <f t="shared" si="0"/>
        <v>5.9104999999999981</v>
      </c>
      <c r="F33" s="65">
        <v>1</v>
      </c>
      <c r="G33" s="75">
        <f>H32+0.01</f>
        <v>2.5019999999999998</v>
      </c>
      <c r="H33" s="139">
        <f t="shared" si="1"/>
        <v>2.9899999999999998</v>
      </c>
      <c r="I33" s="67"/>
      <c r="J33" s="65">
        <v>1</v>
      </c>
      <c r="K33" s="75">
        <f>L32+0.01</f>
        <v>2.5019999999999998</v>
      </c>
      <c r="L33" s="139">
        <f t="shared" si="2"/>
        <v>2.9899999999999998</v>
      </c>
      <c r="M33" s="67"/>
      <c r="N33" s="65">
        <v>3</v>
      </c>
      <c r="O33" s="75">
        <f t="shared" si="6"/>
        <v>5.3383999999999983</v>
      </c>
      <c r="P33" s="76">
        <f t="shared" si="3"/>
        <v>5.9104999999999981</v>
      </c>
      <c r="Q33" s="67"/>
      <c r="R33" s="65">
        <v>1</v>
      </c>
      <c r="S33" s="75">
        <f>T32+0.01</f>
        <v>2.5019999999999998</v>
      </c>
      <c r="T33" s="139">
        <f t="shared" si="4"/>
        <v>2.9899999999999998</v>
      </c>
    </row>
    <row r="34" spans="2:20" ht="13.8" outlineLevel="1">
      <c r="B34" s="65">
        <v>3</v>
      </c>
      <c r="C34" s="75">
        <f t="shared" si="5"/>
        <v>5.9204999999999979</v>
      </c>
      <c r="D34" s="76">
        <f t="shared" si="0"/>
        <v>6.4925999999999977</v>
      </c>
      <c r="F34" s="66">
        <v>0</v>
      </c>
      <c r="G34" s="77">
        <v>3</v>
      </c>
      <c r="H34" s="78">
        <v>3</v>
      </c>
      <c r="I34" s="67"/>
      <c r="J34" s="66">
        <v>0</v>
      </c>
      <c r="K34" s="77">
        <v>3</v>
      </c>
      <c r="L34" s="78">
        <v>3</v>
      </c>
      <c r="M34" s="67"/>
      <c r="N34" s="65">
        <v>3</v>
      </c>
      <c r="O34" s="75">
        <f t="shared" si="6"/>
        <v>5.9204999999999979</v>
      </c>
      <c r="P34" s="76">
        <f t="shared" si="3"/>
        <v>6.4925999999999977</v>
      </c>
      <c r="Q34" s="67"/>
      <c r="R34" s="66">
        <v>0</v>
      </c>
      <c r="S34" s="77">
        <v>3</v>
      </c>
      <c r="T34" s="78">
        <v>3</v>
      </c>
    </row>
    <row r="35" spans="2:20" ht="13.8" outlineLevel="1">
      <c r="B35" s="65">
        <v>2</v>
      </c>
      <c r="C35" s="75">
        <f t="shared" si="5"/>
        <v>6.5025999999999975</v>
      </c>
      <c r="D35" s="76">
        <f t="shared" si="0"/>
        <v>7.0746999999999973</v>
      </c>
      <c r="F35" s="67"/>
      <c r="G35" s="67"/>
      <c r="H35" s="67"/>
      <c r="J35" s="67"/>
      <c r="K35" s="67"/>
      <c r="L35" s="67"/>
      <c r="M35" s="67"/>
      <c r="N35" s="65">
        <v>2</v>
      </c>
      <c r="O35" s="75">
        <f t="shared" si="6"/>
        <v>6.5025999999999975</v>
      </c>
      <c r="P35" s="76">
        <f t="shared" si="3"/>
        <v>7.0746999999999973</v>
      </c>
      <c r="Q35" s="67"/>
      <c r="R35" s="67"/>
      <c r="S35" s="67"/>
      <c r="T35" s="67"/>
    </row>
    <row r="36" spans="2:20" ht="13.8" outlineLevel="1">
      <c r="B36" s="65">
        <v>2</v>
      </c>
      <c r="C36" s="75">
        <f t="shared" si="5"/>
        <v>7.0846999999999971</v>
      </c>
      <c r="D36" s="76">
        <f t="shared" si="0"/>
        <v>7.6567999999999969</v>
      </c>
      <c r="J36" s="67"/>
      <c r="K36" s="67"/>
      <c r="L36" s="67"/>
      <c r="M36" s="67"/>
      <c r="N36" s="65">
        <v>2</v>
      </c>
      <c r="O36" s="75">
        <f t="shared" si="6"/>
        <v>7.0846999999999971</v>
      </c>
      <c r="P36" s="76">
        <f t="shared" si="3"/>
        <v>7.6567999999999969</v>
      </c>
      <c r="Q36" s="67"/>
      <c r="R36" s="67"/>
      <c r="S36" s="67"/>
      <c r="T36" s="67"/>
    </row>
    <row r="37" spans="2:20" ht="13.8" outlineLevel="1">
      <c r="B37" s="65">
        <v>2</v>
      </c>
      <c r="C37" s="75">
        <f t="shared" si="5"/>
        <v>7.6667999999999967</v>
      </c>
      <c r="D37" s="76">
        <f t="shared" si="0"/>
        <v>8.2388999999999974</v>
      </c>
      <c r="J37" s="67"/>
      <c r="K37" s="67"/>
      <c r="L37" s="67"/>
      <c r="M37" s="67"/>
      <c r="N37" s="65">
        <v>2</v>
      </c>
      <c r="O37" s="75">
        <f t="shared" si="6"/>
        <v>7.6667999999999967</v>
      </c>
      <c r="P37" s="76">
        <f t="shared" si="3"/>
        <v>8.2388999999999974</v>
      </c>
      <c r="Q37" s="67"/>
      <c r="R37" s="67"/>
      <c r="S37" s="67"/>
      <c r="T37" s="67"/>
    </row>
    <row r="38" spans="2:20" ht="13.8" outlineLevel="1">
      <c r="B38" s="65">
        <v>1</v>
      </c>
      <c r="C38" s="75">
        <f t="shared" si="5"/>
        <v>8.2488999999999972</v>
      </c>
      <c r="D38" s="76">
        <f t="shared" si="0"/>
        <v>8.820999999999998</v>
      </c>
      <c r="J38" s="67"/>
      <c r="K38" s="67"/>
      <c r="L38" s="67"/>
      <c r="M38" s="67"/>
      <c r="N38" s="65">
        <v>1</v>
      </c>
      <c r="O38" s="75">
        <f t="shared" si="6"/>
        <v>8.2488999999999972</v>
      </c>
      <c r="P38" s="76">
        <f t="shared" si="3"/>
        <v>8.820999999999998</v>
      </c>
      <c r="Q38" s="67"/>
      <c r="R38" s="67"/>
      <c r="S38" s="67"/>
      <c r="T38" s="67"/>
    </row>
    <row r="39" spans="2:20" ht="13.8" outlineLevel="1">
      <c r="B39" s="65">
        <v>1</v>
      </c>
      <c r="C39" s="75">
        <f t="shared" si="5"/>
        <v>8.8309999999999977</v>
      </c>
      <c r="D39" s="76">
        <f t="shared" si="0"/>
        <v>9.4030999999999985</v>
      </c>
      <c r="J39" s="67"/>
      <c r="K39" s="67"/>
      <c r="L39" s="67"/>
      <c r="M39" s="67"/>
      <c r="N39" s="65">
        <v>1</v>
      </c>
      <c r="O39" s="75">
        <f t="shared" si="6"/>
        <v>8.8309999999999977</v>
      </c>
      <c r="P39" s="76">
        <f t="shared" si="3"/>
        <v>9.4030999999999985</v>
      </c>
      <c r="Q39" s="67"/>
      <c r="R39" s="67"/>
      <c r="S39" s="67"/>
      <c r="T39" s="67"/>
    </row>
    <row r="40" spans="2:20" ht="13.8" outlineLevel="1">
      <c r="B40" s="65">
        <v>1</v>
      </c>
      <c r="C40" s="75">
        <f t="shared" si="5"/>
        <v>9.4130999999999982</v>
      </c>
      <c r="D40" s="76">
        <f t="shared" si="0"/>
        <v>9.985199999999999</v>
      </c>
      <c r="J40" s="67"/>
      <c r="K40" s="67"/>
      <c r="L40" s="67"/>
      <c r="M40" s="67"/>
      <c r="N40" s="65">
        <v>1</v>
      </c>
      <c r="O40" s="75">
        <f t="shared" si="6"/>
        <v>9.4130999999999982</v>
      </c>
      <c r="P40" s="76">
        <f t="shared" si="3"/>
        <v>9.985199999999999</v>
      </c>
      <c r="Q40" s="67"/>
      <c r="R40" s="67"/>
      <c r="S40" s="67"/>
      <c r="T40" s="67"/>
    </row>
    <row r="41" spans="2:20" ht="13.8" outlineLevel="1">
      <c r="B41" s="66">
        <v>0</v>
      </c>
      <c r="C41" s="77">
        <v>10</v>
      </c>
      <c r="D41" s="78">
        <f>C41</f>
        <v>10</v>
      </c>
      <c r="J41" s="67"/>
      <c r="K41" s="67"/>
      <c r="L41" s="67"/>
      <c r="M41" s="67"/>
      <c r="N41" s="66">
        <v>0</v>
      </c>
      <c r="O41" s="77">
        <v>10</v>
      </c>
      <c r="P41" s="78">
        <f>O41</f>
        <v>10</v>
      </c>
      <c r="Q41" s="67"/>
      <c r="R41" s="67"/>
      <c r="S41" s="67"/>
      <c r="T41" s="67"/>
    </row>
    <row r="42" spans="2:20" outlineLevel="1"/>
    <row r="43" spans="2:20" ht="13.8" outlineLevel="1" thickBot="1">
      <c r="B43" s="68"/>
      <c r="C43" s="68"/>
      <c r="D43" s="68"/>
      <c r="E43" s="68"/>
      <c r="F43" s="68"/>
      <c r="G43" s="68"/>
      <c r="H43" s="68"/>
      <c r="I43" s="68"/>
      <c r="J43" s="68"/>
      <c r="K43" s="68"/>
      <c r="L43" s="68"/>
      <c r="M43" s="68"/>
      <c r="N43" s="68"/>
      <c r="O43" s="68"/>
      <c r="P43" s="68"/>
      <c r="Q43" s="68"/>
      <c r="R43" s="68"/>
      <c r="S43" s="68"/>
      <c r="T43" s="68"/>
    </row>
    <row r="44" spans="2:20" ht="13.8" thickTop="1"/>
    <row r="45" spans="2:20">
      <c r="B45" s="60" t="s">
        <v>33</v>
      </c>
      <c r="C45" s="60" t="s">
        <v>109</v>
      </c>
      <c r="D45" s="60">
        <v>0.38800000000000001</v>
      </c>
      <c r="F45" s="60" t="s">
        <v>101</v>
      </c>
      <c r="G45" s="60" t="s">
        <v>109</v>
      </c>
      <c r="H45" s="60">
        <v>4.9880000000000004</v>
      </c>
    </row>
    <row r="46" spans="2:20" ht="13.8" outlineLevel="1">
      <c r="B46" s="54" t="s">
        <v>47</v>
      </c>
      <c r="C46" s="55" t="s">
        <v>48</v>
      </c>
      <c r="D46" s="55" t="s">
        <v>49</v>
      </c>
      <c r="F46" s="54" t="s">
        <v>47</v>
      </c>
      <c r="G46" s="55" t="s">
        <v>48</v>
      </c>
      <c r="H46" s="55" t="s">
        <v>49</v>
      </c>
    </row>
    <row r="47" spans="2:20" ht="13.8" outlineLevel="1">
      <c r="B47" s="40" t="s">
        <v>33</v>
      </c>
      <c r="C47" s="42">
        <v>0.03</v>
      </c>
      <c r="D47" s="42">
        <v>0.05</v>
      </c>
      <c r="F47" s="40" t="s">
        <v>101</v>
      </c>
      <c r="G47" s="42">
        <v>0.5</v>
      </c>
      <c r="H47" s="42">
        <v>0.75</v>
      </c>
    </row>
    <row r="48" spans="2:20" ht="13.8" outlineLevel="1">
      <c r="B48" s="54" t="s">
        <v>110</v>
      </c>
      <c r="C48" s="55" t="s">
        <v>48</v>
      </c>
      <c r="D48" s="55" t="s">
        <v>49</v>
      </c>
      <c r="F48" s="54" t="s">
        <v>110</v>
      </c>
      <c r="G48" s="55" t="s">
        <v>48</v>
      </c>
      <c r="H48" s="55" t="s">
        <v>49</v>
      </c>
    </row>
    <row r="49" spans="2:8" ht="13.8" outlineLevel="1">
      <c r="B49" s="65">
        <v>6</v>
      </c>
      <c r="C49" s="75">
        <v>3</v>
      </c>
      <c r="D49" s="76">
        <v>3</v>
      </c>
      <c r="F49" s="65">
        <v>6</v>
      </c>
      <c r="G49" s="75">
        <v>50</v>
      </c>
      <c r="H49" s="76">
        <v>50</v>
      </c>
    </row>
    <row r="50" spans="2:8" ht="13.8" outlineLevel="1">
      <c r="B50" s="65">
        <v>5</v>
      </c>
      <c r="C50" s="75">
        <f t="shared" ref="C50" si="7">D49+0.01</f>
        <v>3.01</v>
      </c>
      <c r="D50" s="76">
        <f t="shared" ref="D50" si="8">C50+$D$45</f>
        <v>3.3979999999999997</v>
      </c>
      <c r="F50" s="65">
        <v>5</v>
      </c>
      <c r="G50" s="75">
        <f t="shared" ref="G50" si="9">H49+0.01</f>
        <v>50.01</v>
      </c>
      <c r="H50" s="76">
        <f>G50+$H$45</f>
        <v>54.997999999999998</v>
      </c>
    </row>
    <row r="51" spans="2:8" ht="13.8" outlineLevel="1">
      <c r="B51" s="65">
        <v>4</v>
      </c>
      <c r="C51" s="75">
        <f>D50+0.01</f>
        <v>3.4079999999999995</v>
      </c>
      <c r="D51" s="76">
        <f>C51+$D$45</f>
        <v>3.7959999999999994</v>
      </c>
      <c r="F51" s="65">
        <v>4</v>
      </c>
      <c r="G51" s="75">
        <f>H50+0.01</f>
        <v>55.007999999999996</v>
      </c>
      <c r="H51" s="76">
        <f t="shared" ref="H51:H54" si="10">G51+$H$45</f>
        <v>59.995999999999995</v>
      </c>
    </row>
    <row r="52" spans="2:8" ht="13.8" outlineLevel="1">
      <c r="B52" s="65">
        <v>3</v>
      </c>
      <c r="C52" s="75">
        <f>D51+0.01</f>
        <v>3.8059999999999992</v>
      </c>
      <c r="D52" s="76">
        <f t="shared" ref="D52:D54" si="11">C52+$D$45</f>
        <v>4.1939999999999991</v>
      </c>
      <c r="F52" s="65">
        <v>3</v>
      </c>
      <c r="G52" s="75">
        <f>H51+0.01</f>
        <v>60.005999999999993</v>
      </c>
      <c r="H52" s="76">
        <f t="shared" si="10"/>
        <v>64.994</v>
      </c>
    </row>
    <row r="53" spans="2:8" ht="13.8" outlineLevel="1">
      <c r="B53" s="65">
        <v>2</v>
      </c>
      <c r="C53" s="75">
        <f>D52+0.01</f>
        <v>4.2039999999999988</v>
      </c>
      <c r="D53" s="76">
        <f t="shared" si="11"/>
        <v>4.5919999999999987</v>
      </c>
      <c r="F53" s="65">
        <v>2</v>
      </c>
      <c r="G53" s="75">
        <f>H52+0.01</f>
        <v>65.004000000000005</v>
      </c>
      <c r="H53" s="76">
        <f t="shared" si="10"/>
        <v>69.992000000000004</v>
      </c>
    </row>
    <row r="54" spans="2:8" ht="13.8" outlineLevel="1">
      <c r="B54" s="65">
        <v>1</v>
      </c>
      <c r="C54" s="75">
        <f>D53+0.01</f>
        <v>4.6019999999999985</v>
      </c>
      <c r="D54" s="76">
        <f t="shared" si="11"/>
        <v>4.9899999999999984</v>
      </c>
      <c r="F54" s="65">
        <v>1</v>
      </c>
      <c r="G54" s="75">
        <f>H53+0.01</f>
        <v>70.00200000000001</v>
      </c>
      <c r="H54" s="76">
        <f t="shared" si="10"/>
        <v>74.990000000000009</v>
      </c>
    </row>
    <row r="55" spans="2:8" ht="13.8" outlineLevel="1">
      <c r="B55" s="66">
        <v>0</v>
      </c>
      <c r="C55" s="77">
        <v>5</v>
      </c>
      <c r="D55" s="78">
        <v>5</v>
      </c>
      <c r="F55" s="66">
        <v>0</v>
      </c>
      <c r="G55" s="77">
        <v>75</v>
      </c>
      <c r="H55" s="78">
        <v>75</v>
      </c>
    </row>
    <row r="56" spans="2:8" ht="13.8">
      <c r="B56" s="136"/>
      <c r="C56" s="137"/>
      <c r="D56" s="137"/>
    </row>
    <row r="57" spans="2:8" ht="13.8">
      <c r="B57" s="136"/>
      <c r="C57" s="137"/>
      <c r="D57" s="137"/>
    </row>
    <row r="58" spans="2:8" ht="14.4">
      <c r="B58" s="170" t="s">
        <v>47</v>
      </c>
      <c r="C58" s="170"/>
      <c r="E58" s="58" t="s">
        <v>59</v>
      </c>
      <c r="F58" s="58" t="s">
        <v>101</v>
      </c>
      <c r="G58" s="58" t="s">
        <v>33</v>
      </c>
    </row>
    <row r="59" spans="2:8">
      <c r="E59" s="124" t="s">
        <v>41</v>
      </c>
      <c r="F59" s="124" t="s">
        <v>41</v>
      </c>
      <c r="G59" s="124" t="s">
        <v>41</v>
      </c>
    </row>
    <row r="60" spans="2:8" ht="13.8">
      <c r="B60" s="119" t="s">
        <v>51</v>
      </c>
      <c r="C60" s="120"/>
      <c r="D60" s="120"/>
      <c r="E60" s="125">
        <f>D17</f>
        <v>4.4602499999999982E-2</v>
      </c>
      <c r="F60" s="126">
        <f>D21</f>
        <v>0.57501999999999998</v>
      </c>
      <c r="G60" s="127">
        <f>D19</f>
        <v>3.6019999999999996E-2</v>
      </c>
    </row>
    <row r="61" spans="2:8" ht="13.8">
      <c r="B61" s="121" t="s">
        <v>24</v>
      </c>
      <c r="E61" s="128">
        <f>H17</f>
        <v>1.252E-2</v>
      </c>
      <c r="F61" s="129">
        <f>H21</f>
        <v>0.57501999999999998</v>
      </c>
      <c r="G61" s="130">
        <f>H19</f>
        <v>3.6019999999999996E-2</v>
      </c>
    </row>
    <row r="62" spans="2:8" ht="13.8">
      <c r="B62" s="121" t="s">
        <v>54</v>
      </c>
      <c r="E62" s="128">
        <f>L17</f>
        <v>1.252E-2</v>
      </c>
      <c r="F62" s="129">
        <f>L21</f>
        <v>0.57501999999999998</v>
      </c>
      <c r="G62" s="130">
        <f>L19</f>
        <v>0.05</v>
      </c>
    </row>
    <row r="63" spans="2:8" ht="13.8">
      <c r="B63" s="121" t="s">
        <v>56</v>
      </c>
      <c r="E63" s="128">
        <f>P17</f>
        <v>4.4602499999999982E-2</v>
      </c>
      <c r="F63" s="129">
        <f>P21</f>
        <v>0.57501999999999998</v>
      </c>
      <c r="G63" s="130">
        <f>P19</f>
        <v>3.6019999999999996E-2</v>
      </c>
    </row>
    <row r="64" spans="2:8" ht="13.8">
      <c r="B64" s="122" t="s">
        <v>58</v>
      </c>
      <c r="C64" s="123"/>
      <c r="D64" s="123"/>
      <c r="E64" s="131">
        <f>T17</f>
        <v>1.252E-2</v>
      </c>
      <c r="F64" s="132">
        <f>T21</f>
        <v>0.57501999999999998</v>
      </c>
      <c r="G64" s="133">
        <f>T19</f>
        <v>0.05</v>
      </c>
    </row>
    <row r="65" spans="1:8" ht="13.8">
      <c r="B65" s="136"/>
      <c r="C65" s="137"/>
      <c r="D65" s="137"/>
    </row>
    <row r="66" spans="1:8" ht="13.8">
      <c r="B66" s="136"/>
      <c r="C66" s="137"/>
      <c r="D66" s="137"/>
    </row>
    <row r="67" spans="1:8" ht="13.8">
      <c r="B67" s="136"/>
      <c r="C67" s="137"/>
      <c r="D67" s="137"/>
    </row>
    <row r="68" spans="1:8" ht="13.8">
      <c r="B68" s="136"/>
      <c r="C68" s="137"/>
      <c r="D68" s="137"/>
    </row>
    <row r="69" spans="1:8" ht="14.4">
      <c r="B69" s="37" t="s">
        <v>36</v>
      </c>
      <c r="F69" s="141"/>
      <c r="G69" s="140"/>
      <c r="H69" s="140"/>
    </row>
    <row r="70" spans="1:8" ht="15.6">
      <c r="A70" s="14" t="s">
        <v>41</v>
      </c>
      <c r="B70" s="20" t="s">
        <v>42</v>
      </c>
      <c r="C70" s="2"/>
      <c r="F70" s="140"/>
      <c r="G70" s="140"/>
      <c r="H70" s="140"/>
    </row>
    <row r="71" spans="1:8">
      <c r="F71" s="140"/>
      <c r="G71" s="140"/>
      <c r="H71" s="140"/>
    </row>
    <row r="72" spans="1:8">
      <c r="F72" s="140"/>
      <c r="G72" s="140"/>
      <c r="H72" s="140"/>
    </row>
    <row r="73" spans="1:8">
      <c r="F73" s="140"/>
      <c r="G73" s="140"/>
      <c r="H73" s="140"/>
    </row>
    <row r="74" spans="1:8">
      <c r="F74" s="140"/>
      <c r="G74" s="140"/>
      <c r="H74" s="140"/>
    </row>
    <row r="75" spans="1:8">
      <c r="F75" s="140"/>
      <c r="G75" s="140"/>
      <c r="H75" s="140"/>
    </row>
  </sheetData>
  <dataConsolidate/>
  <mergeCells count="1">
    <mergeCell ref="B58:C58"/>
  </mergeCell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Resumo Conceitual</vt:lpstr>
      <vt:lpstr>Materialidade</vt:lpstr>
      <vt:lpstr>% Benchmark</vt:lpstr>
      <vt:lpstr>Tabela Benckmarking</vt:lpstr>
      <vt:lpstr>Sheet1</vt:lpstr>
    </vt:vector>
  </TitlesOfParts>
  <Manager/>
  <Company>BDO Trevisan Auditores Independentes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Luiz Viana</cp:lastModifiedBy>
  <cp:revision/>
  <dcterms:created xsi:type="dcterms:W3CDTF">2010-01-20T11:24:42Z</dcterms:created>
  <dcterms:modified xsi:type="dcterms:W3CDTF">2024-06-25T12:35:11Z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teType">
    <vt:lpwstr>Engagement2013</vt:lpwstr>
  </property>
  <property fmtid="{D5CDD505-2E9C-101B-9397-08002B2CF9AE}" pid="3" name="Product">
    <vt:lpwstr>eAudIT2013</vt:lpwstr>
  </property>
  <property fmtid="{D5CDD505-2E9C-101B-9397-08002B2CF9AE}" pid="4" name="Version">
    <vt:lpwstr>V1</vt:lpwstr>
  </property>
  <property fmtid="{D5CDD505-2E9C-101B-9397-08002B2CF9AE}" pid="5" name="IsMembershipServiceImplemented">
    <vt:lpwstr>False</vt:lpwstr>
  </property>
  <property fmtid="{D5CDD505-2E9C-101B-9397-08002B2CF9AE}" pid="6" name="SiteSource">
    <vt:lpwstr>Workgroup</vt:lpwstr>
  </property>
  <property fmtid="{D5CDD505-2E9C-101B-9397-08002B2CF9AE}" pid="7" name="ResourceDBName">
    <vt:lpwstr>eAudITAppDB2013_V1</vt:lpwstr>
  </property>
  <property fmtid="{D5CDD505-2E9C-101B-9397-08002B2CF9AE}" pid="8" name="RestrictedRibbons">
    <vt:lpwstr>AI-T|CT-T</vt:lpwstr>
  </property>
  <property fmtid="{D5CDD505-2E9C-101B-9397-08002B2CF9AE}" pid="9" name="EngagementID">
    <vt:lpwstr>b12e35a9-a284-4bc3-9e2d-766c75e9dbf1</vt:lpwstr>
  </property>
  <property fmtid="{D5CDD505-2E9C-101B-9397-08002B2CF9AE}" pid="10" name="LibraryID">
    <vt:lpwstr>Audit Files</vt:lpwstr>
  </property>
  <property fmtid="{D5CDD505-2E9C-101B-9397-08002B2CF9AE}" pid="11" name="DocumentID">
    <vt:lpwstr>D471E85C-87E3-4C3F-8AFE-F2C8F4A08D88</vt:lpwstr>
  </property>
  <property fmtid="{D5CDD505-2E9C-101B-9397-08002B2CF9AE}" pid="12" name="ComponentID">
    <vt:lpwstr>F674372C-7734-4884-8841-767980CC1B8E</vt:lpwstr>
  </property>
  <property fmtid="{D5CDD505-2E9C-101B-9397-08002B2CF9AE}" pid="13" name="Locale">
    <vt:lpwstr>br</vt:lpwstr>
  </property>
  <property fmtid="{D5CDD505-2E9C-101B-9397-08002B2CF9AE}" pid="14" name="OnLine">
    <vt:lpwstr>False</vt:lpwstr>
  </property>
</Properties>
</file>