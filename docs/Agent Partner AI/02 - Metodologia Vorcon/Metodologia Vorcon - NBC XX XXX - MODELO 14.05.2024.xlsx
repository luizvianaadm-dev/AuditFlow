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9"/>
  <workbookPr/>
  <mc:AlternateContent xmlns:mc="http://schemas.openxmlformats.org/markup-compatibility/2006">
    <mc:Choice Requires="x15">
      <x15ac:absPath xmlns:x15ac="http://schemas.microsoft.com/office/spreadsheetml/2010/11/ac" url="https://vorconauditores-my.sharepoint.com/personal/luizviana_vorcon_com_br/Documents/CLIENTES E PROJETOS/0 - Metodologias 2024/2 - Metodologia Rel Pontos 2024/"/>
    </mc:Choice>
  </mc:AlternateContent>
  <xr:revisionPtr revIDLastSave="4" documentId="13_ncr:1_{49C88185-B71D-4B54-96A4-E08D3956A010}" xr6:coauthVersionLast="47" xr6:coauthVersionMax="47" xr10:uidLastSave="{FA39748C-C6BF-4525-80BD-203733EFB103}"/>
  <bookViews>
    <workbookView xWindow="-108" yWindow="-108" windowWidth="23256" windowHeight="12456" tabRatio="915" firstSheet="11" activeTab="11" xr2:uid="{00000000-000D-0000-FFFF-FFFF00000000}"/>
  </bookViews>
  <sheets>
    <sheet name="TESTES" sheetId="53" r:id="rId1"/>
    <sheet name="OPNIÃO" sheetId="1" r:id="rId2"/>
    <sheet name="VELOCIMETRO" sheetId="2" r:id="rId3"/>
    <sheet name="RESUMO DE PONTOS" sheetId="4" r:id="rId4"/>
    <sheet name="Planilha1" sheetId="175" r:id="rId5"/>
    <sheet name="BASE DE PONTOS V+" sheetId="159" r:id="rId6"/>
    <sheet name="Matriz de Risco" sheetId="3" state="hidden" r:id="rId7"/>
    <sheet name="RESUMO DE PONTOS Original" sheetId="49" state="hidden" r:id="rId8"/>
    <sheet name="FREQ. X PONTOS" sheetId="158" r:id="rId9"/>
    <sheet name="Lista Suspensa" sheetId="47" state="hidden" r:id="rId10"/>
    <sheet name="BASE DA MATRIZ DE RISCOS" sheetId="5" r:id="rId11"/>
    <sheet name="Planilha2" sheetId="176" r:id="rId12"/>
    <sheet name="GRÁFICOS" sheetId="79" r:id="rId13"/>
    <sheet name="P1" sheetId="6" r:id="rId14"/>
    <sheet name="P2" sheetId="97" r:id="rId15"/>
    <sheet name="P3" sheetId="128" r:id="rId16"/>
    <sheet name="P4" sheetId="129" r:id="rId17"/>
    <sheet name="P5" sheetId="130" r:id="rId18"/>
    <sheet name="P6" sheetId="131" r:id="rId19"/>
    <sheet name="P7" sheetId="132" r:id="rId20"/>
    <sheet name="P8" sheetId="133" r:id="rId21"/>
    <sheet name="P9" sheetId="134" r:id="rId22"/>
    <sheet name="P10" sheetId="135" r:id="rId23"/>
    <sheet name="P11" sheetId="136" r:id="rId24"/>
    <sheet name="P12" sheetId="137" r:id="rId25"/>
    <sheet name="P13" sheetId="138" r:id="rId26"/>
    <sheet name="P14" sheetId="139" r:id="rId27"/>
    <sheet name="P15" sheetId="140" r:id="rId28"/>
    <sheet name="P16" sheetId="141" r:id="rId29"/>
    <sheet name="P17" sheetId="142" r:id="rId30"/>
    <sheet name="P18" sheetId="143" r:id="rId31"/>
    <sheet name="P19" sheetId="144" r:id="rId32"/>
    <sheet name="P20" sheetId="145" r:id="rId33"/>
    <sheet name="P21" sheetId="146" r:id="rId34"/>
    <sheet name="P22" sheetId="147" r:id="rId35"/>
    <sheet name="P23" sheetId="148" r:id="rId36"/>
    <sheet name="P24" sheetId="149" r:id="rId37"/>
    <sheet name="P25" sheetId="161" r:id="rId38"/>
    <sheet name="P26" sheetId="162" r:id="rId39"/>
    <sheet name="P27" sheetId="166" r:id="rId40"/>
    <sheet name="P28" sheetId="164" r:id="rId41"/>
    <sheet name="P29" sheetId="165" r:id="rId42"/>
    <sheet name="P30" sheetId="163" r:id="rId43"/>
    <sheet name="P31" sheetId="167" r:id="rId44"/>
    <sheet name="P32" sheetId="168" state="hidden" r:id="rId45"/>
    <sheet name="P33" sheetId="169" state="hidden" r:id="rId46"/>
    <sheet name="P34" sheetId="172" state="hidden" r:id="rId47"/>
    <sheet name="P35" sheetId="171" state="hidden" r:id="rId48"/>
    <sheet name="P36" sheetId="170" state="hidden" r:id="rId49"/>
    <sheet name="P37" sheetId="173" state="hidden" r:id="rId50"/>
    <sheet name="P38" sheetId="174" state="hidden" r:id="rId51"/>
    <sheet name="ASSERTIVAS RESULTADO" sheetId="43" r:id="rId52"/>
    <sheet name="OBJETIVOS PASSIVO" sheetId="44" r:id="rId53"/>
    <sheet name="intang" sheetId="45" state="hidden" r:id="rId54"/>
  </sheets>
  <externalReferences>
    <externalReference r:id="rId55"/>
  </externalReferences>
  <definedNames>
    <definedName name="_xlnm._FilterDatabase" localSheetId="5" hidden="1">'BASE DE PONTOS V+'!$B$6:$M$39</definedName>
    <definedName name="_xlnm._FilterDatabase" localSheetId="3" hidden="1">'RESUMO DE PONTOS'!$C$7:$L$38</definedName>
    <definedName name="_xlnm._FilterDatabase" localSheetId="7" hidden="1">'RESUMO DE PONTOS Original'!$B$4:$J$36</definedName>
    <definedName name="_xlnm._FilterDatabase" localSheetId="0" hidden="1">TESTES!$B$6:$M$54</definedName>
    <definedName name="_Hlk102822595" localSheetId="5">'BASE DE PONTOS V+'!#REF!</definedName>
    <definedName name="_Hlk102822605" localSheetId="5">'BASE DE PONTOS V+'!#REF!</definedName>
    <definedName name="_Hlk44932008" localSheetId="6">'Matriz de Risco'!$C$9</definedName>
    <definedName name="_Hlk44932008" localSheetId="3">'RESUMO DE PONTOS'!#REF!</definedName>
    <definedName name="_Hlk44932008" localSheetId="7">'RESUMO DE PONTOS Original'!$C$8</definedName>
    <definedName name="_Hlk44932282" localSheetId="6">'Matriz de Risco'!$C$13</definedName>
    <definedName name="_Hlk44933547" localSheetId="6">'Matriz de Risco'!$C$17</definedName>
    <definedName name="_Hlk44933737" localSheetId="6">'Matriz de Risco'!$C$18</definedName>
    <definedName name="_Toc54348655" localSheetId="10">'BASE DA MATRIZ DE RISCOS'!$C$19</definedName>
    <definedName name="_Toc54348656" localSheetId="10">'BASE DA MATRIZ DE RISCOS'!$C$20</definedName>
    <definedName name="_Toc54348657" localSheetId="10">'BASE DA MATRIZ DE RISCOS'!$C$37</definedName>
    <definedName name="_Toc54348658" localSheetId="10">'BASE DA MATRIZ DE RISCOS'!$C$46</definedName>
    <definedName name="_Toc54348659" localSheetId="10">'BASE DA MATRIZ DE RISCOS'!$C$75</definedName>
    <definedName name="_Toc54348660" localSheetId="10">'BASE DA MATRIZ DE RISCOS'!$C$76</definedName>
    <definedName name="_Toc54348662" localSheetId="10">'BASE DA MATRIZ DE RISCOS'!$C$119</definedName>
    <definedName name="_Toc70060767" localSheetId="0">TESTES!#REF!</definedName>
    <definedName name="_Toc70060768" localSheetId="0">TESTES!#REF!</definedName>
    <definedName name="_Toc70060769" localSheetId="0">TESTES!#REF!</definedName>
    <definedName name="_Toc70060770" localSheetId="0">TESTES!#REF!</definedName>
    <definedName name="_Toc70060771" localSheetId="0">TESTES!#REF!</definedName>
    <definedName name="_Toc70060772" localSheetId="0">TESTES!#REF!</definedName>
    <definedName name="_Toc70060773" localSheetId="0">TESTES!#REF!</definedName>
    <definedName name="_Toc70060774" localSheetId="0">TESTES!#REF!</definedName>
    <definedName name="_Toc70060775" localSheetId="0">TESTES!#REF!</definedName>
    <definedName name="_Toc70060776" localSheetId="0">TESTES!#REF!</definedName>
    <definedName name="_Toc70060777" localSheetId="0">TESTES!#REF!</definedName>
    <definedName name="_Toc70060778" localSheetId="0">TESTES!#REF!</definedName>
    <definedName name="_Toc70060779" localSheetId="0">TESTES!#REF!</definedName>
    <definedName name="_Toc70060780" localSheetId="0">TESTES!#REF!</definedName>
    <definedName name="_Toc70060781" localSheetId="0">TESTES!#REF!</definedName>
    <definedName name="_Toc70060782" localSheetId="0">TESTES!#REF!</definedName>
    <definedName name="_Toc70060783" localSheetId="0">TESTES!#REF!</definedName>
    <definedName name="_Toc70060784" localSheetId="0">TESTES!#REF!</definedName>
    <definedName name="_Toc70060785" localSheetId="0">TESTES!#REF!</definedName>
    <definedName name="_Toc70060786" localSheetId="0">TESTES!#REF!</definedName>
    <definedName name="_Toc70060787" localSheetId="0">TESTES!#REF!</definedName>
    <definedName name="_Toc70060788" localSheetId="0">TESTES!#REF!</definedName>
    <definedName name="_Toc70060789" localSheetId="0">TESTES!#REF!</definedName>
    <definedName name="_Toc70060790" localSheetId="0">TESTES!#REF!</definedName>
    <definedName name="_Toc70060791" localSheetId="0">TESTES!#REF!</definedName>
    <definedName name="_Toc70060792" localSheetId="0">TESTES!#REF!</definedName>
    <definedName name="_Toc70060793" localSheetId="0">TESTES!#REF!</definedName>
    <definedName name="_Toc70060794" localSheetId="0">TESTES!#REF!</definedName>
    <definedName name="_Toc70060795" localSheetId="0">TESTES!#REF!</definedName>
    <definedName name="_Toc70060796" localSheetId="0">TESTES!#REF!</definedName>
    <definedName name="_Toc70060797" localSheetId="0">TESTES!#REF!</definedName>
    <definedName name="_Toc70060798" localSheetId="0">TESTES!#REF!</definedName>
    <definedName name="_Toc70060799" localSheetId="0">TESTES!#REF!</definedName>
    <definedName name="_Toc70060800" localSheetId="0">TESTES!#REF!</definedName>
    <definedName name="_Toc70060801" localSheetId="0">TESTES!#REF!</definedName>
    <definedName name="_Toc70060802" localSheetId="0">TESTES!#REF!</definedName>
    <definedName name="_Toc70060803" localSheetId="0">TESTES!#REF!</definedName>
    <definedName name="_Toc70060804" localSheetId="0">TESTES!#REF!</definedName>
    <definedName name="_Toc70060805" localSheetId="0">TESTES!#REF!</definedName>
    <definedName name="_Toc70060806" localSheetId="0">TESTES!#REF!</definedName>
    <definedName name="_Toc70060807" localSheetId="0">TESTES!#REF!</definedName>
    <definedName name="_Toc70060808" localSheetId="0">TESTES!#REF!</definedName>
    <definedName name="_Toc70060809" localSheetId="0">TESTES!#REF!</definedName>
    <definedName name="_Toc70060810" localSheetId="0">TESTES!#REF!</definedName>
    <definedName name="_Toc70060811" localSheetId="0">TESTES!#REF!</definedName>
    <definedName name="_Toc70060812" localSheetId="0">TESTES!#REF!</definedName>
    <definedName name="_Toc70060813" localSheetId="0">TESTES!#REF!</definedName>
    <definedName name="_Toc70060814" localSheetId="0">TESTES!#REF!</definedName>
    <definedName name="_Toc70060815" localSheetId="0">TESTES!#REF!</definedName>
    <definedName name="_Toc70060816" localSheetId="0">TESTES!#REF!</definedName>
    <definedName name="_Toc70060817" localSheetId="0">TESTES!#REF!</definedName>
    <definedName name="_Toc70060818" localSheetId="0">TESTES!#REF!</definedName>
    <definedName name="_Toc70060819" localSheetId="0">TESTES!#REF!</definedName>
    <definedName name="_Toc70060820" localSheetId="0">TESTES!#REF!</definedName>
    <definedName name="_Toc70060821" localSheetId="0">TESTES!#REF!</definedName>
    <definedName name="_Toc70060822" localSheetId="0">TESTES!#REF!</definedName>
    <definedName name="_Toc70060823" localSheetId="0">TESTES!#REF!</definedName>
    <definedName name="_Toc70060824" localSheetId="0">TESTES!#REF!</definedName>
    <definedName name="_Toc70060825" localSheetId="0">TESTES!#REF!</definedName>
    <definedName name="_Toc70060826" localSheetId="0">TESTES!#REF!</definedName>
    <definedName name="_Toc70060827" localSheetId="0">TESTES!#REF!</definedName>
    <definedName name="_Toc70060828" localSheetId="0">TESTES!#REF!</definedName>
    <definedName name="_Toc70060829" localSheetId="0">TESTES!#REF!</definedName>
    <definedName name="_Toc70060830" localSheetId="0">TESTES!#REF!</definedName>
    <definedName name="_Toc70060831" localSheetId="0">TESTES!#REF!</definedName>
    <definedName name="_Toc70060832" localSheetId="0">TESTES!#REF!</definedName>
    <definedName name="_Toc70060833" localSheetId="0">TESTES!#REF!</definedName>
    <definedName name="_Toc70060834" localSheetId="0">TESTES!#REF!</definedName>
    <definedName name="_Toc70060835" localSheetId="0">TESTES!#REF!</definedName>
    <definedName name="_Toc70060836" localSheetId="0">TESTES!#REF!</definedName>
    <definedName name="_Toc70060837" localSheetId="0">TESTES!#REF!</definedName>
    <definedName name="_Toc70060838" localSheetId="0">TESTES!#REF!</definedName>
    <definedName name="_Toc70060839" localSheetId="0">TESTES!#REF!</definedName>
    <definedName name="_Toc70060840" localSheetId="0">TESTES!#REF!</definedName>
    <definedName name="_Toc70060841" localSheetId="0">TESTES!#REF!</definedName>
    <definedName name="_Toc70060842" localSheetId="0">TESTES!#REF!</definedName>
    <definedName name="_Toc70060843" localSheetId="0">TESTES!#REF!</definedName>
    <definedName name="_Toc70060844" localSheetId="0">TESTES!#REF!</definedName>
    <definedName name="_Toc70060845" localSheetId="0">TESTES!#REF!</definedName>
    <definedName name="_Toc70060846" localSheetId="0">TESTES!#REF!</definedName>
    <definedName name="_Toc70060847" localSheetId="0">TESTES!#REF!</definedName>
    <definedName name="_Toc70060848" localSheetId="0">TESTES!#REF!</definedName>
    <definedName name="_Toc70060849" localSheetId="0">TESTES!#REF!</definedName>
    <definedName name="_Toc70060850" localSheetId="0">TESTES!#REF!</definedName>
    <definedName name="_Toc70060851" localSheetId="0">TESTES!#REF!</definedName>
    <definedName name="_Toc70060852" localSheetId="0">TESTES!#REF!</definedName>
    <definedName name="_Toc70060853" localSheetId="0">TESTES!#REF!</definedName>
    <definedName name="_Toc70060854" localSheetId="0">TESTES!#REF!</definedName>
    <definedName name="_Toc70060855" localSheetId="0">TESTES!#REF!</definedName>
    <definedName name="_Toc70060856" localSheetId="0">TESTES!#REF!</definedName>
    <definedName name="_Toc70060857" localSheetId="0">TESTES!#REF!</definedName>
    <definedName name="_Toc70060858" localSheetId="0">TESTES!#REF!</definedName>
    <definedName name="_Toc70060859" localSheetId="0">TESTES!#REF!</definedName>
    <definedName name="_Toc70060860" localSheetId="0">TESTES!#REF!</definedName>
    <definedName name="_Toc70060861" localSheetId="0">TESTES!#REF!</definedName>
    <definedName name="_Toc70060862" localSheetId="0">TESTES!#REF!</definedName>
    <definedName name="_Toc70060863" localSheetId="0">TESTES!#REF!</definedName>
    <definedName name="_Toc70060864" localSheetId="0">TESTES!#REF!</definedName>
    <definedName name="_Toc70060865" localSheetId="0">TESTES!#REF!</definedName>
    <definedName name="_Toc70060866" localSheetId="0">TESTES!#REF!</definedName>
    <definedName name="_Toc70060867" localSheetId="0">TESTES!#REF!</definedName>
    <definedName name="_Toc70060868" localSheetId="0">TESTES!#REF!</definedName>
    <definedName name="_Toc70060869" localSheetId="0">TESTES!#REF!</definedName>
    <definedName name="_Toc70060870" localSheetId="0">TESTES!#REF!</definedName>
    <definedName name="_Toc70060871" localSheetId="0">TESTES!#REF!</definedName>
    <definedName name="_Toc70060872" localSheetId="0">TESTES!#REF!</definedName>
    <definedName name="_Toc70060873" localSheetId="0">TESTES!#REF!</definedName>
    <definedName name="_Toc70060874" localSheetId="0">TESTES!#REF!</definedName>
    <definedName name="_Toc70060875" localSheetId="0">TESTES!#REF!</definedName>
    <definedName name="_Toc70060876" localSheetId="0">TESTES!#REF!</definedName>
    <definedName name="_Toc70060877" localSheetId="0">TESTES!#REF!</definedName>
    <definedName name="_Toc70060878" localSheetId="0">TESTES!#REF!</definedName>
    <definedName name="_Toc70060879" localSheetId="0">TESTES!#REF!</definedName>
    <definedName name="_Toc70060880" localSheetId="0">TESTES!#REF!</definedName>
    <definedName name="_Toc70060881" localSheetId="0">TESTES!#REF!</definedName>
    <definedName name="_Toc70060882" localSheetId="0">TESTES!#REF!</definedName>
    <definedName name="_Toc70060883" localSheetId="0">TESTES!#REF!</definedName>
    <definedName name="_Toc70060884" localSheetId="0">TESTES!#REF!</definedName>
    <definedName name="aa" localSheetId="0">#REF!</definedName>
    <definedName name="aa">#REF!</definedName>
    <definedName name="aaaa">#REF!</definedName>
    <definedName name="Abr" localSheetId="0">#REF!</definedName>
    <definedName name="Abr">#REF!</definedName>
    <definedName name="ANO">'[1]1. Lançamentos'!$E$57:$E$58,'[1]1. Lançamentos'!$E$111:$E$112,'[1]1. Lançamentos'!$E$170:$E$171,'[1]1. Lançamentos'!$E$173:$E$174,'[1]1. Lançamentos'!$E$189:$E$190,'[1]1. Lançamentos'!$E$474,'[1]1. Lançamentos'!$E$571,'[1]1. Lançamentos'!$E$580,'[1]1. Lançamentos'!$E$584,'[1]1. Lançamentos'!$E$591,'[1]1. Lançamentos'!$E$622,'[1]1. Lançamentos'!$E$672,'[1]1. Lançamentos'!$E$828:$E$829,'[1]1. Lançamentos'!$E$858:$E$863,'[1]1. Lançamentos'!$E$944,'[1]1. Lançamentos'!$E$1031,'[1]1. Lançamentos'!$E$1109,'[1]1. Lançamentos'!$E$1120:$E$1121,'[1]1. Lançamentos'!$E$1135:$E$1136,'[1]1. Lançamentos'!$E$1143,'[1]1. Lançamentos'!$E$1179,'[1]1. Lançamentos'!$E$1186:$E$1187,'[1]1. Lançamentos'!$E$1546</definedName>
    <definedName name="as">#REF!</definedName>
    <definedName name="FAVO">'[1]1. Lançamentos'!$J$57:$J$58,'[1]1. Lançamentos'!$J$111:$J$112,'[1]1. Lançamentos'!$J$170:$J$171,'[1]1. Lançamentos'!$J$173:$J$174,'[1]1. Lançamentos'!$J$189:$J$190,'[1]1. Lançamentos'!$J$474,'[1]1. Lançamentos'!$J$571,'[1]1. Lançamentos'!$J$580,'[1]1. Lançamentos'!$J$584,'[1]1. Lançamentos'!$J$591,'[1]1. Lançamentos'!$J$622,'[1]1. Lançamentos'!$J$672,'[1]1. Lançamentos'!$J$828:$J$829,'[1]1. Lançamentos'!$J$858:$J$863,'[1]1. Lançamentos'!$J$944,'[1]1. Lançamentos'!$J$1031,'[1]1. Lançamentos'!$J$1109,'[1]1. Lançamentos'!$J$1120:$J$1121,'[1]1. Lançamentos'!$J$1135:$J$1136,'[1]1. Lançamentos'!$J$1143,'[1]1. Lançamentos'!$J$1179</definedName>
    <definedName name="Google_Sheet_Link_118826432_451962845" localSheetId="7" hidden="1">'BASE DA MATRIZ DE RISCOS'!_Toc54348655</definedName>
    <definedName name="Google_Sheet_Link_118826432_451962845" localSheetId="0" hidden="1">#N/A</definedName>
    <definedName name="Google_Sheet_Link_118826432_451962845" hidden="1">'BASE DA MATRIZ DE RISCOS'!_Toc54348655</definedName>
    <definedName name="Google_Sheet_Link_1234759920_337008936" localSheetId="7" hidden="1">'Matriz de Risco'!_Hlk44932282</definedName>
    <definedName name="Google_Sheet_Link_1234759920_337008936" localSheetId="0" hidden="1">#N/A</definedName>
    <definedName name="Google_Sheet_Link_1234759920_337008936" hidden="1">'Matriz de Risco'!_Hlk44932282</definedName>
    <definedName name="Google_Sheet_Link_1386150492_337008936" localSheetId="7" hidden="1">'Matriz de Risco'!_Hlk44933737</definedName>
    <definedName name="Google_Sheet_Link_1386150492_337008936" localSheetId="0" hidden="1">#N/A</definedName>
    <definedName name="Google_Sheet_Link_1386150492_337008936" hidden="1">'Matriz de Risco'!_Hlk44933737</definedName>
    <definedName name="Google_Sheet_Link_1416584963_451962845" localSheetId="7" hidden="1">'BASE DA MATRIZ DE RISCOS'!_Toc54348656</definedName>
    <definedName name="Google_Sheet_Link_1416584963_451962845" localSheetId="0" hidden="1">#N/A</definedName>
    <definedName name="Google_Sheet_Link_1416584963_451962845" hidden="1">'BASE DA MATRIZ DE RISCOS'!_Toc54348656</definedName>
    <definedName name="Google_Sheet_Link_214687423_451962845" localSheetId="7" hidden="1">'BASE DA MATRIZ DE RISCOS'!_Toc54348657</definedName>
    <definedName name="Google_Sheet_Link_214687423_451962845" localSheetId="0" hidden="1">#N/A</definedName>
    <definedName name="Google_Sheet_Link_214687423_451962845" hidden="1">'BASE DA MATRIZ DE RISCOS'!_Toc54348657</definedName>
    <definedName name="Google_Sheet_Link_668586770_451962845" localSheetId="7" hidden="1">'BASE DA MATRIZ DE RISCOS'!_Toc54348662</definedName>
    <definedName name="Google_Sheet_Link_668586770_451962845" localSheetId="0" hidden="1">#N/A</definedName>
    <definedName name="Google_Sheet_Link_668586770_451962845" hidden="1">'BASE DA MATRIZ DE RISCOS'!_Toc54348662</definedName>
    <definedName name="Google_Sheet_Link_728925753_451962845" localSheetId="7" hidden="1">'BASE DA MATRIZ DE RISCOS'!_Toc54348659</definedName>
    <definedName name="Google_Sheet_Link_728925753_451962845" localSheetId="0" hidden="1">#N/A</definedName>
    <definedName name="Google_Sheet_Link_728925753_451962845" hidden="1">'BASE DA MATRIZ DE RISCOS'!_Toc54348659</definedName>
    <definedName name="Google_Sheet_Link_80979652_337008936" localSheetId="7" hidden="1">'Matriz de Risco'!_Hlk44932008</definedName>
    <definedName name="Google_Sheet_Link_80979652_337008936" localSheetId="0" hidden="1">#N/A</definedName>
    <definedName name="Google_Sheet_Link_80979652_337008936" hidden="1">'Matriz de Risco'!_Hlk44932008</definedName>
    <definedName name="Google_Sheet_Link_901470867_337008936" localSheetId="7" hidden="1">'Matriz de Risco'!_Hlk44933547</definedName>
    <definedName name="Google_Sheet_Link_901470867_337008936" localSheetId="0" hidden="1">#N/A</definedName>
    <definedName name="Google_Sheet_Link_901470867_337008936" hidden="1">'Matriz de Risco'!_Hlk44933547</definedName>
    <definedName name="Google_Sheet_Link_99338027_451962845" localSheetId="7" hidden="1">'BASE DA MATRIZ DE RISCOS'!_Toc54348660</definedName>
    <definedName name="Google_Sheet_Link_99338027_451962845" localSheetId="0" hidden="1">#N/A</definedName>
    <definedName name="Google_Sheet_Link_99338027_451962845" hidden="1">'BASE DA MATRIZ DE RISCOS'!_Toc54348660</definedName>
    <definedName name="Google_Sheet_Link_997608135_451962845" localSheetId="7" hidden="1">'BASE DA MATRIZ DE RISCOS'!_Toc54348658</definedName>
    <definedName name="Google_Sheet_Link_997608135_451962845" localSheetId="0" hidden="1">#N/A</definedName>
    <definedName name="Google_Sheet_Link_997608135_451962845" hidden="1">'BASE DA MATRIZ DE RISCOS'!_Toc54348658</definedName>
    <definedName name="HOME" localSheetId="0">#REF!</definedName>
    <definedName name="HOME">#REF!</definedName>
    <definedName name="MES">'[1]1. Lançamentos'!$D$57:$D$58,'[1]1. Lançamentos'!$D$111:$D$112,'[1]1. Lançamentos'!$D$170:$D$171,'[1]1. Lançamentos'!$D$173:$D$174,'[1]1. Lançamentos'!$D$189:$D$190,'[1]1. Lançamentos'!$D$474,'[1]1. Lançamentos'!$D$571,'[1]1. Lançamentos'!$D$580,'[1]1. Lançamentos'!$D$584,'[1]1. Lançamentos'!$D$591,'[1]1. Lançamentos'!$D$622,'[1]1. Lançamentos'!$D$672,'[1]1. Lançamentos'!$D$828:$D$829,'[1]1. Lançamentos'!$D$858:$D$863,'[1]1. Lançamentos'!$D$944,'[1]1. Lançamentos'!$D$1031,'[1]1. Lançamentos'!$D$1109,'[1]1. Lançamentos'!$D$1120:$D$1121,'[1]1. Lançamentos'!$D$1135:$D$1136,'[1]1. Lançamentos'!$D$1143,'[1]1. Lançamentos'!$D$1179,'[1]1. Lançamentos'!$D$1186:$D$1187,'[1]1. Lançamentos'!$D$1546</definedName>
    <definedName name="MESDES" localSheetId="0">#REF!</definedName>
    <definedName name="MESDES">#REF!</definedName>
    <definedName name="MESGUIA" localSheetId="0">#REF!</definedName>
    <definedName name="MESGUIA">#REF!</definedName>
    <definedName name="PAGDES" localSheetId="0">#REF!</definedName>
    <definedName name="PAGDES">#REF!</definedName>
    <definedName name="PAGGUIA" localSheetId="0">#REF!</definedName>
    <definedName name="PAGGUIA">#REF!</definedName>
    <definedName name="PLANcon">'[1]1. Lançamentos'!$H$57:$H$58,'[1]1. Lançamentos'!$H$111:$H$112,'[1]1. Lançamentos'!$H$170:$H$171,'[1]1. Lançamentos'!$H$173:$H$174,'[1]1. Lançamentos'!$H$189:$H$190,'[1]1. Lançamentos'!$H$474,'[1]1. Lançamentos'!$H$571,'[1]1. Lançamentos'!$H$580,'[1]1. Lançamentos'!$H$584,'[1]1. Lançamentos'!$H$591,'[1]1. Lançamentos'!$H$622,'[1]1. Lançamentos'!$H$672,'[1]1. Lançamentos'!$H$828:$H$829,'[1]1. Lançamentos'!$H$858:$H$863,'[1]1. Lançamentos'!$H$944,'[1]1. Lançamentos'!$H$1031,'[1]1. Lançamentos'!$H$1109,'[1]1. Lançamentos'!$H$1120:$H$1121,'[1]1. Lançamentos'!$H$1135:$H$1136,'[1]1. Lançamentos'!$H$1143,'[1]1. Lançamentos'!$H$1179,'[1]1. Lançamentos'!$H$1186:$H$1187,'[1]1. Lançamentos'!$H$1546</definedName>
    <definedName name="PONTO1" localSheetId="0">#REF!</definedName>
    <definedName name="PONTO1">#REF!</definedName>
    <definedName name="PONTO2" localSheetId="0">#REF!</definedName>
    <definedName name="PONTO2">#REF!</definedName>
    <definedName name="PONTO3" localSheetId="0">#REF!</definedName>
    <definedName name="PONTO3">#REF!</definedName>
    <definedName name="PONTOGUI" localSheetId="0">#REF!</definedName>
    <definedName name="PONTOGUI">#REF!</definedName>
    <definedName name="VALOR">'[1]1. Lançamentos'!$K$57:$K$58,'[1]1. Lançamentos'!$K$111:$K$112,'[1]1. Lançamentos'!$K$170:$K$171,'[1]1. Lançamentos'!$K$173:$K$174,'[1]1. Lançamentos'!$K$189:$K$190,'[1]1. Lançamentos'!$K$474,'[1]1. Lançamentos'!$K$571,'[1]1. Lançamentos'!$K$580,'[1]1. Lançamentos'!$K$584,'[1]1. Lançamentos'!$K$591,'[1]1. Lançamentos'!$K$622,'[1]1. Lançamentos'!$K$672,'[1]1. Lançamentos'!$K$828:$K$829,'[1]1. Lançamentos'!$K$858:$K$863,'[1]1. Lançamentos'!$K$944,'[1]1. Lançamentos'!$K$1031,'[1]1. Lançamentos'!$K$1109,'[1]1. Lançamentos'!$K$1120:$K$1121,'[1]1. Lançamentos'!$K$1135:$K$1136,'[1]1. Lançamentos'!$K$1143,'[1]1. Lançamentos'!$K$1179</definedName>
    <definedName name="VALORDES" localSheetId="0">#REF!</definedName>
    <definedName name="VALORD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59" i="79" l="1"/>
  <c r="R170" i="79"/>
  <c r="S145" i="79" s="1"/>
  <c r="V145" i="79" s="1"/>
  <c r="U139" i="79"/>
  <c r="U140" i="79"/>
  <c r="U141" i="79"/>
  <c r="U142" i="79"/>
  <c r="U143" i="79"/>
  <c r="U144" i="79"/>
  <c r="U145" i="79"/>
  <c r="U146" i="79"/>
  <c r="U147" i="79"/>
  <c r="U148" i="79"/>
  <c r="U149" i="79"/>
  <c r="U150" i="79"/>
  <c r="U151" i="79"/>
  <c r="U152" i="79"/>
  <c r="U153" i="79"/>
  <c r="U154" i="79"/>
  <c r="U155" i="79"/>
  <c r="U156" i="79"/>
  <c r="U157" i="79"/>
  <c r="U158" i="79"/>
  <c r="U159" i="79"/>
  <c r="U160" i="79"/>
  <c r="U161" i="79"/>
  <c r="U162" i="79"/>
  <c r="U163" i="79"/>
  <c r="U164" i="79"/>
  <c r="U165" i="79"/>
  <c r="U166" i="79"/>
  <c r="AV170" i="79"/>
  <c r="W164" i="79"/>
  <c r="W166" i="79"/>
  <c r="X168" i="79"/>
  <c r="W140" i="79"/>
  <c r="B151" i="79"/>
  <c r="K151" i="79"/>
  <c r="L151" i="79"/>
  <c r="W151" i="79"/>
  <c r="W161" i="79"/>
  <c r="W158" i="79"/>
  <c r="X150" i="79"/>
  <c r="W150" i="79"/>
  <c r="W149" i="79"/>
  <c r="X140" i="79"/>
  <c r="W138" i="79"/>
  <c r="K88" i="5"/>
  <c r="F78" i="5"/>
  <c r="G78" i="5"/>
  <c r="H78" i="5"/>
  <c r="J78" i="5"/>
  <c r="F79" i="5"/>
  <c r="K79" i="5" s="1"/>
  <c r="G79" i="5"/>
  <c r="H79" i="5"/>
  <c r="J79" i="5"/>
  <c r="F80" i="5"/>
  <c r="G80" i="5"/>
  <c r="H80" i="5"/>
  <c r="K80" i="5"/>
  <c r="J80" i="5"/>
  <c r="F81" i="5"/>
  <c r="G81" i="5"/>
  <c r="H81" i="5"/>
  <c r="K81" i="5" s="1"/>
  <c r="J81" i="5"/>
  <c r="F82" i="5"/>
  <c r="K82" i="5" s="1"/>
  <c r="G82" i="5"/>
  <c r="H82" i="5"/>
  <c r="J82" i="5"/>
  <c r="F83" i="5"/>
  <c r="K83" i="5" s="1"/>
  <c r="G83" i="5"/>
  <c r="H83" i="5"/>
  <c r="J83" i="5"/>
  <c r="F84" i="5"/>
  <c r="G84" i="5"/>
  <c r="H84" i="5"/>
  <c r="K84" i="5"/>
  <c r="J84" i="5"/>
  <c r="F85" i="5"/>
  <c r="G85" i="5"/>
  <c r="H85" i="5"/>
  <c r="J85" i="5"/>
  <c r="F86" i="5"/>
  <c r="K86" i="5" s="1"/>
  <c r="G86" i="5"/>
  <c r="H86" i="5"/>
  <c r="J86" i="5"/>
  <c r="F87" i="5"/>
  <c r="K87" i="5" s="1"/>
  <c r="G87" i="5"/>
  <c r="H87" i="5"/>
  <c r="J87" i="5"/>
  <c r="F88" i="5"/>
  <c r="G88" i="5"/>
  <c r="H88" i="5"/>
  <c r="J88" i="5"/>
  <c r="F89" i="5"/>
  <c r="K89" i="5" s="1"/>
  <c r="G89" i="5"/>
  <c r="H89" i="5"/>
  <c r="J89" i="5"/>
  <c r="F90" i="5"/>
  <c r="K90" i="5" s="1"/>
  <c r="G90" i="5"/>
  <c r="H90" i="5"/>
  <c r="J90" i="5"/>
  <c r="F91" i="5"/>
  <c r="K91" i="5" s="1"/>
  <c r="G91" i="5"/>
  <c r="H91" i="5"/>
  <c r="J91" i="5"/>
  <c r="F92" i="5"/>
  <c r="G92" i="5"/>
  <c r="H92" i="5"/>
  <c r="J92" i="5"/>
  <c r="F93" i="5"/>
  <c r="G93" i="5"/>
  <c r="H93" i="5"/>
  <c r="J93" i="5"/>
  <c r="F94" i="5"/>
  <c r="K94" i="5" s="1"/>
  <c r="G94" i="5"/>
  <c r="H94" i="5"/>
  <c r="J94" i="5"/>
  <c r="F95" i="5"/>
  <c r="K95" i="5" s="1"/>
  <c r="G95" i="5"/>
  <c r="H95" i="5"/>
  <c r="J95" i="5"/>
  <c r="F96" i="5"/>
  <c r="G96" i="5"/>
  <c r="H96" i="5"/>
  <c r="I96" i="5"/>
  <c r="K96" i="5" s="1"/>
  <c r="J96" i="5"/>
  <c r="F97" i="5"/>
  <c r="I97" i="5" s="1"/>
  <c r="K97" i="5" s="1"/>
  <c r="J97" i="5"/>
  <c r="F98" i="5"/>
  <c r="I98" i="5" s="1"/>
  <c r="K98" i="5" s="1"/>
  <c r="G98" i="5"/>
  <c r="H98" i="5"/>
  <c r="J98" i="5"/>
  <c r="K137" i="79"/>
  <c r="K178" i="79"/>
  <c r="L178" i="79"/>
  <c r="K179" i="79"/>
  <c r="L179" i="79"/>
  <c r="K180" i="79"/>
  <c r="L180" i="79"/>
  <c r="K181" i="79"/>
  <c r="L181" i="79"/>
  <c r="K182" i="79"/>
  <c r="L182" i="79"/>
  <c r="K183" i="79"/>
  <c r="L183" i="79"/>
  <c r="K184" i="79"/>
  <c r="L184" i="79"/>
  <c r="K185" i="79"/>
  <c r="L185" i="79"/>
  <c r="K186" i="79"/>
  <c r="L186" i="79"/>
  <c r="K187" i="79"/>
  <c r="L187" i="79"/>
  <c r="L109" i="79"/>
  <c r="L130" i="79"/>
  <c r="L131" i="79"/>
  <c r="L132" i="79"/>
  <c r="L133" i="79"/>
  <c r="L134" i="79"/>
  <c r="L135" i="79"/>
  <c r="L136" i="79"/>
  <c r="L137" i="79"/>
  <c r="L138" i="79"/>
  <c r="L139" i="79"/>
  <c r="L140" i="79"/>
  <c r="L149" i="79"/>
  <c r="L150" i="79"/>
  <c r="L152" i="79"/>
  <c r="L153" i="79"/>
  <c r="L154" i="79"/>
  <c r="L155" i="79"/>
  <c r="L156" i="79"/>
  <c r="L157" i="79"/>
  <c r="L158" i="79"/>
  <c r="L159" i="79"/>
  <c r="L160" i="79"/>
  <c r="L161" i="79"/>
  <c r="L162" i="79"/>
  <c r="L163" i="79"/>
  <c r="L164" i="79"/>
  <c r="L165" i="79"/>
  <c r="L166" i="79"/>
  <c r="L167" i="79"/>
  <c r="L168" i="79"/>
  <c r="L169" i="79"/>
  <c r="L170" i="79"/>
  <c r="L171" i="79"/>
  <c r="L172" i="79"/>
  <c r="L173" i="79"/>
  <c r="L174" i="79"/>
  <c r="L175" i="79"/>
  <c r="L176" i="79"/>
  <c r="L177" i="79"/>
  <c r="K167" i="79"/>
  <c r="K168" i="79"/>
  <c r="K169" i="79"/>
  <c r="K170" i="79"/>
  <c r="K171" i="79"/>
  <c r="K172" i="79"/>
  <c r="K173" i="79"/>
  <c r="K174" i="79"/>
  <c r="K175" i="79"/>
  <c r="K176" i="79"/>
  <c r="K177" i="79"/>
  <c r="K150" i="79"/>
  <c r="K152" i="79"/>
  <c r="K153" i="79"/>
  <c r="K154" i="79"/>
  <c r="K155" i="79"/>
  <c r="K156" i="79"/>
  <c r="K157" i="79"/>
  <c r="K158" i="79"/>
  <c r="K159" i="79"/>
  <c r="K160" i="79"/>
  <c r="K161" i="79"/>
  <c r="K162" i="79"/>
  <c r="K163" i="79"/>
  <c r="K164" i="79"/>
  <c r="K165" i="79"/>
  <c r="K166" i="79"/>
  <c r="K108" i="79"/>
  <c r="K109" i="79"/>
  <c r="K110" i="79"/>
  <c r="K111" i="79"/>
  <c r="K112" i="79"/>
  <c r="K113" i="79"/>
  <c r="K114" i="79"/>
  <c r="K115" i="79"/>
  <c r="K116" i="79"/>
  <c r="K117" i="79"/>
  <c r="K118" i="79"/>
  <c r="K119" i="79"/>
  <c r="K120" i="79"/>
  <c r="K121" i="79"/>
  <c r="K122" i="79"/>
  <c r="K123" i="79"/>
  <c r="K124" i="79"/>
  <c r="K125" i="79"/>
  <c r="K126" i="79"/>
  <c r="K127" i="79"/>
  <c r="K128" i="79"/>
  <c r="K129" i="79"/>
  <c r="K130" i="79"/>
  <c r="K131" i="79"/>
  <c r="K132" i="79"/>
  <c r="K133" i="79"/>
  <c r="K134" i="79"/>
  <c r="K135" i="79"/>
  <c r="K136" i="79"/>
  <c r="K138" i="79"/>
  <c r="K139" i="79"/>
  <c r="K140" i="79"/>
  <c r="K149" i="79"/>
  <c r="K107" i="79"/>
  <c r="S155" i="79" l="1"/>
  <c r="V155" i="79" s="1"/>
  <c r="S153" i="79"/>
  <c r="S162" i="79"/>
  <c r="V162" i="79" s="1"/>
  <c r="S150" i="79"/>
  <c r="V150" i="79" s="1"/>
  <c r="S149" i="79"/>
  <c r="S144" i="79"/>
  <c r="V144" i="79" s="1"/>
  <c r="S164" i="79"/>
  <c r="V164" i="79" s="1"/>
  <c r="S161" i="79"/>
  <c r="V161" i="79" s="1"/>
  <c r="S158" i="79"/>
  <c r="V158" i="79" s="1"/>
  <c r="S154" i="79"/>
  <c r="V154" i="79" s="1"/>
  <c r="S148" i="79"/>
  <c r="V148" i="79" s="1"/>
  <c r="S143" i="79"/>
  <c r="V143" i="79" s="1"/>
  <c r="S160" i="79"/>
  <c r="V160" i="79" s="1"/>
  <c r="S157" i="79"/>
  <c r="V157" i="79" s="1"/>
  <c r="S152" i="79"/>
  <c r="V152" i="79" s="1"/>
  <c r="S147" i="79"/>
  <c r="V147" i="79" s="1"/>
  <c r="S142" i="79"/>
  <c r="V142" i="79" s="1"/>
  <c r="S166" i="79"/>
  <c r="S163" i="79"/>
  <c r="V163" i="79" s="1"/>
  <c r="S141" i="79"/>
  <c r="V141" i="79" s="1"/>
  <c r="S156" i="79"/>
  <c r="V156" i="79" s="1"/>
  <c r="S151" i="79"/>
  <c r="V151" i="79" s="1"/>
  <c r="S146" i="79"/>
  <c r="V146" i="79" s="1"/>
  <c r="S165" i="79"/>
  <c r="S159" i="79"/>
  <c r="V159" i="79" s="1"/>
  <c r="X139" i="79"/>
  <c r="K78" i="5"/>
  <c r="K93" i="5"/>
  <c r="K85" i="5"/>
  <c r="K92" i="5"/>
  <c r="L121" i="79"/>
  <c r="L120" i="79"/>
  <c r="L118" i="79"/>
  <c r="L114" i="79"/>
  <c r="L110" i="79"/>
  <c r="L123" i="79"/>
  <c r="L116" i="79"/>
  <c r="L112" i="79"/>
  <c r="L108" i="79"/>
  <c r="L127" i="79"/>
  <c r="L119" i="79"/>
  <c r="L115" i="79"/>
  <c r="L111" i="79"/>
  <c r="L124" i="79"/>
  <c r="L122" i="79"/>
  <c r="L107" i="79"/>
  <c r="L117" i="79"/>
  <c r="L125" i="79"/>
  <c r="L113" i="79"/>
  <c r="B108" i="79"/>
  <c r="F108" i="79"/>
  <c r="B109" i="79"/>
  <c r="F109" i="79"/>
  <c r="B110" i="79"/>
  <c r="F110" i="79"/>
  <c r="B111" i="79"/>
  <c r="F111" i="79"/>
  <c r="B112" i="79"/>
  <c r="F112" i="79"/>
  <c r="C9" i="174"/>
  <c r="C5" i="174"/>
  <c r="C14" i="174"/>
  <c r="C15" i="174"/>
  <c r="C16" i="174"/>
  <c r="C17" i="174"/>
  <c r="C9" i="173"/>
  <c r="C9" i="172"/>
  <c r="C9" i="171"/>
  <c r="C9" i="170"/>
  <c r="C9" i="169"/>
  <c r="C9" i="168"/>
  <c r="C9" i="167"/>
  <c r="C9" i="166"/>
  <c r="C9" i="165"/>
  <c r="C9" i="164"/>
  <c r="C9" i="163"/>
  <c r="C9" i="162"/>
  <c r="V165" i="79" l="1"/>
  <c r="W165" i="79"/>
  <c r="V153" i="79"/>
  <c r="X153" i="79"/>
  <c r="V149" i="79"/>
  <c r="X149" i="79"/>
  <c r="X167" i="79"/>
  <c r="V166" i="79"/>
  <c r="X166" i="79"/>
  <c r="X151" i="79"/>
  <c r="W162" i="79"/>
  <c r="W154" i="79"/>
  <c r="S138" i="79"/>
  <c r="X157" i="79"/>
  <c r="W160" i="79"/>
  <c r="W155" i="79"/>
  <c r="S139" i="79"/>
  <c r="S140" i="79"/>
  <c r="V140" i="79" s="1"/>
  <c r="B107" i="79"/>
  <c r="B149" i="79"/>
  <c r="B150" i="79"/>
  <c r="B152" i="79"/>
  <c r="B153" i="79"/>
  <c r="B154" i="79"/>
  <c r="B155" i="79"/>
  <c r="B156" i="79"/>
  <c r="B157" i="79"/>
  <c r="B158" i="79"/>
  <c r="B159" i="79"/>
  <c r="B160" i="79"/>
  <c r="B161" i="79"/>
  <c r="B162" i="79"/>
  <c r="B163" i="79"/>
  <c r="B164" i="79"/>
  <c r="B165" i="79"/>
  <c r="B166" i="79"/>
  <c r="B167" i="79"/>
  <c r="B168" i="79"/>
  <c r="B113" i="79"/>
  <c r="B114" i="79"/>
  <c r="B115" i="79"/>
  <c r="B116" i="79"/>
  <c r="B117" i="79"/>
  <c r="B118" i="79"/>
  <c r="B119" i="79"/>
  <c r="B120" i="79"/>
  <c r="B121" i="79"/>
  <c r="B122" i="79"/>
  <c r="B123" i="79"/>
  <c r="B124" i="79"/>
  <c r="B125" i="79"/>
  <c r="B126" i="79"/>
  <c r="B127" i="79"/>
  <c r="B128" i="79"/>
  <c r="B129" i="79"/>
  <c r="B130" i="79"/>
  <c r="B131" i="79"/>
  <c r="B132" i="79"/>
  <c r="B133" i="79"/>
  <c r="B134" i="79"/>
  <c r="B135" i="79"/>
  <c r="B136" i="79"/>
  <c r="B137" i="79"/>
  <c r="B138" i="79"/>
  <c r="B139" i="79"/>
  <c r="B140" i="79"/>
  <c r="F113" i="79"/>
  <c r="F114" i="79"/>
  <c r="F115" i="79"/>
  <c r="F116" i="79"/>
  <c r="F117" i="79"/>
  <c r="F118" i="79"/>
  <c r="F119" i="79"/>
  <c r="F120" i="79"/>
  <c r="F121" i="79"/>
  <c r="F122" i="79"/>
  <c r="F123" i="79"/>
  <c r="F124" i="79"/>
  <c r="F125" i="79"/>
  <c r="F126" i="79"/>
  <c r="F127" i="79"/>
  <c r="F128" i="79"/>
  <c r="F129" i="79"/>
  <c r="F130" i="79"/>
  <c r="F131" i="79"/>
  <c r="F132" i="79"/>
  <c r="F133" i="79"/>
  <c r="F134" i="79"/>
  <c r="F135" i="79"/>
  <c r="F136" i="79"/>
  <c r="F137" i="79"/>
  <c r="F138" i="79"/>
  <c r="F139" i="79"/>
  <c r="F140" i="79"/>
  <c r="C103" i="5"/>
  <c r="J103" i="5" s="1"/>
  <c r="C104" i="5"/>
  <c r="J104" i="5" s="1"/>
  <c r="C105" i="5"/>
  <c r="J105" i="5" s="1"/>
  <c r="C106" i="5"/>
  <c r="J106" i="5" s="1"/>
  <c r="X164" i="79" l="1"/>
  <c r="X165" i="79"/>
  <c r="X158" i="79"/>
  <c r="V139" i="79"/>
  <c r="W139" i="79"/>
  <c r="V138" i="79"/>
  <c r="X138" i="79"/>
  <c r="X159" i="79"/>
  <c r="X155" i="79"/>
  <c r="X154" i="79"/>
  <c r="W163" i="79"/>
  <c r="X163" i="79"/>
  <c r="W153" i="79"/>
  <c r="X152" i="79"/>
  <c r="W152" i="79"/>
  <c r="X156" i="79"/>
  <c r="W156" i="79"/>
  <c r="X161" i="79"/>
  <c r="X160" i="79"/>
  <c r="W157" i="79"/>
  <c r="X162" i="79"/>
  <c r="N105" i="5"/>
  <c r="N104" i="5"/>
  <c r="N106" i="5"/>
  <c r="N103" i="5"/>
  <c r="C14" i="167"/>
  <c r="C15" i="167"/>
  <c r="C16" i="167"/>
  <c r="C17" i="167"/>
  <c r="B100" i="79"/>
  <c r="C5" i="168"/>
  <c r="C14" i="168"/>
  <c r="C15" i="168"/>
  <c r="C16" i="168"/>
  <c r="C17" i="168"/>
  <c r="C14" i="169"/>
  <c r="C15" i="169"/>
  <c r="C16" i="169"/>
  <c r="C17" i="169"/>
  <c r="C5" i="172"/>
  <c r="C14" i="172"/>
  <c r="C15" i="172"/>
  <c r="C16" i="172"/>
  <c r="C17" i="172"/>
  <c r="C5" i="171"/>
  <c r="C14" i="171"/>
  <c r="C15" i="171"/>
  <c r="C16" i="171"/>
  <c r="C17" i="171"/>
  <c r="C14" i="170"/>
  <c r="C15" i="170"/>
  <c r="C16" i="170"/>
  <c r="C17" i="170"/>
  <c r="C5" i="173"/>
  <c r="C14" i="173"/>
  <c r="C15" i="173"/>
  <c r="C16" i="173"/>
  <c r="C17" i="173"/>
  <c r="F107" i="79" l="1"/>
  <c r="F100" i="79"/>
  <c r="C5" i="167"/>
  <c r="C5" i="169"/>
  <c r="C5" i="170"/>
  <c r="B103" i="79"/>
  <c r="B106" i="79"/>
  <c r="C102" i="5"/>
  <c r="J102" i="5" s="1"/>
  <c r="B102" i="79" l="1"/>
  <c r="B101" i="79"/>
  <c r="B104" i="79"/>
  <c r="B105" i="79"/>
  <c r="F103" i="79"/>
  <c r="F106" i="79"/>
  <c r="N102" i="5"/>
  <c r="C94" i="5"/>
  <c r="C95" i="5"/>
  <c r="C96" i="5"/>
  <c r="C97" i="5"/>
  <c r="C98" i="5"/>
  <c r="C99" i="5"/>
  <c r="C100" i="5"/>
  <c r="J100" i="5" s="1"/>
  <c r="C101" i="5"/>
  <c r="J101" i="5" s="1"/>
  <c r="N99" i="5" l="1"/>
  <c r="J99" i="5"/>
  <c r="N98" i="5"/>
  <c r="N97" i="5"/>
  <c r="N95" i="5"/>
  <c r="F101" i="79"/>
  <c r="F104" i="79"/>
  <c r="F105" i="79"/>
  <c r="F102" i="79"/>
  <c r="N94" i="5"/>
  <c r="N100" i="5"/>
  <c r="N96" i="5"/>
  <c r="N101" i="5"/>
  <c r="B3" i="4"/>
  <c r="C92" i="5" l="1"/>
  <c r="C93" i="5"/>
  <c r="F149" i="79"/>
  <c r="N92" i="5" l="1"/>
  <c r="N93" i="5"/>
  <c r="M45" i="4"/>
  <c r="M46" i="4"/>
  <c r="M47" i="4"/>
  <c r="M48" i="4"/>
  <c r="M49" i="4"/>
  <c r="C91" i="5" l="1"/>
  <c r="C85" i="5"/>
  <c r="C86" i="5"/>
  <c r="C87" i="5"/>
  <c r="C88" i="5"/>
  <c r="C89" i="5"/>
  <c r="C90" i="5"/>
  <c r="C14" i="165"/>
  <c r="C15" i="165"/>
  <c r="C16" i="165"/>
  <c r="C17" i="165"/>
  <c r="E106" i="5"/>
  <c r="M106" i="5"/>
  <c r="C14" i="163"/>
  <c r="C15" i="163"/>
  <c r="C16" i="163"/>
  <c r="C17" i="163"/>
  <c r="B99" i="79" l="1"/>
  <c r="B98" i="79"/>
  <c r="C5" i="165"/>
  <c r="D106" i="5"/>
  <c r="C5" i="163"/>
  <c r="N87" i="5"/>
  <c r="N86" i="5"/>
  <c r="N90" i="5"/>
  <c r="N89" i="5"/>
  <c r="N85" i="5"/>
  <c r="N88" i="5"/>
  <c r="N91" i="5"/>
  <c r="L10" i="4"/>
  <c r="L11" i="4"/>
  <c r="L12" i="4"/>
  <c r="L13" i="4"/>
  <c r="L14" i="4"/>
  <c r="L15" i="4"/>
  <c r="M85" i="5"/>
  <c r="M86" i="5"/>
  <c r="M87" i="5"/>
  <c r="M88" i="5"/>
  <c r="M89" i="5"/>
  <c r="M90" i="5"/>
  <c r="M91" i="5"/>
  <c r="M92" i="5"/>
  <c r="M93" i="5"/>
  <c r="M94" i="5"/>
  <c r="M95" i="5"/>
  <c r="M96" i="5"/>
  <c r="M97" i="5"/>
  <c r="M98" i="5"/>
  <c r="M99" i="5"/>
  <c r="M100" i="5"/>
  <c r="M102" i="5"/>
  <c r="M103" i="5"/>
  <c r="M104" i="5"/>
  <c r="M105" i="5"/>
  <c r="L9" i="4"/>
  <c r="G106" i="5" l="1"/>
  <c r="I106" i="5" s="1"/>
  <c r="O106" i="5" s="1"/>
  <c r="H106" i="5"/>
  <c r="L106" i="5"/>
  <c r="F99" i="79"/>
  <c r="C9" i="161"/>
  <c r="N47" i="4"/>
  <c r="N48" i="4"/>
  <c r="N49" i="4"/>
  <c r="N46" i="4"/>
  <c r="K106" i="5" l="1"/>
  <c r="F98" i="79" s="1"/>
  <c r="N45" i="4"/>
  <c r="C84" i="5" l="1"/>
  <c r="N84" i="5" l="1"/>
  <c r="C82" i="5"/>
  <c r="C83" i="5"/>
  <c r="N82" i="5" l="1"/>
  <c r="N83" i="5"/>
  <c r="H14" i="4" l="1"/>
  <c r="G14" i="4"/>
  <c r="G15" i="4"/>
  <c r="G10" i="4"/>
  <c r="G11" i="4"/>
  <c r="G12" i="4"/>
  <c r="G13" i="4"/>
  <c r="G9" i="4"/>
  <c r="F12" i="4"/>
  <c r="D92" i="5"/>
  <c r="E92" i="5"/>
  <c r="E93" i="5"/>
  <c r="E94" i="5"/>
  <c r="E100" i="5"/>
  <c r="F100" i="5" s="1"/>
  <c r="C14" i="162"/>
  <c r="C15" i="162"/>
  <c r="C17" i="162"/>
  <c r="E103" i="5"/>
  <c r="F103" i="5" s="1"/>
  <c r="C14" i="166"/>
  <c r="C15" i="166"/>
  <c r="C17" i="166"/>
  <c r="C14" i="164"/>
  <c r="C15" i="164"/>
  <c r="C17" i="164"/>
  <c r="E105" i="5"/>
  <c r="F105" i="5" s="1"/>
  <c r="L92" i="5" l="1"/>
  <c r="C5" i="164"/>
  <c r="D105" i="5"/>
  <c r="C5" i="162"/>
  <c r="D103" i="5"/>
  <c r="C5" i="166"/>
  <c r="D104" i="5"/>
  <c r="C5" i="161"/>
  <c r="D102" i="5"/>
  <c r="M101" i="5"/>
  <c r="C17" i="161"/>
  <c r="C15" i="161"/>
  <c r="C14" i="161"/>
  <c r="C5" i="143"/>
  <c r="D95" i="5"/>
  <c r="C5" i="148"/>
  <c r="D100" i="5"/>
  <c r="C5" i="144"/>
  <c r="D96" i="5"/>
  <c r="C5" i="149"/>
  <c r="D101" i="5"/>
  <c r="B86" i="79"/>
  <c r="C5" i="145"/>
  <c r="D97" i="5"/>
  <c r="B92" i="79"/>
  <c r="C5" i="146"/>
  <c r="D98" i="5"/>
  <c r="C5" i="142"/>
  <c r="D94" i="5"/>
  <c r="C5" i="147"/>
  <c r="D99" i="5"/>
  <c r="B84" i="79"/>
  <c r="B85" i="79"/>
  <c r="C5" i="141"/>
  <c r="D93" i="5"/>
  <c r="C5" i="140"/>
  <c r="C16" i="166"/>
  <c r="C16" i="162"/>
  <c r="C16" i="161"/>
  <c r="E101" i="5"/>
  <c r="F101" i="5" s="1"/>
  <c r="E99" i="5"/>
  <c r="F99" i="5" s="1"/>
  <c r="E98" i="5"/>
  <c r="E97" i="5"/>
  <c r="E96" i="5"/>
  <c r="E95" i="5"/>
  <c r="L97" i="5" l="1"/>
  <c r="L101" i="5"/>
  <c r="G101" i="5"/>
  <c r="I101" i="5" s="1"/>
  <c r="H101" i="5"/>
  <c r="H103" i="5"/>
  <c r="G103" i="5"/>
  <c r="I103" i="5" s="1"/>
  <c r="L100" i="5"/>
  <c r="I100" i="5"/>
  <c r="L129" i="79" s="1"/>
  <c r="H100" i="5"/>
  <c r="L99" i="5"/>
  <c r="I99" i="5"/>
  <c r="L128" i="79" s="1"/>
  <c r="L95" i="5"/>
  <c r="H104" i="5"/>
  <c r="G104" i="5"/>
  <c r="L94" i="5"/>
  <c r="L93" i="5"/>
  <c r="L98" i="5"/>
  <c r="G105" i="5"/>
  <c r="I105" i="5" s="1"/>
  <c r="H105" i="5"/>
  <c r="L96" i="5"/>
  <c r="L102" i="5"/>
  <c r="G102" i="5"/>
  <c r="I102" i="5" s="1"/>
  <c r="H102" i="5"/>
  <c r="C16" i="164"/>
  <c r="L105" i="5"/>
  <c r="L104" i="5"/>
  <c r="L103" i="5"/>
  <c r="B94" i="79"/>
  <c r="B87" i="79"/>
  <c r="B91" i="79"/>
  <c r="B88" i="79"/>
  <c r="B93" i="79"/>
  <c r="B89" i="79"/>
  <c r="B90" i="79"/>
  <c r="K100" i="5" l="1"/>
  <c r="F92" i="79" s="1"/>
  <c r="O100" i="5"/>
  <c r="O96" i="5"/>
  <c r="O103" i="5"/>
  <c r="K103" i="5"/>
  <c r="F95" i="79" s="1"/>
  <c r="O105" i="5"/>
  <c r="K105" i="5"/>
  <c r="F97" i="79" s="1"/>
  <c r="I104" i="5"/>
  <c r="L126" i="79"/>
  <c r="O102" i="5"/>
  <c r="K102" i="5"/>
  <c r="F94" i="79" s="1"/>
  <c r="F87" i="79"/>
  <c r="O95" i="5"/>
  <c r="O101" i="5"/>
  <c r="K101" i="5"/>
  <c r="F93" i="79" s="1"/>
  <c r="F90" i="79"/>
  <c r="O98" i="5"/>
  <c r="K99" i="5"/>
  <c r="F91" i="79" s="1"/>
  <c r="O99" i="5"/>
  <c r="E91" i="5"/>
  <c r="E90" i="5"/>
  <c r="E89" i="5"/>
  <c r="E88" i="5"/>
  <c r="E87" i="5"/>
  <c r="E86" i="5"/>
  <c r="K15" i="4"/>
  <c r="I15" i="4"/>
  <c r="E84" i="5" s="1"/>
  <c r="H15" i="4"/>
  <c r="F15" i="4"/>
  <c r="E15" i="4"/>
  <c r="K14" i="4"/>
  <c r="I14" i="4"/>
  <c r="F14" i="4"/>
  <c r="E14" i="4"/>
  <c r="K13" i="4"/>
  <c r="I13" i="4"/>
  <c r="E82" i="5" s="1"/>
  <c r="H13" i="4"/>
  <c r="F13" i="4"/>
  <c r="E13" i="4"/>
  <c r="K12" i="4"/>
  <c r="I12" i="4"/>
  <c r="H12" i="4"/>
  <c r="E12" i="4"/>
  <c r="M12" i="4"/>
  <c r="C5" i="129" s="1"/>
  <c r="K11" i="4"/>
  <c r="I11" i="4"/>
  <c r="H11" i="4"/>
  <c r="F11" i="4"/>
  <c r="E11" i="4"/>
  <c r="M11" i="4"/>
  <c r="C5" i="128" s="1"/>
  <c r="I10" i="4"/>
  <c r="H10" i="4"/>
  <c r="F10" i="4"/>
  <c r="E10" i="4"/>
  <c r="M10" i="4"/>
  <c r="C5" i="97" s="1"/>
  <c r="I9" i="4"/>
  <c r="N9" i="4" s="1"/>
  <c r="H9" i="4"/>
  <c r="F9" i="4"/>
  <c r="E9" i="4"/>
  <c r="M9" i="4"/>
  <c r="C5" i="6" s="1"/>
  <c r="P62" i="5"/>
  <c r="L189" i="79" l="1"/>
  <c r="F89" i="79"/>
  <c r="O97" i="5"/>
  <c r="F88" i="79"/>
  <c r="K104" i="5"/>
  <c r="F96" i="79" s="1"/>
  <c r="O104" i="5"/>
  <c r="E85" i="5"/>
  <c r="B83" i="79"/>
  <c r="D86" i="5"/>
  <c r="C5" i="134"/>
  <c r="D87" i="5"/>
  <c r="C5" i="135"/>
  <c r="D91" i="5"/>
  <c r="C5" i="139"/>
  <c r="D83" i="5"/>
  <c r="M14" i="4"/>
  <c r="C5" i="131" s="1"/>
  <c r="D90" i="5"/>
  <c r="C5" i="138"/>
  <c r="D85" i="5"/>
  <c r="D84" i="5"/>
  <c r="M15" i="4"/>
  <c r="C5" i="132" s="1"/>
  <c r="D82" i="5"/>
  <c r="M13" i="4"/>
  <c r="C5" i="130" s="1"/>
  <c r="D89" i="5"/>
  <c r="C5" i="137"/>
  <c r="D88" i="5"/>
  <c r="C5" i="136"/>
  <c r="E83" i="5"/>
  <c r="C17" i="97"/>
  <c r="C16" i="97"/>
  <c r="C15" i="97"/>
  <c r="C14" i="97"/>
  <c r="C17" i="128"/>
  <c r="C16" i="128"/>
  <c r="C15" i="128"/>
  <c r="C14" i="128"/>
  <c r="C16" i="129"/>
  <c r="C14" i="129"/>
  <c r="C17" i="130"/>
  <c r="C16" i="130"/>
  <c r="C15" i="130"/>
  <c r="C14" i="130"/>
  <c r="C17" i="131"/>
  <c r="C16" i="131"/>
  <c r="C15" i="131"/>
  <c r="C14" i="131"/>
  <c r="C17" i="132"/>
  <c r="C16" i="132"/>
  <c r="C15" i="132"/>
  <c r="C14" i="132"/>
  <c r="C17" i="133"/>
  <c r="C16" i="133"/>
  <c r="C15" i="133"/>
  <c r="C14" i="133"/>
  <c r="C17" i="134"/>
  <c r="C16" i="134"/>
  <c r="C15" i="134"/>
  <c r="C14" i="134"/>
  <c r="C17" i="135"/>
  <c r="C16" i="135"/>
  <c r="C15" i="135"/>
  <c r="C14" i="135"/>
  <c r="C17" i="136"/>
  <c r="C16" i="136"/>
  <c r="C15" i="136"/>
  <c r="C14" i="136"/>
  <c r="C17" i="137"/>
  <c r="C16" i="137"/>
  <c r="C15" i="137"/>
  <c r="C14" i="137"/>
  <c r="C17" i="138"/>
  <c r="C16" i="138"/>
  <c r="C15" i="138"/>
  <c r="C14" i="138"/>
  <c r="C17" i="139"/>
  <c r="C16" i="139"/>
  <c r="C15" i="139"/>
  <c r="C14" i="139"/>
  <c r="C17" i="140"/>
  <c r="C16" i="140"/>
  <c r="C15" i="140"/>
  <c r="C14" i="140"/>
  <c r="C17" i="141"/>
  <c r="C16" i="141"/>
  <c r="C15" i="141"/>
  <c r="C14" i="141"/>
  <c r="C17" i="142"/>
  <c r="C16" i="142"/>
  <c r="C15" i="142"/>
  <c r="C14" i="142"/>
  <c r="C17" i="143"/>
  <c r="C16" i="143"/>
  <c r="C15" i="143"/>
  <c r="C14" i="143"/>
  <c r="C17" i="144"/>
  <c r="C16" i="144"/>
  <c r="C15" i="144"/>
  <c r="C14" i="144"/>
  <c r="C17" i="145"/>
  <c r="C16" i="145"/>
  <c r="C15" i="145"/>
  <c r="C14" i="145"/>
  <c r="C17" i="146"/>
  <c r="C16" i="146"/>
  <c r="C15" i="146"/>
  <c r="C14" i="146"/>
  <c r="C17" i="147"/>
  <c r="C16" i="147"/>
  <c r="C15" i="147"/>
  <c r="C14" i="147"/>
  <c r="C17" i="148"/>
  <c r="C16" i="148"/>
  <c r="C15" i="148"/>
  <c r="C14" i="148"/>
  <c r="C17" i="6"/>
  <c r="C16" i="6"/>
  <c r="C15" i="6"/>
  <c r="C14" i="6"/>
  <c r="M126" i="79" l="1"/>
  <c r="M151" i="79"/>
  <c r="M129" i="79"/>
  <c r="M112" i="79"/>
  <c r="M120" i="79"/>
  <c r="M130" i="79"/>
  <c r="M139" i="79"/>
  <c r="M155" i="79"/>
  <c r="M163" i="79"/>
  <c r="M173" i="79"/>
  <c r="M181" i="79"/>
  <c r="M128" i="79"/>
  <c r="M113" i="79"/>
  <c r="M121" i="79"/>
  <c r="M131" i="79"/>
  <c r="M140" i="79"/>
  <c r="M156" i="79"/>
  <c r="M164" i="79"/>
  <c r="M174" i="79"/>
  <c r="M182" i="79"/>
  <c r="M136" i="79"/>
  <c r="M179" i="79"/>
  <c r="M137" i="79"/>
  <c r="M114" i="79"/>
  <c r="M122" i="79"/>
  <c r="M132" i="79"/>
  <c r="M149" i="79"/>
  <c r="M157" i="79"/>
  <c r="M165" i="79"/>
  <c r="M175" i="79"/>
  <c r="M183" i="79"/>
  <c r="M187" i="79"/>
  <c r="M115" i="79"/>
  <c r="M123" i="79"/>
  <c r="M133" i="79"/>
  <c r="M150" i="79"/>
  <c r="M158" i="79"/>
  <c r="M166" i="79"/>
  <c r="M176" i="79"/>
  <c r="M184" i="79"/>
  <c r="M118" i="79"/>
  <c r="M108" i="79"/>
  <c r="M116" i="79"/>
  <c r="M124" i="79"/>
  <c r="M134" i="79"/>
  <c r="M159" i="79"/>
  <c r="M167" i="79"/>
  <c r="M169" i="79"/>
  <c r="M177" i="79"/>
  <c r="M185" i="79"/>
  <c r="M153" i="79"/>
  <c r="M109" i="79"/>
  <c r="M117" i="79"/>
  <c r="M125" i="79"/>
  <c r="M135" i="79"/>
  <c r="M152" i="79"/>
  <c r="M160" i="79"/>
  <c r="M168" i="79"/>
  <c r="M170" i="79"/>
  <c r="M178" i="79"/>
  <c r="M186" i="79"/>
  <c r="M161" i="79"/>
  <c r="M171" i="79"/>
  <c r="M110" i="79"/>
  <c r="M111" i="79"/>
  <c r="M119" i="79"/>
  <c r="M127" i="79"/>
  <c r="M138" i="79"/>
  <c r="M154" i="79"/>
  <c r="M162" i="79"/>
  <c r="M172" i="79"/>
  <c r="M180" i="79"/>
  <c r="M107" i="79"/>
  <c r="L89" i="5"/>
  <c r="C5" i="133"/>
  <c r="L85" i="5"/>
  <c r="L87" i="5"/>
  <c r="L90" i="5"/>
  <c r="L86" i="5"/>
  <c r="L88" i="5"/>
  <c r="L83" i="5"/>
  <c r="L82" i="5"/>
  <c r="L84" i="5"/>
  <c r="L91" i="5"/>
  <c r="K49" i="5"/>
  <c r="K48" i="5"/>
  <c r="J49" i="5"/>
  <c r="J48" i="5"/>
  <c r="J47" i="5"/>
  <c r="H49" i="5"/>
  <c r="H48" i="5"/>
  <c r="O63" i="5" l="1"/>
  <c r="L49" i="5"/>
  <c r="F66" i="5" s="1"/>
  <c r="H66" i="5" s="1"/>
  <c r="O59" i="5" s="1"/>
  <c r="H70" i="5"/>
  <c r="O58" i="5" s="1"/>
  <c r="L48" i="5"/>
  <c r="G70" i="5" l="1"/>
  <c r="I70" i="5" s="1"/>
  <c r="P58" i="5" s="1"/>
  <c r="G66" i="5"/>
  <c r="I66" i="5" s="1"/>
  <c r="G60" i="5"/>
  <c r="F54" i="5" s="1"/>
  <c r="H54" i="5" s="1"/>
  <c r="O61" i="5" s="1"/>
  <c r="I60" i="5" l="1"/>
  <c r="P60" i="5" s="1"/>
  <c r="F60" i="5"/>
  <c r="H60" i="5" s="1"/>
  <c r="O60" i="5" s="1"/>
  <c r="P59" i="5"/>
  <c r="O91" i="5" l="1"/>
  <c r="N15" i="4"/>
  <c r="N14" i="4"/>
  <c r="N11" i="4"/>
  <c r="N13" i="4"/>
  <c r="N10" i="4"/>
  <c r="N12" i="4"/>
  <c r="C17" i="149"/>
  <c r="C16" i="149"/>
  <c r="C15" i="149"/>
  <c r="C14" i="149"/>
  <c r="F77" i="79" l="1"/>
  <c r="F83" i="79"/>
  <c r="F82" i="79"/>
  <c r="O90" i="5"/>
  <c r="O93" i="5"/>
  <c r="F85" i="79"/>
  <c r="F80" i="79"/>
  <c r="O88" i="5"/>
  <c r="O89" i="5"/>
  <c r="C79" i="5"/>
  <c r="C80" i="5"/>
  <c r="C81" i="5"/>
  <c r="C78" i="5"/>
  <c r="C11" i="174" l="1"/>
  <c r="C10" i="174"/>
  <c r="C13" i="174"/>
  <c r="C7" i="174"/>
  <c r="C10" i="171"/>
  <c r="C11" i="168"/>
  <c r="C10" i="163"/>
  <c r="C11" i="169"/>
  <c r="C11" i="173"/>
  <c r="C10" i="168"/>
  <c r="C11" i="165"/>
  <c r="C11" i="171"/>
  <c r="C10" i="173"/>
  <c r="C11" i="170"/>
  <c r="C10" i="165"/>
  <c r="C11" i="162"/>
  <c r="C10" i="164"/>
  <c r="C11" i="166"/>
  <c r="C10" i="170"/>
  <c r="C11" i="167"/>
  <c r="C10" i="162"/>
  <c r="C10" i="169"/>
  <c r="C10" i="166"/>
  <c r="C11" i="172"/>
  <c r="C10" i="167"/>
  <c r="C11" i="164"/>
  <c r="C10" i="172"/>
  <c r="C11" i="163"/>
  <c r="C13" i="173"/>
  <c r="C7" i="167"/>
  <c r="C13" i="171"/>
  <c r="C7" i="169"/>
  <c r="C13" i="170"/>
  <c r="C13" i="167"/>
  <c r="C13" i="172"/>
  <c r="C13" i="169"/>
  <c r="C13" i="168"/>
  <c r="C7" i="171"/>
  <c r="C7" i="172"/>
  <c r="C7" i="173"/>
  <c r="C7" i="168"/>
  <c r="C7" i="170"/>
  <c r="C13" i="165"/>
  <c r="C13" i="163"/>
  <c r="C7" i="163"/>
  <c r="C7" i="165"/>
  <c r="C13" i="164"/>
  <c r="C13" i="162"/>
  <c r="C13" i="166"/>
  <c r="C7" i="166"/>
  <c r="C7" i="162"/>
  <c r="C7" i="164"/>
  <c r="F79" i="79"/>
  <c r="O87" i="5"/>
  <c r="O86" i="5"/>
  <c r="F78" i="79"/>
  <c r="O85" i="5"/>
  <c r="D81" i="5"/>
  <c r="F84" i="79"/>
  <c r="O92" i="5"/>
  <c r="O94" i="5"/>
  <c r="F86" i="79"/>
  <c r="O84" i="5"/>
  <c r="F76" i="79"/>
  <c r="F81" i="79"/>
  <c r="D80" i="5"/>
  <c r="C13" i="161"/>
  <c r="C11" i="161"/>
  <c r="C7" i="161"/>
  <c r="C10" i="161"/>
  <c r="C10" i="131"/>
  <c r="C9" i="130"/>
  <c r="C10" i="130"/>
  <c r="C9" i="131"/>
  <c r="C11" i="130"/>
  <c r="C11" i="131"/>
  <c r="O83" i="5"/>
  <c r="F75" i="79"/>
  <c r="O82" i="5"/>
  <c r="F74" i="79"/>
  <c r="C11" i="145"/>
  <c r="C11" i="133"/>
  <c r="C11" i="135"/>
  <c r="C11" i="137"/>
  <c r="C11" i="139"/>
  <c r="C11" i="141"/>
  <c r="C10" i="146"/>
  <c r="C11" i="132"/>
  <c r="C11" i="136"/>
  <c r="C10" i="132"/>
  <c r="C10" i="138"/>
  <c r="C10" i="142"/>
  <c r="C10" i="133"/>
  <c r="C10" i="135"/>
  <c r="C10" i="137"/>
  <c r="C10" i="139"/>
  <c r="C10" i="141"/>
  <c r="C10" i="143"/>
  <c r="C10" i="147"/>
  <c r="C11" i="134"/>
  <c r="C11" i="138"/>
  <c r="C11" i="140"/>
  <c r="C10" i="148"/>
  <c r="C10" i="136"/>
  <c r="C10" i="145"/>
  <c r="C10" i="144"/>
  <c r="C10" i="134"/>
  <c r="C10" i="140"/>
  <c r="C11" i="147"/>
  <c r="C7" i="146"/>
  <c r="C11" i="146"/>
  <c r="C11" i="148"/>
  <c r="D79" i="5"/>
  <c r="E79" i="5"/>
  <c r="B74" i="79"/>
  <c r="C13" i="130"/>
  <c r="C13" i="135"/>
  <c r="C13" i="145"/>
  <c r="C13" i="129"/>
  <c r="E81" i="5"/>
  <c r="B96" i="79"/>
  <c r="C13" i="142"/>
  <c r="C13" i="144"/>
  <c r="C8" i="144"/>
  <c r="C13" i="128"/>
  <c r="E80" i="5"/>
  <c r="B95" i="79"/>
  <c r="C13" i="141"/>
  <c r="B97" i="79"/>
  <c r="C13" i="143"/>
  <c r="C13" i="134"/>
  <c r="C13" i="139"/>
  <c r="B77" i="79"/>
  <c r="C13" i="133"/>
  <c r="C7" i="138"/>
  <c r="B82" i="79"/>
  <c r="C13" i="138"/>
  <c r="C7" i="145"/>
  <c r="C7" i="149"/>
  <c r="C13" i="149"/>
  <c r="N78" i="5"/>
  <c r="E78" i="5"/>
  <c r="C11" i="149"/>
  <c r="C10" i="149"/>
  <c r="C7" i="140"/>
  <c r="C13" i="140"/>
  <c r="C7" i="132"/>
  <c r="B76" i="79"/>
  <c r="C13" i="132"/>
  <c r="C13" i="137"/>
  <c r="B81" i="79"/>
  <c r="C7" i="139"/>
  <c r="C13" i="148"/>
  <c r="B75" i="79"/>
  <c r="C13" i="131"/>
  <c r="C13" i="136"/>
  <c r="B80" i="79"/>
  <c r="C13" i="146"/>
  <c r="C13" i="147"/>
  <c r="C7" i="147"/>
  <c r="N81" i="5"/>
  <c r="C7" i="136"/>
  <c r="C7" i="144"/>
  <c r="C7" i="148"/>
  <c r="N80" i="5"/>
  <c r="N79" i="5"/>
  <c r="C7" i="130"/>
  <c r="C7" i="134"/>
  <c r="C7" i="137"/>
  <c r="C7" i="133"/>
  <c r="C7" i="135"/>
  <c r="C7" i="131"/>
  <c r="C13" i="97"/>
  <c r="D78" i="5"/>
  <c r="L78" i="5" l="1"/>
  <c r="C12" i="174"/>
  <c r="C4" i="174" s="1"/>
  <c r="C12" i="168"/>
  <c r="C4" i="168" s="1"/>
  <c r="C12" i="172"/>
  <c r="C4" i="172" s="1"/>
  <c r="C12" i="170"/>
  <c r="C4" i="170" s="1"/>
  <c r="C12" i="169"/>
  <c r="C4" i="169" s="1"/>
  <c r="C12" i="162"/>
  <c r="C4" i="162" s="1"/>
  <c r="C12" i="167"/>
  <c r="C4" i="167" s="1"/>
  <c r="C12" i="164"/>
  <c r="C4" i="164" s="1"/>
  <c r="C12" i="166"/>
  <c r="C4" i="166" s="1"/>
  <c r="C12" i="165"/>
  <c r="C4" i="165" s="1"/>
  <c r="C12" i="163"/>
  <c r="C4" i="163" s="1"/>
  <c r="C12" i="173"/>
  <c r="C4" i="173" s="1"/>
  <c r="C12" i="171"/>
  <c r="C4" i="171" s="1"/>
  <c r="L81" i="5"/>
  <c r="C10" i="129"/>
  <c r="C10" i="128"/>
  <c r="L80" i="5"/>
  <c r="C10" i="97"/>
  <c r="L79" i="5"/>
  <c r="C11" i="97" s="1"/>
  <c r="C12" i="161"/>
  <c r="C4" i="161" s="1"/>
  <c r="B73" i="79"/>
  <c r="C9" i="129"/>
  <c r="B72" i="79"/>
  <c r="C9" i="128"/>
  <c r="M84" i="5"/>
  <c r="M82" i="5"/>
  <c r="M83" i="5"/>
  <c r="C7" i="97"/>
  <c r="C7" i="129"/>
  <c r="C7" i="6"/>
  <c r="C9" i="6"/>
  <c r="B71" i="79"/>
  <c r="C8" i="97"/>
  <c r="B78" i="79"/>
  <c r="C8" i="6"/>
  <c r="B70" i="79"/>
  <c r="B79" i="79"/>
  <c r="C8" i="140"/>
  <c r="C9" i="140" s="1"/>
  <c r="C12" i="140" s="1"/>
  <c r="C4" i="140" s="1"/>
  <c r="C7" i="143"/>
  <c r="C7" i="141"/>
  <c r="C7" i="142"/>
  <c r="C8" i="147"/>
  <c r="C9" i="147" s="1"/>
  <c r="C12" i="147" s="1"/>
  <c r="C4" i="147" s="1"/>
  <c r="C8" i="136"/>
  <c r="C9" i="136" s="1"/>
  <c r="C12" i="136" s="1"/>
  <c r="C4" i="136" s="1"/>
  <c r="C8" i="131"/>
  <c r="C12" i="131" s="1"/>
  <c r="C4" i="131" s="1"/>
  <c r="C8" i="139"/>
  <c r="C9" i="139" s="1"/>
  <c r="C12" i="139" s="1"/>
  <c r="C4" i="139" s="1"/>
  <c r="C8" i="137"/>
  <c r="C9" i="137" s="1"/>
  <c r="C12" i="137" s="1"/>
  <c r="C4" i="137" s="1"/>
  <c r="C8" i="132"/>
  <c r="C9" i="132" s="1"/>
  <c r="C12" i="132" s="1"/>
  <c r="C4" i="132" s="1"/>
  <c r="C8" i="133"/>
  <c r="C9" i="133" s="1"/>
  <c r="C12" i="133" s="1"/>
  <c r="C4" i="133" s="1"/>
  <c r="C8" i="141"/>
  <c r="C9" i="141" s="1"/>
  <c r="C12" i="141" s="1"/>
  <c r="C4" i="141" s="1"/>
  <c r="C8" i="129"/>
  <c r="C8" i="130"/>
  <c r="C12" i="130" s="1"/>
  <c r="C4" i="130" s="1"/>
  <c r="C8" i="148"/>
  <c r="C9" i="148" s="1"/>
  <c r="C12" i="148" s="1"/>
  <c r="C4" i="148" s="1"/>
  <c r="C8" i="138"/>
  <c r="C9" i="138" s="1"/>
  <c r="C12" i="138" s="1"/>
  <c r="C4" i="138" s="1"/>
  <c r="C8" i="143"/>
  <c r="C9" i="143" s="1"/>
  <c r="C8" i="145"/>
  <c r="C9" i="145" s="1"/>
  <c r="C12" i="145" s="1"/>
  <c r="C4" i="145" s="1"/>
  <c r="C8" i="135"/>
  <c r="C9" i="135" s="1"/>
  <c r="C12" i="135" s="1"/>
  <c r="C4" i="135" s="1"/>
  <c r="C9" i="97"/>
  <c r="C8" i="146"/>
  <c r="C9" i="146" s="1"/>
  <c r="C12" i="146" s="1"/>
  <c r="C4" i="146" s="1"/>
  <c r="C8" i="134"/>
  <c r="C9" i="134" s="1"/>
  <c r="C12" i="134" s="1"/>
  <c r="C4" i="134" s="1"/>
  <c r="C8" i="128"/>
  <c r="C8" i="142"/>
  <c r="C9" i="142" s="1"/>
  <c r="C8" i="149"/>
  <c r="C9" i="149" s="1"/>
  <c r="C12" i="149" s="1"/>
  <c r="C4" i="149" s="1"/>
  <c r="C9" i="144"/>
  <c r="I31" i="5"/>
  <c r="I32" i="5"/>
  <c r="I35" i="5"/>
  <c r="I30" i="5"/>
  <c r="I33" i="5"/>
  <c r="I34" i="5"/>
  <c r="C10" i="6" l="1"/>
  <c r="C11" i="129"/>
  <c r="C12" i="129" s="1"/>
  <c r="C4" i="129" s="1"/>
  <c r="C11" i="128"/>
  <c r="C12" i="128" s="1"/>
  <c r="C4" i="128" s="1"/>
  <c r="C12" i="97"/>
  <c r="C4" i="97" s="1"/>
  <c r="D71" i="79"/>
  <c r="D73" i="79"/>
  <c r="D74" i="79"/>
  <c r="D72" i="79"/>
  <c r="O79" i="5"/>
  <c r="C11" i="6" l="1"/>
  <c r="C12" i="6" s="1"/>
  <c r="O81" i="5"/>
  <c r="O80" i="5"/>
  <c r="O78" i="5"/>
  <c r="F71" i="79"/>
  <c r="J23" i="2"/>
  <c r="J22" i="2"/>
  <c r="J21" i="2"/>
  <c r="K10" i="2"/>
  <c r="L9" i="2" s="1"/>
  <c r="I10" i="2"/>
  <c r="J7" i="2" s="1"/>
  <c r="G10" i="2"/>
  <c r="H9" i="2" s="1"/>
  <c r="E10" i="2"/>
  <c r="L7" i="2"/>
  <c r="H7" i="2"/>
  <c r="E2" i="2"/>
  <c r="E1" i="2"/>
  <c r="F3" i="2" s="1"/>
  <c r="F73" i="79" l="1"/>
  <c r="F72" i="79"/>
  <c r="K23" i="2"/>
  <c r="F7" i="2" s="1"/>
  <c r="K22" i="2"/>
  <c r="F4" i="2"/>
  <c r="F2" i="2"/>
  <c r="J8" i="2"/>
  <c r="J10" i="2" s="1"/>
  <c r="J9" i="2"/>
  <c r="J24" i="2"/>
  <c r="K21" i="2" s="1"/>
  <c r="L8" i="2"/>
  <c r="L10" i="2" s="1"/>
  <c r="C4" i="6"/>
  <c r="H8" i="2"/>
  <c r="H10" i="2" s="1"/>
  <c r="M80" i="5" l="1"/>
  <c r="M81" i="5"/>
  <c r="M79" i="5"/>
  <c r="F70" i="79"/>
  <c r="C11" i="144"/>
  <c r="C12" i="144" s="1"/>
  <c r="C4" i="144" s="1"/>
  <c r="C11" i="142"/>
  <c r="C12" i="142" s="1"/>
  <c r="C4" i="142" s="1"/>
  <c r="C11" i="143"/>
  <c r="C12" i="143" s="1"/>
  <c r="C4" i="143" s="1"/>
  <c r="K10" i="4"/>
  <c r="C13" i="6"/>
  <c r="K9" i="4"/>
  <c r="K24" i="2"/>
  <c r="F9" i="2"/>
  <c r="F10" i="2"/>
  <c r="J36" i="5"/>
  <c r="H35" i="5" s="1"/>
  <c r="I70" i="79" l="1"/>
  <c r="I71" i="79"/>
  <c r="I69" i="79"/>
  <c r="M78" i="5"/>
  <c r="H30" i="5"/>
  <c r="H34" i="5"/>
  <c r="H32" i="5"/>
  <c r="H31" i="5"/>
  <c r="H33" i="5"/>
  <c r="I36" i="5" l="1"/>
  <c r="I72" i="79" l="1"/>
  <c r="J71" i="79" s="1"/>
  <c r="R7" i="53"/>
  <c r="J69" i="79" l="1"/>
  <c r="J70" i="79"/>
  <c r="R8" i="53"/>
  <c r="R9" i="53"/>
  <c r="R10" i="53"/>
  <c r="K47" i="5" l="1"/>
  <c r="L47" i="5" s="1"/>
  <c r="G54" i="5" s="1"/>
  <c r="F50" i="5" l="1"/>
  <c r="H50" i="5" s="1"/>
  <c r="I54" i="5"/>
  <c r="P61" i="5" s="1"/>
  <c r="L65" i="5" l="1"/>
  <c r="O6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Marcelle</author>
  </authors>
  <commentList>
    <comment ref="D6" authorId="0" shapeId="0" xr:uid="{B2345D72-10B1-47BE-B965-C05982180B8F}">
      <text>
        <r>
          <rPr>
            <b/>
            <sz val="9"/>
            <color indexed="81"/>
            <rFont val="Segoe UI"/>
            <family val="2"/>
          </rPr>
          <t>Marcelle:</t>
        </r>
        <r>
          <rPr>
            <sz val="9"/>
            <color indexed="81"/>
            <rFont val="Segoe UI"/>
            <family val="2"/>
          </rPr>
          <t xml:space="preserve">
Caso a empresa escolha fornecedor por edital registra-se o mapa apresentado. São eles:
-Cotação (Mínimo 3 empresas)
-Justificativa (Serviço de necessidade imediata)
-Contrato (normalmente não são apresentados o mapa a cada pagamento)
-N/A (Item como impostos, frete e fundo fixo)
-NÃO (Itens q deveriam ter algum Mapa, mas não tem)</t>
        </r>
      </text>
    </comment>
  </commentList>
</comments>
</file>

<file path=xl/sharedStrings.xml><?xml version="1.0" encoding="utf-8"?>
<sst xmlns="http://schemas.openxmlformats.org/spreadsheetml/2006/main" count="3233" uniqueCount="941">
  <si>
    <t>Condomínio Mar de Itapuã</t>
  </si>
  <si>
    <t>Testes e Procedimentos da Auditoira Condominial</t>
  </si>
  <si>
    <t>Data base: 01/01/2021 à 31/12/2021</t>
  </si>
  <si>
    <t>Etapas</t>
  </si>
  <si>
    <t>Análise do Contrato   - Auditoria conforme a NBC TA 800</t>
  </si>
  <si>
    <t>Responsável</t>
  </si>
  <si>
    <t>Código Vorcon</t>
  </si>
  <si>
    <t xml:space="preserve">Cliente </t>
  </si>
  <si>
    <t>Testes e Procedimentos de Auditoria realizados</t>
  </si>
  <si>
    <t>Código do Teste</t>
  </si>
  <si>
    <t>Status testes</t>
  </si>
  <si>
    <t xml:space="preserve">Responsável </t>
  </si>
  <si>
    <t>Pedido de análise</t>
  </si>
  <si>
    <t>Descrição no Pedido de Análise</t>
  </si>
  <si>
    <t>Status pedido de análise</t>
  </si>
  <si>
    <t>Observações</t>
  </si>
  <si>
    <t>Simbolo</t>
  </si>
  <si>
    <t>Tipo</t>
  </si>
  <si>
    <t>Conclusão</t>
  </si>
  <si>
    <t xml:space="preserve">Planejamento </t>
  </si>
  <si>
    <t>01.1.1</t>
  </si>
  <si>
    <t>CRP</t>
  </si>
  <si>
    <t>Confirmação de Independência</t>
  </si>
  <si>
    <t>01.1.1 - CRP - Confirmação de Independência</t>
  </si>
  <si>
    <t>x</t>
  </si>
  <si>
    <t>a</t>
  </si>
  <si>
    <t>OK</t>
  </si>
  <si>
    <t>01.1.2</t>
  </si>
  <si>
    <t>Pedido de Análise</t>
  </si>
  <si>
    <t>01.1.2 - CRP - Pedido de Análise</t>
  </si>
  <si>
    <t>Não Aplicável</t>
  </si>
  <si>
    <t>01.1.3</t>
  </si>
  <si>
    <t>Entrevista para entendimento dos controles internos do condomínio  (Inquiries)</t>
  </si>
  <si>
    <t xml:space="preserve">01.1.3 - CRP - Entrevista para entendimento dos controles internos do condomínio </t>
  </si>
  <si>
    <t>r</t>
  </si>
  <si>
    <t>Pendente</t>
  </si>
  <si>
    <t>01.1.4</t>
  </si>
  <si>
    <t>Cálculo da Materialidade</t>
  </si>
  <si>
    <t>01.1.4 - CRP - Cálculo da Materialidade</t>
  </si>
  <si>
    <t>q</t>
  </si>
  <si>
    <t>Em Andamento</t>
  </si>
  <si>
    <t>01.1.5</t>
  </si>
  <si>
    <t>Follow Up CCI</t>
  </si>
  <si>
    <t>01.1.5 - CRP - Follow Up CCI</t>
  </si>
  <si>
    <t>Preparação</t>
  </si>
  <si>
    <t>01.1.6</t>
  </si>
  <si>
    <t xml:space="preserve"> Voucher documental</t>
  </si>
  <si>
    <t>01.1.6 - CRP -  Voucher documental</t>
  </si>
  <si>
    <t>01.1.7</t>
  </si>
  <si>
    <t xml:space="preserve"> Constituição e operação do Condomínio</t>
  </si>
  <si>
    <t>01.1.7 - CRP -  Constituição e operação do Condomínio</t>
  </si>
  <si>
    <t>01.1.8</t>
  </si>
  <si>
    <t xml:space="preserve"> Resumo Regimento</t>
  </si>
  <si>
    <t>01.1.8 - CRP -  Resumo Regimento</t>
  </si>
  <si>
    <t>01.1.9</t>
  </si>
  <si>
    <t xml:space="preserve"> Resumo Convenção </t>
  </si>
  <si>
    <t xml:space="preserve">01.1.9 - CRP -  Resumo Convenção </t>
  </si>
  <si>
    <t>01.1.10</t>
  </si>
  <si>
    <t xml:space="preserve"> Resumo do Manual de Obrigações Trabalhistas</t>
  </si>
  <si>
    <t>01.1.10 - CRP -  Resumo do Manual de Obrigações Trabalhistas</t>
  </si>
  <si>
    <t>01.1.11</t>
  </si>
  <si>
    <t xml:space="preserve"> Resumo do Manual Operacional de Receitas</t>
  </si>
  <si>
    <t>01.1.11 - CRP -  Resumo do Manual Operacional de Receitas</t>
  </si>
  <si>
    <t>01.1.12</t>
  </si>
  <si>
    <t xml:space="preserve"> Resumo do Manual de Contratação</t>
  </si>
  <si>
    <t>01.1.12 - CRP -  Resumo do Manual de Contratação</t>
  </si>
  <si>
    <t>01.1.13</t>
  </si>
  <si>
    <t xml:space="preserve"> Carta de Representação de Atas</t>
  </si>
  <si>
    <t>01.1.13 - CRP -  Carta de Representação de Atas</t>
  </si>
  <si>
    <t>01.1.14</t>
  </si>
  <si>
    <t xml:space="preserve"> Resumo Atas</t>
  </si>
  <si>
    <t>01.1.14 - CRP -  Resumo Atas</t>
  </si>
  <si>
    <t>01.1.15</t>
  </si>
  <si>
    <t xml:space="preserve"> Teste de voucher (inspeção das guias e confronto dos saldos demonstrativos)</t>
  </si>
  <si>
    <t>01.1.15 - CRP -  Teste de voucher (inspeção das guias e confronto dos saldos demonstrativos)</t>
  </si>
  <si>
    <t>01.1.16</t>
  </si>
  <si>
    <t xml:space="preserve"> Consolidação dos saldos dos demonstrativos financeiro + Voucher Documental </t>
  </si>
  <si>
    <t xml:space="preserve">01.1.16 - CRP -  Consolidação dos saldos dos demonstrativos financeiro + Voucher Documental </t>
  </si>
  <si>
    <t>Execução</t>
  </si>
  <si>
    <t>01.1.17</t>
  </si>
  <si>
    <t>Emitir Cartas de Circularização aos Bancos</t>
  </si>
  <si>
    <t>01.1.17 - CRP - Emitir Cartas de Circularização aos Bancos</t>
  </si>
  <si>
    <t>01.1.18</t>
  </si>
  <si>
    <t xml:space="preserve"> Carta de Representação de Instituições Financeiras</t>
  </si>
  <si>
    <t>01.1.18 - CRP -  Carta de Representação de Instituições Financeiras</t>
  </si>
  <si>
    <t>01.1.19</t>
  </si>
  <si>
    <t xml:space="preserve"> Validação da Carta de Representação de Instituições Financeiras</t>
  </si>
  <si>
    <t>01.1.19 - CRP -  Validação da Carta de Representação de Instituições Financeiras</t>
  </si>
  <si>
    <t>01.1.20</t>
  </si>
  <si>
    <t>Demonstrativo Financeiro + voucher nos extratos</t>
  </si>
  <si>
    <t>01.1.20 - CRP - Demonstrativo Financeiro + voucher nos extratos</t>
  </si>
  <si>
    <t>01.1.21</t>
  </si>
  <si>
    <t>Conciliação Bancária + Elaboração dos quadros dos Demonstrativos Financeiros</t>
  </si>
  <si>
    <t>01.1.21 - CRP - Conciliação Bancária + Elaboração dos quadros dos Demonstrativos Financeiros</t>
  </si>
  <si>
    <t>01.1.22</t>
  </si>
  <si>
    <t xml:space="preserve"> Orçado X Realizado</t>
  </si>
  <si>
    <t>01.1.22 - CRP -  Orçado X Realizado</t>
  </si>
  <si>
    <t>01.1.23</t>
  </si>
  <si>
    <t xml:space="preserve"> Revisão analitica de demonstrativos</t>
  </si>
  <si>
    <t>01.1.23 - CRP -  Revisão analitica de demonstrativos</t>
  </si>
  <si>
    <t>01.1.23.1</t>
  </si>
  <si>
    <t>Revisão do Fundo de Reserva</t>
  </si>
  <si>
    <t>01.1.23.1 - CRP - Revisão do Fundo de Reserva</t>
  </si>
  <si>
    <t>01.1.24</t>
  </si>
  <si>
    <t xml:space="preserve"> Walkthrough de Receita</t>
  </si>
  <si>
    <t>01.1.24 - CRP -  Walkthrough de Receita</t>
  </si>
  <si>
    <t>01.1.25</t>
  </si>
  <si>
    <t xml:space="preserve"> TOD + TOE de Receita</t>
  </si>
  <si>
    <t>01.1.25 - CRP -  TOD + TOE de Receita</t>
  </si>
  <si>
    <t>01.1.26</t>
  </si>
  <si>
    <t xml:space="preserve"> Validação de Inadimplentes</t>
  </si>
  <si>
    <t>01.1.26 - CRP -  Validação de Inadimplentes</t>
  </si>
  <si>
    <t>01.1.27</t>
  </si>
  <si>
    <t xml:space="preserve"> Seguros</t>
  </si>
  <si>
    <t>01.1.27 - CRP -  Seguros</t>
  </si>
  <si>
    <t>01.1.28</t>
  </si>
  <si>
    <t xml:space="preserve"> Carta de Representação de Prestadores de Serviços (Detalhar os principais)</t>
  </si>
  <si>
    <t>01.1.28 - CRP -  Carta de Representação de Prestadores de Serviços (Detalhar os principais)</t>
  </si>
  <si>
    <t>01.1.29</t>
  </si>
  <si>
    <t xml:space="preserve"> Checklist de Prestadores de Serviços</t>
  </si>
  <si>
    <t>01.1.29 - CRP -  Checklist de Prestadores de Serviços</t>
  </si>
  <si>
    <t>01.1.30</t>
  </si>
  <si>
    <t xml:space="preserve"> Validação da carta de representação de contratos</t>
  </si>
  <si>
    <t>01.1.30 - CRP -  Validação da carta de representação de contratos</t>
  </si>
  <si>
    <t>01.1.31</t>
  </si>
  <si>
    <t xml:space="preserve"> Walkthrough de Contratos</t>
  </si>
  <si>
    <t>01.1.31 - CRP -  Walkthrough de Contratos</t>
  </si>
  <si>
    <t>01.1.32</t>
  </si>
  <si>
    <t xml:space="preserve"> TOD + TOE de Contratos</t>
  </si>
  <si>
    <t>01.1.32 - CRP -  TOD + TOE de Contratos</t>
  </si>
  <si>
    <t>01.1.33</t>
  </si>
  <si>
    <t xml:space="preserve"> Walkthrough de recolhimento de encargos</t>
  </si>
  <si>
    <t>01.1.33 - CRP -  Walkthrough de recolhimento de encargos</t>
  </si>
  <si>
    <t>01.1.34</t>
  </si>
  <si>
    <t xml:space="preserve"> TOD + TOE de cobrança de encargos</t>
  </si>
  <si>
    <t>01.1.34 - CRP -  TOD + TOE de cobrança de encargos</t>
  </si>
  <si>
    <t>01.1.35</t>
  </si>
  <si>
    <t>Recalculo individual de Colaboradores + Análise dos Síndicos</t>
  </si>
  <si>
    <t>01.1.35 - CRP - Recalculo individual de Colaboradores + Análise dos Síndicos</t>
  </si>
  <si>
    <t>01.1.36</t>
  </si>
  <si>
    <t xml:space="preserve"> Indagação e obtençao de evidencias da entrega das obrigações acessorias</t>
  </si>
  <si>
    <t>01.1.36 - CRP -  Indagação e obtençao de evidencias da entrega das obrigações acessorias</t>
  </si>
  <si>
    <t>01.1.37</t>
  </si>
  <si>
    <t xml:space="preserve"> Inspeção estatística dos itens do Imobilizado ( Itens individualmente significantes)</t>
  </si>
  <si>
    <t>01.1.37 - CRP -  Inspeção estatística dos itens do Imobilizado ( Itens individualmente significantes)</t>
  </si>
  <si>
    <t>01.1.38</t>
  </si>
  <si>
    <t xml:space="preserve"> Certidões</t>
  </si>
  <si>
    <t>01.1.38 - CRP -  Certidões</t>
  </si>
  <si>
    <t>01.1.39</t>
  </si>
  <si>
    <t xml:space="preserve"> Carta de Representação de Assessores Jurídicos</t>
  </si>
  <si>
    <t>01.1.39 - CRP -  Carta de Representação de Assessores Jurídicos</t>
  </si>
  <si>
    <t>01.1.40</t>
  </si>
  <si>
    <t xml:space="preserve"> Validação da Carta de Representação de Assessores Jurídicos</t>
  </si>
  <si>
    <t>01.1.40 - CRP -  Validação da Carta de Representação de Assessores Jurídicos</t>
  </si>
  <si>
    <t>01.1.41</t>
  </si>
  <si>
    <t xml:space="preserve"> Procedimentos de Circularização de assessor jurídico</t>
  </si>
  <si>
    <t>01.1.41 - CRP -  Procedimentos de Circularização de assessor jurídico</t>
  </si>
  <si>
    <t>01.1.42</t>
  </si>
  <si>
    <t xml:space="preserve"> Teste de Contingências + Circularização de assessor jurídico </t>
  </si>
  <si>
    <t xml:space="preserve">01.1.42 - CRP -  Teste de Contingências + Circularização de assessor jurídico </t>
  </si>
  <si>
    <t>Revisão</t>
  </si>
  <si>
    <t>01.1.43</t>
  </si>
  <si>
    <t xml:space="preserve"> Consolidação de pontos (baseado no novo modelo com matriz de risco.)</t>
  </si>
  <si>
    <t>01.1.43 - CRP -  Consolidação de pontos (baseado no novo modelo com matriz de risco.)</t>
  </si>
  <si>
    <t>01.1.44</t>
  </si>
  <si>
    <t xml:space="preserve"> Carta de Representação da Administração</t>
  </si>
  <si>
    <t>01.1.44 - CRP -  Carta de Representação da Administração</t>
  </si>
  <si>
    <t>01.1.45</t>
  </si>
  <si>
    <t xml:space="preserve"> Minuta da Auditoria NBC TA 800</t>
  </si>
  <si>
    <t>01.1.45 - CRP -  Minuta da Auditoria NBC TA 800</t>
  </si>
  <si>
    <t>01.1.46</t>
  </si>
  <si>
    <t xml:space="preserve"> Minuta da Apresentação da Auditoria NBC TA 800</t>
  </si>
  <si>
    <t>01.1.46 - CRP -  Minuta da Apresentação da Auditoria NBC TA 800</t>
  </si>
  <si>
    <t>01.1.47</t>
  </si>
  <si>
    <t xml:space="preserve"> Relatório Final da Auditoria NBC TA 800</t>
  </si>
  <si>
    <t>01.1.47 - CRP -  Relatório Final da Auditoria NBC TA 800</t>
  </si>
  <si>
    <t>Condomínios</t>
  </si>
  <si>
    <t>APROVA</t>
  </si>
  <si>
    <t>RELATÓRIO COM OPINIÃO SEM RESSALVA</t>
  </si>
  <si>
    <t>O relatório sem ressalva é emitido quando o auditor está convencido sobre todos os aspectos relevantes dos assuntos tratados no item 4 deste Pronunciamento. O relatório do auditor independente deve expressar essa convicção de forma clara e objetiva.</t>
  </si>
  <si>
    <t>O relatório sem ressalva implica afirmação de que, em tendo havido alterações em princípios contábeis ou no método de sua aplicação, o fato e os efeitos dele decorrentes foram adequadamente determinados e revelados nas demonstrações contábeis e/ou nas notas explicativas.</t>
  </si>
  <si>
    <t>O auditor não deve emitir um relatório sem ressalva quando existirem quaisquer das circunstâncias seguintes, que, na sua opinião, tenham efeitos relevantes para as demonstrações contábeis.</t>
  </si>
  <si>
    <t>APROVA COM RESSALVA</t>
  </si>
  <si>
    <t>RELATÓRIO COM OPINIÃO COM RESSALVA</t>
  </si>
  <si>
    <t>O relatório com ressalva é emitido quando o auditor conclui que o efeito de qualquer discordância ou restrição na extensão de um trabalho não é de tal magnitude que requeira relatório adverso ou abstenção de opinião.</t>
  </si>
  <si>
    <t>O relatório com ressalva deve obedecer ao modelo do relatório sem ressalva, com a utilização das expressões "exceto por", "exceto quanto" ou "com exceção de", referindo-se aos efeitos do assunto objeto da ressalva. Não é aceitável nenhuma outra expressão na redação desse tipo de relatório.</t>
  </si>
  <si>
    <t>Não APROVA</t>
  </si>
  <si>
    <t>RELATÓRIO COM OPINIÃO ADVERSO</t>
  </si>
  <si>
    <t>O auditor deve emitir relatório adverso quando verificar que as demonstrações contábeis estão incorretas ou incompletas, em tal magnitude que impossibilite a emissão do relatório com  ressalvas.</t>
  </si>
  <si>
    <t>Assim, relatório adverso é o que exprime a opinião de que as demonstrações contábeis não representam adequadamente a posição patrimonial e financeira, nem o resultado das operações, e/ou as mutações do patrimônio líquido, e/ou as origens e aplicações de recursos de acordo com os Princípios Fundamentais de Contabilidade.</t>
  </si>
  <si>
    <t>O auditor deve, portanto, emitir relatório adverso quando verificar efeitos que, em sua opinião, comprometam em tal magnitude das demonstrações contábeis examinadas a ponto de não ser suficiente a simples ressalva no relatório. Nessas circunstâncias, uma ressalva não é considerada apropriada, uma vez que o auditor possui informações suficientes para declarar que as demonstrações contábeis não estão adequadamente apresentadas.</t>
  </si>
  <si>
    <t>RELATÓRIO COM ABSTENÇÃO DE OPINIÃO</t>
  </si>
  <si>
    <t>O relatório com abstenção de opinião é emitido quando houver uma limitação significativa na extensão de seus exames que impossibilite o auditor expressar opinião sobre as demonstrações contábeis por não ter obtido comprovação suficiente para fundamentá-la.
Abstenção de opinião por limitação da extensão</t>
  </si>
  <si>
    <t>Nos casos de limitações significativas, o auditor deve, no parágrafo da extensão, indicar claramente os procedimentos omitidos e suas circunstâncias ou fazer uma referência a um parágrafo intermediário específico do relatório que descreva tal limitação. Em quaisquer desses casos, em parágrafo final do relatório, o auditor deve mencionar claramente que o exame não foi suficiente para permitir emissão de opinião sobre as demonstrações contábeis tomadas em conjunto. A abstenção de opinião não elimina a responsabilidade do auditor em mencionar, no relatório, qualquer desvio relevante que possa influenciar a decisão do usuário dessas informações.</t>
  </si>
  <si>
    <r>
      <rPr>
        <b/>
        <sz val="8"/>
        <color rgb="FF333333"/>
        <rFont val="Georgia"/>
        <family val="1"/>
      </rPr>
      <t>Análise:</t>
    </r>
    <r>
      <rPr>
        <sz val="8"/>
        <color rgb="FF333333"/>
        <rFont val="Georgia"/>
        <family val="1"/>
      </rPr>
      <t> Quando houver distorção relevante ou não identificação de evidências de que as demonstrações não apresentam distorções relevantes, o auditor deverá modificar sua opinião, entre: opinião com ressalva, adversa ou com abstenção de opinião.</t>
    </r>
  </si>
  <si>
    <t>Nessas ocasiões, deve-se atentar para as seguintes palavras-chave:</t>
  </si>
  <si>
    <r>
      <rPr>
        <b/>
        <sz val="8"/>
        <color rgb="FF333333"/>
        <rFont val="Georgia"/>
        <family val="1"/>
      </rPr>
      <t>RELEVANTE + NÃO GENERALIZADA (com ou sem evidências):</t>
    </r>
    <r>
      <rPr>
        <sz val="8"/>
        <color rgb="FF333333"/>
        <rFont val="Georgia"/>
        <family val="1"/>
      </rPr>
      <t> Opinião com ressalva;</t>
    </r>
  </si>
  <si>
    <r>
      <rPr>
        <b/>
        <sz val="8"/>
        <color rgb="FF333333"/>
        <rFont val="Georgia"/>
        <family val="1"/>
      </rPr>
      <t>RELEVANTE + GENERALIZADA (com evidência):</t>
    </r>
    <r>
      <rPr>
        <sz val="8"/>
        <color rgb="FF333333"/>
        <rFont val="Georgia"/>
        <family val="1"/>
      </rPr>
      <t> Opinião Adversa;</t>
    </r>
  </si>
  <si>
    <r>
      <rPr>
        <b/>
        <sz val="8"/>
        <color rgb="FF333333"/>
        <rFont val="Georgia"/>
        <family val="1"/>
      </rPr>
      <t>RELEVANTE + GENERALIZADA (sem evidência):</t>
    </r>
    <r>
      <rPr>
        <sz val="8"/>
        <color rgb="FF333333"/>
        <rFont val="Georgia"/>
        <family val="1"/>
      </rPr>
      <t> Abstenção de Opinião.</t>
    </r>
  </si>
  <si>
    <t>Tipos de Opinião do Auditor</t>
  </si>
  <si>
    <t>1.      Opinião com ressalva</t>
  </si>
  <si>
    <t>O auditor deve expressar uma “Opinião com ressalva” quando:</t>
  </si>
  <si>
    <r>
      <rPr>
        <sz val="8"/>
        <color rgb="FF333333"/>
        <rFont val="Georgia"/>
        <family val="1"/>
      </rPr>
      <t>ele, tendo obtido evidência de auditoria apropriada e suficiente, conclui que as distorções, individualmente ou em conjunto, são relevantes, mas </t>
    </r>
    <r>
      <rPr>
        <b/>
        <sz val="8"/>
        <color rgb="FF333333"/>
        <rFont val="Georgia"/>
        <family val="1"/>
      </rPr>
      <t>Não Generalizadas</t>
    </r>
    <r>
      <rPr>
        <sz val="8"/>
        <color rgb="FF333333"/>
        <rFont val="Georgia"/>
        <family val="1"/>
      </rPr>
      <t> nas demonstrações contábeis; ou</t>
    </r>
  </si>
  <si>
    <r>
      <rPr>
        <sz val="8"/>
        <color rgb="FF333333"/>
        <rFont val="Georgia"/>
        <family val="1"/>
      </rPr>
      <t>não é possível para ele obter evidência apropriada e suficiente de auditoria para fundamentar sua opinião, mas ele conclui que os possíveis efeitos de distorções não detectadas sobre as demonstrações contábeis, se houver, poderiam ser relevantes, </t>
    </r>
    <r>
      <rPr>
        <b/>
        <sz val="8"/>
        <color rgb="FF333333"/>
        <rFont val="Georgia"/>
        <family val="1"/>
      </rPr>
      <t>MAS NÃO GENERALIZADOS</t>
    </r>
    <r>
      <rPr>
        <sz val="8"/>
        <color rgb="FF333333"/>
        <rFont val="Georgia"/>
        <family val="1"/>
      </rPr>
      <t>.</t>
    </r>
  </si>
  <si>
    <t>2.      Opinião adversa</t>
  </si>
  <si>
    <r>
      <t>O auditor deve expressar uma “Opinião adversa” quando, tendo obtido evidência de auditoria apropriada e suficiente, conclui que as distorções, individualmente ou em conjunto, são </t>
    </r>
    <r>
      <rPr>
        <b/>
        <sz val="8"/>
        <color rgb="FF333333"/>
        <rFont val="Georgia"/>
        <family val="1"/>
      </rPr>
      <t>RELEVANTES E GENERALIZADAS</t>
    </r>
    <r>
      <rPr>
        <sz val="8"/>
        <color rgb="FF333333"/>
        <rFont val="Georgia"/>
        <family val="1"/>
      </rPr>
      <t> para as demonstrações contábeis.</t>
    </r>
  </si>
  <si>
    <t>3.      Abstenção de opinião</t>
  </si>
  <si>
    <r>
      <t xml:space="preserve">O auditor deve se abster de expressar uma opinião quando </t>
    </r>
    <r>
      <rPr>
        <b/>
        <sz val="8"/>
        <color rgb="FF333333"/>
        <rFont val="Georgia"/>
        <family val="1"/>
      </rPr>
      <t xml:space="preserve">não consegue obter evidência de auditoria apropriada e suficiente para fundamentar sua opinião e ele concluir que os possíveis efeitos de distorções não detectadas </t>
    </r>
    <r>
      <rPr>
        <sz val="8"/>
        <color rgb="FF333333"/>
        <rFont val="Georgia"/>
        <family val="1"/>
      </rPr>
      <t>sobre as demonstrações contábeis, se houver, poderiam ser relevantes e generalizados.</t>
    </r>
  </si>
  <si>
    <t>Natureza do assunto que gerou a modificação</t>
  </si>
  <si>
    <t>Julgamento do auditor sobre a disseminação de forma generalizada dos efeitos ou possíveis efeitos sobre as DFs</t>
  </si>
  <si>
    <t>Não Generalizado</t>
  </si>
  <si>
    <t>Generalizado</t>
  </si>
  <si>
    <t>DFs apresentam Distorsões Relevantes</t>
  </si>
  <si>
    <t>Opinião com Ressalva</t>
  </si>
  <si>
    <t>Opinião Adversa</t>
  </si>
  <si>
    <t>Impossibilidade de se Obter Evidência de Auditoria Apropriada e Suficiente</t>
  </si>
  <si>
    <t>Abstenção de Opinião</t>
  </si>
  <si>
    <t>Não Aprova</t>
  </si>
  <si>
    <t>Aprova c/Ressalva</t>
  </si>
  <si>
    <t>Aprova</t>
  </si>
  <si>
    <t>Aprova c/ Ressalva</t>
  </si>
  <si>
    <t>Total de Pontos de baixo Impacto</t>
  </si>
  <si>
    <t>Ponteiro</t>
  </si>
  <si>
    <t>Total de Pontos de alto Impacto</t>
  </si>
  <si>
    <t>0% - 50%</t>
  </si>
  <si>
    <t>Se, pelo menos 75% dos pontos forem de baixo impacto e não houver nenhum ponto de Alto impacto crítico o bastante para reprovar as contas</t>
  </si>
  <si>
    <t>51% - 75%</t>
  </si>
  <si>
    <t>Se a maioria dos pontos forem de Média e Baixo Impacto e houverem pouco s pontos de alto impacto ( pelo menos 75% forem de pontos de médio e baixo impacto e nos pontos de alto impacto não haver nenhum ponto crítico o bastante para reprovar as contas.</t>
  </si>
  <si>
    <t>75% - 90%</t>
  </si>
  <si>
    <t>Se a maioria dos pontos forem de alto Impacto e houverem poucos pontos de baixo e médio impacto ( pelo menos 75% forem de pontos de alto impacto e nos pontos de alto impacto não haver nenhum ponto crítico o bastante para reprovar as contas.</t>
  </si>
  <si>
    <t>Crítico ( 100% )</t>
  </si>
  <si>
    <t>Se houver algum ponto crítico o bastante que a auditoria julgue que seja impactante o suficiente para não permitir a aprovação das contas ou haja limitação de escopo que não permita que a auditoria seja realizada.</t>
  </si>
  <si>
    <t>Ponto</t>
  </si>
  <si>
    <t>Quantidade</t>
  </si>
  <si>
    <t>P01</t>
  </si>
  <si>
    <t>ALTO</t>
  </si>
  <si>
    <t>Alto</t>
  </si>
  <si>
    <t>P02</t>
  </si>
  <si>
    <t>Médio</t>
  </si>
  <si>
    <t>P03</t>
  </si>
  <si>
    <t>Baixo</t>
  </si>
  <si>
    <t>P04</t>
  </si>
  <si>
    <t>P05</t>
  </si>
  <si>
    <t>P06</t>
  </si>
  <si>
    <t>P07</t>
  </si>
  <si>
    <t>MÉDIO</t>
  </si>
  <si>
    <t>P08</t>
  </si>
  <si>
    <t>BAIXO</t>
  </si>
  <si>
    <t>P09</t>
  </si>
  <si>
    <t>P10</t>
  </si>
  <si>
    <t>P11</t>
  </si>
  <si>
    <t>P12</t>
  </si>
  <si>
    <t>P13</t>
  </si>
  <si>
    <t>P14</t>
  </si>
  <si>
    <t>P15</t>
  </si>
  <si>
    <t>P16</t>
  </si>
  <si>
    <t>P17</t>
  </si>
  <si>
    <t>P18</t>
  </si>
  <si>
    <t>P19</t>
  </si>
  <si>
    <t>P20</t>
  </si>
  <si>
    <t>P21</t>
  </si>
  <si>
    <t>P22</t>
  </si>
  <si>
    <t>P23</t>
  </si>
  <si>
    <t>P24</t>
  </si>
  <si>
    <t>P25</t>
  </si>
  <si>
    <t>P26</t>
  </si>
  <si>
    <t>Materialidade</t>
  </si>
  <si>
    <t>RESUMO DE PONTOS</t>
  </si>
  <si>
    <t>PM</t>
  </si>
  <si>
    <t xml:space="preserve">Data base: </t>
  </si>
  <si>
    <t>AMPT</t>
  </si>
  <si>
    <t>ATUALIZAR</t>
  </si>
  <si>
    <t>Avaliação da soma das NFs Identificadas</t>
  </si>
  <si>
    <t>COD</t>
  </si>
  <si>
    <t>Status</t>
  </si>
  <si>
    <t>Perdas/Impacto</t>
  </si>
  <si>
    <t>Código</t>
  </si>
  <si>
    <t>Descrição Resumida</t>
  </si>
  <si>
    <t>Descrição do Ponto</t>
  </si>
  <si>
    <t>Riscos e Implicações</t>
  </si>
  <si>
    <t>Impacto Financeiro</t>
  </si>
  <si>
    <t>Recomendações</t>
  </si>
  <si>
    <t>Tipo de Teste</t>
  </si>
  <si>
    <t>Julgamento Profissional</t>
  </si>
  <si>
    <t>V01</t>
  </si>
  <si>
    <t>[P1]</t>
  </si>
  <si>
    <t xml:space="preserve">Pagamento sem documento fiscal </t>
  </si>
  <si>
    <t>Voucher documental</t>
  </si>
  <si>
    <t>V02</t>
  </si>
  <si>
    <r>
      <rPr>
        <b/>
        <sz val="11"/>
        <color theme="1"/>
        <rFont val="Times New Roman"/>
        <family val="1"/>
      </rPr>
      <t>[P</t>
    </r>
    <r>
      <rPr>
        <b/>
        <sz val="11"/>
        <color rgb="FF000000"/>
        <rFont val="Times New Roman"/>
        <family val="1"/>
      </rPr>
      <t>2]</t>
    </r>
  </si>
  <si>
    <t>Pagamentos realizados sem os respectivos comprovantes de pagamento anexados</t>
  </si>
  <si>
    <t>V03</t>
  </si>
  <si>
    <r>
      <rPr>
        <b/>
        <sz val="11"/>
        <color theme="1"/>
        <rFont val="Times New Roman"/>
        <family val="1"/>
      </rPr>
      <t>[P</t>
    </r>
    <r>
      <rPr>
        <b/>
        <sz val="11"/>
        <color rgb="FF000000"/>
        <rFont val="Times New Roman"/>
        <family val="1"/>
      </rPr>
      <t>3]</t>
    </r>
  </si>
  <si>
    <t>Negligência na gestão dos Documentos que compõe os Demonstrativos</t>
  </si>
  <si>
    <t>V04</t>
  </si>
  <si>
    <r>
      <t>[P4</t>
    </r>
    <r>
      <rPr>
        <b/>
        <sz val="11"/>
        <color rgb="FF000000"/>
        <rFont val="Times New Roman"/>
        <family val="1"/>
      </rPr>
      <t>]</t>
    </r>
  </si>
  <si>
    <t>Conjunto de documentos anexados fora do mês correspondente no Balancete.</t>
  </si>
  <si>
    <t>V05</t>
  </si>
  <si>
    <r>
      <t>[P5</t>
    </r>
    <r>
      <rPr>
        <b/>
        <sz val="11"/>
        <color rgb="FF000000"/>
        <rFont val="Times New Roman"/>
        <family val="1"/>
      </rPr>
      <t>]</t>
    </r>
  </si>
  <si>
    <t>Informações apresentado fora do mês correspondente na demonstração financeira.</t>
  </si>
  <si>
    <t>V07</t>
  </si>
  <si>
    <t>[P6]</t>
  </si>
  <si>
    <t>Diferenças entre: Valor do comprovante de pagamento X Valor da documentação suporte.</t>
  </si>
  <si>
    <t>V08</t>
  </si>
  <si>
    <t>[P7]</t>
  </si>
  <si>
    <t>Pagamentos realizados antes da emissão da nota fiscal.</t>
  </si>
  <si>
    <t>V10</t>
  </si>
  <si>
    <t>[P8]</t>
  </si>
  <si>
    <t>Os balancetes sem aprovação dos conselheiros fiscais e do síndico no termo de aprovação.</t>
  </si>
  <si>
    <t>No período de 03/2021 a 02/2022 não constam as assinaturas do síndico e dos conselheiros fiscais para aprovação dos balancetes. Porém, conforme a Convenção do Subcondomínio Reserva das Plantas na cláusula 4.9.1 - f) "O Síndico de cada Subcondomínio tem as seguintes atribuições [...] rubrica[...] dos livros". Além disso, no item G-4.21-c) "Cada Conselho Fiscal [...] terá as seguintes atribuições: emitir parecer sobre as contas [...] do Síndico do Subcondomínio Residencial [...], conferindo-as, aprovando-as ou rejeitando-as".</t>
  </si>
  <si>
    <t>A falta das assinaturas dos conselheiros fiscais nos termos de aprovação dos balancetes indica que as contas do condomínio não foram submetidas ao exame, podendo acarretar a redução do nível de confiança dos demonstrativos e prejudicar a leitura dos usuários.</t>
  </si>
  <si>
    <t>NA</t>
  </si>
  <si>
    <t>Sugerimos que os conselheiros fiscais realizem o exame dos balancetes e caso ocorra a aprovação dos mesmos, confirmem com as suas assinaturas nos termos de aprovação. Mesmo com as demonstrações financeiras sendo auditadas mensalmente, é necessário a validação do conselho fiscal.</t>
  </si>
  <si>
    <t>Legal</t>
  </si>
  <si>
    <t>Resumo Convenção</t>
  </si>
  <si>
    <t>Alto Impacto</t>
  </si>
  <si>
    <t xml:space="preserve">•	08/11/2022
•	Novo
■	Vorcon Auditoria &amp; Consultoria
</t>
  </si>
  <si>
    <t>Avaliar por julgameto</t>
  </si>
  <si>
    <t>V11</t>
  </si>
  <si>
    <t>[P9]</t>
  </si>
  <si>
    <t>Falta de registro de Ata's em cartório</t>
  </si>
  <si>
    <t>Não identificamos o registro em cartório das Ata's: 16/12/2021, 09/09/2021, 14/10/2021, 27/01/2022, 03/02/2022. Conforme a Convenção do Subcondomínio Reserva das Plantas na cláusula 4.9.1 - f) "O Síndico de cada Subcondomínio tem as seguintes atribuições [...] Providenciar abertura, numeração, rubrica e encerramento dos livros, bem como o registro das atas em Cartório de Registro de Títulos e Documentos".</t>
  </si>
  <si>
    <t>Possível questionamento dos Condominos quanto a validação das Ata's por falta de registo no cartório.</t>
  </si>
  <si>
    <t>Sugerimos que haja registro das Ata's em cartório, conforme convenção.</t>
  </si>
  <si>
    <t>médio impacto</t>
  </si>
  <si>
    <t>V12</t>
  </si>
  <si>
    <t>[P10]</t>
  </si>
  <si>
    <t>Falta relatório de auditoria do período anterior.</t>
  </si>
  <si>
    <t>Conforme a Convenção do Subcondomínio Reserva das Plantas na cláusula 4.9.1 - h) "O Síndico de cada Subcondomínio tem as seguintes atribuições [...] Contratar, anualmente, empresa de auditoria para fiscalizar as contas do Subcondomínio."
Dessa forma, não foi identificado o relatório da auditoria do período que antecedeu a auditoria atual (03/2021 a 02/2022). No entanto, analisamos conforme entendimento com o cliente que o condomínio realizou a auditoria em 2021 e não receberam o relatório.</t>
  </si>
  <si>
    <t xml:space="preserve">A ausência de contratação da auditoria e apresentação do relatório em relação ao período anterior, além de infringir a convenção condomonial, prejudica a transparência na prestação de contas podendo causar danos a situação financeira, econômica, legal e imagem da entidade. </t>
  </si>
  <si>
    <t>Recomendamos que a administração sempre realize auditorias preventivas.</t>
  </si>
  <si>
    <t>Estratégico</t>
  </si>
  <si>
    <t>V13</t>
  </si>
  <si>
    <t>[P11]</t>
  </si>
  <si>
    <t>Falta de Planejamento Orçamentário Anual</t>
  </si>
  <si>
    <t>Conforme a Convenção do Subcondomínio Reserva das Plantas na cláusula 4.36.1 "A assembleia geral ordinária do Condomínio realizar-se-á anualmente [...] outra assembleia geral ordinária do CONDOMÍNIO [Sic], sempre até o final do mês de novembro de cada ano e a ela competirá especificamente fixar o orçamento anual do CONDOMÍNIO para o exercicio social vindouro e a forma de cobrança das respectivas despesas." Dessa forma, não foi identificado o Planejamento Orçamentário para o ano de 2021. Além disso, identificamos nas Atas que o Sr. Marco Ribeiro, demonstrou as prinipais causas do aumento das despesas e informou que o condomíno está lidando com o mesmo planejamento orçamentário há 03 anos e que com a pandemia, todos os produtos e serviços tem sofrido aumentos fora do comum.</t>
  </si>
  <si>
    <t>A falta da elaboração do planejamento orçamentário poderá prejudicar o controle das contas condominiais e a prevenção dos gastos desnecerrários ou demasiados.</t>
  </si>
  <si>
    <t>Recomendamos que o o planejamento orçamentário ocorra dentro do período previsto em convenção.</t>
  </si>
  <si>
    <t>Orçado X Realizado</t>
  </si>
  <si>
    <t>V14</t>
  </si>
  <si>
    <t>[P12]</t>
  </si>
  <si>
    <t>Sistema de medição da água realizado de forma não individualizada</t>
  </si>
  <si>
    <t>Segundo a ATA Reunião de Moradores do dia 09/09/2021 o "Sr. Roque Andrade entrou na tratativa da individualização da água e falou sobre os benefícios que isso traria por conta do consumo desigual entre as unidades [...]". Dessa forma, identificamos que o sistema de medição da água não é realizado de forma  individualizada, infringindo assim, a cláusula 15.1 - e) da Convenção Condominial.</t>
  </si>
  <si>
    <t xml:space="preserve">A infração em relação a item previsto na Convenção Condominial pode gerar questionamentos, reclamações, impactos em relação a sustentabilidade e prejuizos de ordem legal para o condominio. </t>
  </si>
  <si>
    <t>Recomendamos que a administração analise a viabilidade da individualização de medição da água junto aos condominos e profissionais técnicos. Após isso, se for viável planeje a implementação e caso contrário, atualize a convenção para modificar a previsão desse item.</t>
  </si>
  <si>
    <t>V15</t>
  </si>
  <si>
    <t>[P13]</t>
  </si>
  <si>
    <t>Valor apresentado no comprovante de pagamento, mas que não consta no extrato bancário</t>
  </si>
  <si>
    <t>Identificamos comprovante de pagamento do dia 19/10/2021 informando que foi realizado o pagamento no valor de R$ 1000,00 através da Agência: 4306 e Conta: 130035030. No entanto, essas informações não constam no extrato bancário dessa respectiva conta.</t>
  </si>
  <si>
    <t xml:space="preserve">A divergência de informações entre comprovante de pagamento e o extrato bancário pode indicar  erro ou fraude na gestão financeira condominial e impactar nas disponibilidades da entidade. </t>
  </si>
  <si>
    <t>Indicamos que a Administração promova melhorias em seus controles interno tendo como finalidade a apresentação de informações financeiras convergentes com os registros expostos nos extratos bancários.</t>
  </si>
  <si>
    <t>Financeiro</t>
  </si>
  <si>
    <t>Baixo Impacto</t>
  </si>
  <si>
    <t>V16</t>
  </si>
  <si>
    <t>[P14]</t>
  </si>
  <si>
    <t xml:space="preserve">Falta de apresentação de extratos bancários </t>
  </si>
  <si>
    <t>Verificamos que em alguns meses não foram apresentados à auditoria os extratos do Banco Santander, agência: 4306 e contas: 13.003502-3 /  13.003496-7, além das aplicações financeiras.</t>
  </si>
  <si>
    <t>A falta dos extratos bancários prejudica a análise das informações, o entendimento e a validação das entradas e saídas financeiras do condomínio.</t>
  </si>
  <si>
    <t>Visando aumentar a transparência na prestação de contas do condomínio, sugerimos à Administração que envie os extratos bancários emitidos diretamente pelas instituições financeiras para que as análises dessas informações se tornem possíveis.</t>
  </si>
  <si>
    <t>1</t>
  </si>
  <si>
    <t>V17</t>
  </si>
  <si>
    <t>[P15]</t>
  </si>
  <si>
    <t>Saídas nos extratos não validados com a voucher</t>
  </si>
  <si>
    <t>Identificamos no momento do confronto entre os extratos bancários e a Voucher Documental produzida com as informações apresentadas pelo condomínio, a existência de saídas de recursos dos extratos que não constam na Voucher. Diante disso, não ocorre a verificação dos documentos comprobatórios dos respectivos dispêndios realizados pelo condomínio</t>
  </si>
  <si>
    <t>As saídas de recursos dos extratos sem a validação da Voucher Documental poderão prejudicar a transparência e afetar a prestação de contas, dando oportunidade de os valores não serem utilizados para fins que geram benefícios econômicos ao condomínio.</t>
  </si>
  <si>
    <t>Indicamos ao Conselho Fiscal a estruturação de procedimentos de controles internos que garantam destinação adequada dos recursos condominiais sendo apresentados todos os documentos comprobatórios da realização de suas despesas e validados por uma auditoria contínua.</t>
  </si>
  <si>
    <t>V18</t>
  </si>
  <si>
    <t>[P16]</t>
  </si>
  <si>
    <t xml:space="preserve">Apresentação incompleta de extrato bancário </t>
  </si>
  <si>
    <t>Recebemos o extrato do Banco Santander, agência: 4306 e conta: 13.003503-0 referente ao mês 02/2022 de forma incompleta, impossibilitando assim, a conferência de todas as suas informações.</t>
  </si>
  <si>
    <t>A entrega de extrato realizada de forma incompleta impede a análise, o entendimento e a validação das entradas e saídas financeiras, reduzindo assim, a transparência nas prestação de contas do condomínio.</t>
  </si>
  <si>
    <t xml:space="preserve">Recomendamos à Administração que envie os extratos bancários emitidos diretamente pelas instituições financeiras contemplando todas as informações do período solicitado. </t>
  </si>
  <si>
    <t>V19</t>
  </si>
  <si>
    <t>[P17]</t>
  </si>
  <si>
    <t>Diferenças entre os saldos dos Demonstrativos Financeiros de Receitas e Despesas em relação a Demonstração dos Saldos Financeiros.</t>
  </si>
  <si>
    <t>Verificamos os saldos finais dos demonstrativos financeiros de receitas e despesas (DF) e confrontamos com os valores finais dos demonstrativos dos saldos financeiros (DSF), nos quais foram identificadas divergências.</t>
  </si>
  <si>
    <t>A apresentação dos saldos divergentes nos demonstrativos financeiros de receita e despesas, poderá prejudicar a transparência e afetar a prestação de contas comprometendo a interpretação dos usuários das informações financeiras do condomínio.</t>
  </si>
  <si>
    <t>Recomendamos que os demonstrativos dos saldos financeiros assim como os demonstrativo de receita e despesas sejam revisados para reduzir os riscos de divergências.</t>
  </si>
  <si>
    <t>V20</t>
  </si>
  <si>
    <t>[P18]</t>
  </si>
  <si>
    <t>Ausência de apresentação de mapa de cotação</t>
  </si>
  <si>
    <t>Verificamos que algumas compras realizadas não estavam sendo efetuado o mapa de cotação.</t>
  </si>
  <si>
    <t>A falta da cotação mínima de 3 orçamentos poderá prejudicar o condomínio através de aquisições de bens e/ou serviços de baixa qualidade, com fornecedores sem conhecimento ou respaldo técnico e entregas diferente do escopo esperado.</t>
  </si>
  <si>
    <t>Recomendamos a administração que seja realizado mapa de orçamento no mínimo de 3 cotações para as aquisições dos bens ou serviços do condomínio.</t>
  </si>
  <si>
    <t>Operacional</t>
  </si>
  <si>
    <t>V21</t>
  </si>
  <si>
    <t>[P19]</t>
  </si>
  <si>
    <t>Ausência de inventário dos ativos imobilizados</t>
  </si>
  <si>
    <t>Não identificamos o controle patrimonial dos ativos imobilizados para atualização do saldo em decorrência dos bens adquiridos, obsoletos e/ou perdidos para realização da baixa, assim como as depreciações.</t>
  </si>
  <si>
    <t>A ausência do controle patrimonial do condomínio poderá impactar em possíveis perdas ou desvios do ativo imobilizado.</t>
  </si>
  <si>
    <t>Sugerimos que à Administração do condomínio busque realizar o inventário dos ativos imobilizados anualmente.</t>
  </si>
  <si>
    <t>Inspeção estatística dos itens do Imobilizado</t>
  </si>
  <si>
    <t>V22</t>
  </si>
  <si>
    <t>[P20]</t>
  </si>
  <si>
    <t>Inexistência de valor estimado dos honorários advocatícios</t>
  </si>
  <si>
    <t>Não identificamos o valor estimado da expectativa de exito nos casos de processos onde o condomínio esteja como polo ativo ou passivo para período de 03/2021 até 02/2022</t>
  </si>
  <si>
    <t>N/A</t>
  </si>
  <si>
    <t>Teste de Contingência</t>
  </si>
  <si>
    <t>V23</t>
  </si>
  <si>
    <t>[P21]</t>
  </si>
  <si>
    <t xml:space="preserve">Perda Possível de Causa Judicial </t>
  </si>
  <si>
    <t>Identificamos no período de 28 de fevereiro 2022 a perda possível de R$ 406.946,20. Salientamos que a Perda Possível é aquela que o condomínio tem ou não uma obrigação presente legal como resultado de evento passado que haverá uma saída de recursos para liquidar essa obrigação.</t>
  </si>
  <si>
    <t>V24</t>
  </si>
  <si>
    <t>[P22]</t>
  </si>
  <si>
    <t xml:space="preserve">Perda Provável de Causa Judicial </t>
  </si>
  <si>
    <t>Identificamos no período de 28 de fevereiro 2022, uma perda provável de R$ 32.000,00 referente ao processo de FELIPE FERREIRA OLIVEIRA X SUBCONDOMÍNIO RESERVA DAS PLANTAS, tendo como objeto AÇÃO DECLARATÓRIA E INDENIZATÓRIA. Salientamos que a perda provável é quando o condomínio tem uma obrigação presente legal como resultado de evento passado e seja provável que será necessária a saída de recurso para liquidar a obrigação. Nesse sentido, a perda da causa judicial é mais provável que sim do que não.</t>
  </si>
  <si>
    <t>Recomendamos que seja realizado uma Provisão para Perda ....</t>
  </si>
  <si>
    <t>V25</t>
  </si>
  <si>
    <t>[P23]</t>
  </si>
  <si>
    <t xml:space="preserve">Perda Remota de Causa Judicial </t>
  </si>
  <si>
    <t>Identificamos no período de 28 de fevereiro 2022, uma perda Remota de R$ 1.503.630,42. Salientamos que a perda remota é quando o condomínio não tem uma obrigação presente legal como resultado de evento passado e seja remoto que haverá uma saída de recurso para liquidar essa obrigação. Nesse sentido, a perda da causa judicial é menos provável que sim do que não.</t>
  </si>
  <si>
    <t>V26</t>
  </si>
  <si>
    <t>[P24]</t>
  </si>
  <si>
    <t>Ausência de registro do Regimento do condomínio em cartório.</t>
  </si>
  <si>
    <t>Não foi possível validar a data do registro do condomínio no cartório a partir do documento recebido.</t>
  </si>
  <si>
    <t xml:space="preserve">A falta de registro em cartório do Regimento do Condomínio poderá gerar problemas relacionados a validade jurídica da documentação. </t>
  </si>
  <si>
    <t>Sugerimos que o Regimento seja registrado em cartório.</t>
  </si>
  <si>
    <t>Regimento Interno</t>
  </si>
  <si>
    <t>V27</t>
  </si>
  <si>
    <t>[P25]</t>
  </si>
  <si>
    <t>Impossibilidade de identificação da conclusão da Obra do Parquinho e seu pagamento.</t>
  </si>
  <si>
    <t>Analisamos as Atas e os demonstrativos financeiros e identificamos a obra do parquinho pela empresa Danielson Alcantra Contruções e Reformas de 16/11/2021. Porém, não identificamos a ATA com informação de prestação de serviço concluída, como também, não localizamos o pagamento referente a terceira parcela do serviço prestado.</t>
  </si>
  <si>
    <t>Resumo das Atas</t>
  </si>
  <si>
    <t>V28</t>
  </si>
  <si>
    <t>[P26]</t>
  </si>
  <si>
    <t>Falta de questionamentos do Conselho Fiscal nas Assembleias</t>
  </si>
  <si>
    <t>Analisamos 100% das atas de reuniões, Assembleia Geral Extraordinária (AGE), Assembleia Geral Ordinária (AGO), Conselho de Administração, Conselho Fiscal e outras atas de reuniões formalizadas do período de de 01/03/2021 a 28/02/2022 e não identificamos a fala do conselho fiscal. Inclusive, foi mencionado na AGE 28/10/2021 que o Conselho Consultivo foi o único a realizar a seleção para a eleição do síndico duas vezes sem a participação do Conselho Fiscal.</t>
  </si>
  <si>
    <t>V29</t>
  </si>
  <si>
    <t>[P27]</t>
  </si>
  <si>
    <t>Cargo de Síndico Interino e de Conselheiro Fiscal ocupado pelo mesmo condômino</t>
  </si>
  <si>
    <t>Conforme a Convenção do Subcondomínio Reserva das Plantas na item G - 4.21 c) "Cada Conselho Fiscal [...] terá as seguintes atribuições: emitir parecer sobre as contas [...] do Síndico do Subcondomínio Residencial [...], conferindo-as, aprovando-as ou rejeitando-as" e também o segundo o Código Civil no Art. 1.356 "Poderá haver no condomínio um conselho fiscal [...]ao qual compete dar parecer sobre as contas do síndico".
Dessa forma, analisamos 100% das atas e identificamos na AGE de 28/10/2021 que o Sr. Roque da Silva Pereira Andrade do Prédio Vitórioa Régia, 907 ocupa os cargos de Síndico Interino e Conselheiro fiscal ao mesmo tempo.</t>
  </si>
  <si>
    <t>Os dois cargos ocupado pelo condômino Sr. Roque da Silva ao mesmo tempo, pode afetar a independência do Conselho Fiscal em relação aos atos do Síndico Interino, influenciando o julgamento profissional do conselho e permitindo que o mesmo não atue com integridade, objetividade e ceticismo conforme NBC PA 400.</t>
  </si>
  <si>
    <t>Recomendamos que a Administração do Condomínio promova melhorias nos seus controles internos e que não seja permitido que uma mesma pessoa ocupa os cargos de Síndico e Conselheiros simultaneamente.</t>
  </si>
  <si>
    <t>V30</t>
  </si>
  <si>
    <t>[P28]</t>
  </si>
  <si>
    <t>Inexistência da ATA do Conselho Consultivo na Assembleia Geral Extraordinária</t>
  </si>
  <si>
    <t>Conforme a Convenção do Subcondomínio Reserva das Plantas o síndico necessita obrigatoriamente ter a relação de todas as atas bem como o seu registro. Dessa forma, analisamos 100% das atas e identificamos na AGE de 28/10/2021 que conforme o síndico e o Gerente a ATA de Reunião do Conselho Consultivo não existia na Administradora no dia da Assembleia Geral Extraordinária. Assim, a ata não foi apresentada para o Advogado e por essa razão, o processo discutido pelo Conselho consultivo ficou nulo para a Assembleia Geral Extraordinária.</t>
  </si>
  <si>
    <t>V31</t>
  </si>
  <si>
    <t>[P29]</t>
  </si>
  <si>
    <t>Impacto significativo com os inadimplentes</t>
  </si>
  <si>
    <t>Mês 02/2022</t>
  </si>
  <si>
    <t>Teste de Inadimplência</t>
  </si>
  <si>
    <t>Ponto de Controle</t>
  </si>
  <si>
    <t>Título</t>
  </si>
  <si>
    <t>Probabilidade</t>
  </si>
  <si>
    <t>Perdas/</t>
  </si>
  <si>
    <t>Exposição</t>
  </si>
  <si>
    <t>Setor</t>
  </si>
  <si>
    <t>Classificação por Pontuação</t>
  </si>
  <si>
    <t>Impacto</t>
  </si>
  <si>
    <t>BAIXO IMPACTO</t>
  </si>
  <si>
    <t>[P2]</t>
  </si>
  <si>
    <t>[P3]</t>
  </si>
  <si>
    <t>[P4]</t>
  </si>
  <si>
    <t>[P5]</t>
  </si>
  <si>
    <t>Pagamento realizado após data de vencimento com incidência de multa e juros.</t>
  </si>
  <si>
    <t>Emissão de nota de simples remessa após o pagamento do produto.</t>
  </si>
  <si>
    <t>MÉDIO IMPACTO</t>
  </si>
  <si>
    <t>ALTO IMPACTO</t>
  </si>
  <si>
    <t>[P30]</t>
  </si>
  <si>
    <t>[P31]</t>
  </si>
  <si>
    <t>Condomínio Reserva das Plantas</t>
  </si>
  <si>
    <t>BASE DE PONTOS V+</t>
  </si>
  <si>
    <t>V+</t>
  </si>
  <si>
    <t>Descrição</t>
  </si>
  <si>
    <t>Riscos e Impactos</t>
  </si>
  <si>
    <t>Recomendação</t>
  </si>
  <si>
    <t>Julgamento</t>
  </si>
  <si>
    <t>Verificamos que ocorreram gastos sem a respectiva emissão de documento fiscal pelos fornecedores e/ou prestadores de serviços.</t>
  </si>
  <si>
    <t>Pagamentos sem os respectivos documentos fiscais dos fornecedores/prestadores de serviços não são permitidos pela legislação brasileira, assim como Convenção e Regimento Interno do Condomínio. Dessa forma, o mesmo pode ser multado e/ou sofrer outras penalidades impostas pelo fisco.</t>
  </si>
  <si>
    <t>Sugerimos que seja solicitado aos respectivos fornecedores/ prestadores de serviços a nota fiscal pelo fornecimento de material ou de prestação de serviço.</t>
  </si>
  <si>
    <t>6 - 01.1.6 - CRP -  Voucher documental - 01.03.2021 a 28.02.2022</t>
  </si>
  <si>
    <t>Constatamos que alguns pagamentos foram realizados sem que fossem anexados os respectivos comprovantes de pagamentos ou documentos equivalentes dando a respectiva quitação.</t>
  </si>
  <si>
    <t>Possibilidade de pagamento duplicado dos valores, ou caso haja a solicitação dos comprovantes de pagamentos o Condomínio não os possua.</t>
  </si>
  <si>
    <t>Sugerimos que sejam criados controles para que os comprovantes de pagamentos estejam anexados com seus respectivos documentos.</t>
  </si>
  <si>
    <t>Verificamos que alguns comprovantes não estão sendo arquivados com os cuidados necessários, com isso alguns estão ilegíveis.</t>
  </si>
  <si>
    <t>Possível dificuldade e/ou impossibilidade na visualização dos gastos e dúvidas quanto a possíveis consultas no futuro em função do estado dos documentos.</t>
  </si>
  <si>
    <t>Sugerimos aperfeiçoamento dos controles internos para que no momento do recebimento das documentações sejam retiradas as cópias ou ocorram as digitalizações visando preservar as informações.</t>
  </si>
  <si>
    <t>Desorganização da documentação suporte dificultam a análise de todas as partes envolvidas.</t>
  </si>
  <si>
    <t>A ausência de apresentação de forma tempestiva dos documentos financeiros poderá afetar diretamente o fluxo de caixa e o controle do financeiro do condomínio.</t>
  </si>
  <si>
    <t xml:space="preserve">Recomendamos que a prestação de contas seja realizada conforme o período correspondente as despesas.
</t>
  </si>
  <si>
    <t>Verificamos que há desorganização das informações na demonstração financeira que dificultam na análise de todas as partes envolvidas.</t>
  </si>
  <si>
    <t>A falta de apresentação de maneira tempestiva das informações financeiras poderá afetar diretamente o controle financeiro do condomínio e o entendimento dos Demonstrativos.</t>
  </si>
  <si>
    <t>Indicamos que as informações apresentadas nas Demonstrações Financeiras sejam realizadas conforme o período correspondente.</t>
  </si>
  <si>
    <t>V06</t>
  </si>
  <si>
    <t>Identificamos que há diferença entre os valores apresentados não  sendo justificados por parcelamentos ou multas.</t>
  </si>
  <si>
    <t>De - R$ 1.062,75 até R$ 3.750,00</t>
  </si>
  <si>
    <t>Possíveis pagamentos realizados com valores incorretos podendo gerar prejuízos financeiros ao condomínio.</t>
  </si>
  <si>
    <t>Sugerimos que os pagamentos sejam realizados com os valores que constam no documento auxiliar.</t>
  </si>
  <si>
    <t>Verificamos que alguns pagamentos foram realizados após a data de vencimento acarretando em gastos adicionais.</t>
  </si>
  <si>
    <t>Possibilidade do condomínio incorrer em gastos desnecessários</t>
  </si>
  <si>
    <t>Sugerimos que seja elaborado um controle de vencimento das despesas e que sejam efetuados os pagamentos até o vencimento.</t>
  </si>
  <si>
    <t>Verificamos que ocorreram pagamentos onde a emissão da  documentação fiscal é posterior a data em que a transação bancária foi realizada.</t>
  </si>
  <si>
    <t>O pagamento antes da emissão das notas fiscais traz uma vulnerabilidade a respeito do cumprimento das melhores práticas de gestão podendo gerar penalidades tributárias.</t>
  </si>
  <si>
    <t>Recomendamos que seja verificada a emissão da nota fiscal antes da realização do pagamento.</t>
  </si>
  <si>
    <t>V09</t>
  </si>
  <si>
    <t>Identificamos que foi emitida uma nota de simples remessa para produto pago através de outra nota fiscal</t>
  </si>
  <si>
    <t xml:space="preserve">A emissão da nota fiscal de simples remessa após o pagamento do produto realizado através de outra nota poderá indicar falha operacional e causar prejuízos financeiros ao condomínio. </t>
  </si>
  <si>
    <t>Indicamos a Administração que promova melhoria dos controles internos visando mitigar falhas operacionais e possíveis prejuizos financeiros à entidade.</t>
  </si>
  <si>
    <t>9 - 01.1.9 - CRP -  Resumo Convenção  - 01.03.2021 a 28.02.2022</t>
  </si>
  <si>
    <t>5 - 01.1.5 - CRP - Follow Up CCI - 01.03.2021 a 28.02.2022</t>
  </si>
  <si>
    <t>22 - 01.1.22 - CRP -  Orçado X Realizado - 01.03.2021 a 28.02.2022</t>
  </si>
  <si>
    <t>Valor apresentado no comprovante de pagamento mas que não consta no extrato bancário</t>
  </si>
  <si>
    <t>20 - 01.1.20 - CRP - Demonstrativo Financeiro + voucher nos extratos - 01.03.2021 a 28.02.2022</t>
  </si>
  <si>
    <t>21 - 01.1.21 - CRP - Conciliação Bancária + Elaboração dos quadros dos Demonstrativos Financeiros - 01.03.2021 a 28.02.2022</t>
  </si>
  <si>
    <t>38 - 01.1.37 - CRP -  Inspeção estatística dos itens do Imobilizado ( Itens individualmente significantes) - 01.03.2021 a 28.02.2022</t>
  </si>
  <si>
    <t>Inexistência de valor estimado dos honorarios advocatícios</t>
  </si>
  <si>
    <t>Impossíbilidade de identificação da conclusão da Obra do Parquinho e seu pagamento.</t>
  </si>
  <si>
    <t>Inadimplencia</t>
  </si>
  <si>
    <t>BASE DA MATRIZ</t>
  </si>
  <si>
    <t>[P01]</t>
  </si>
  <si>
    <r>
      <rPr>
        <b/>
        <sz val="11"/>
        <color rgb="FF000000"/>
        <rFont val="Times New Roman"/>
        <family val="1"/>
      </rPr>
      <t xml:space="preserve">Não foi estabelecida a confiança nos controles que estão implementados no </t>
    </r>
    <r>
      <rPr>
        <b/>
        <sz val="12"/>
        <color rgb="FF000000"/>
        <rFont val="Times New Roman"/>
        <family val="1"/>
      </rPr>
      <t>Condomínio Le Parc Residential Resort</t>
    </r>
    <r>
      <rPr>
        <b/>
        <sz val="11"/>
        <color rgb="FF000000"/>
        <rFont val="Times New Roman"/>
        <family val="1"/>
      </rPr>
      <t>.</t>
    </r>
  </si>
  <si>
    <t>Operação Administrativa do Condomínio</t>
  </si>
  <si>
    <r>
      <rPr>
        <b/>
        <sz val="11"/>
        <color theme="1"/>
        <rFont val="Times New Roman"/>
        <family val="1"/>
      </rPr>
      <t>[P</t>
    </r>
    <r>
      <rPr>
        <b/>
        <sz val="11"/>
        <color rgb="FF000000"/>
        <rFont val="Times New Roman"/>
        <family val="1"/>
      </rPr>
      <t>02]</t>
    </r>
  </si>
  <si>
    <t>Ausência de manual de normas e procedimentos</t>
  </si>
  <si>
    <t>Manual de normas e procedimentos</t>
  </si>
  <si>
    <r>
      <rPr>
        <b/>
        <sz val="11"/>
        <color theme="1"/>
        <rFont val="Times New Roman"/>
        <family val="1"/>
      </rPr>
      <t>[P0</t>
    </r>
    <r>
      <rPr>
        <b/>
        <sz val="11"/>
        <color rgb="FF000000"/>
        <rFont val="Times New Roman"/>
        <family val="1"/>
      </rPr>
      <t>3]</t>
    </r>
  </si>
  <si>
    <t>Diferenças entre: Favorecido do documento X Beneficiário do pagamento</t>
  </si>
  <si>
    <t>Inspeção Documental - Gastos</t>
  </si>
  <si>
    <r>
      <rPr>
        <b/>
        <sz val="11"/>
        <color theme="1"/>
        <rFont val="Times New Roman"/>
        <family val="1"/>
      </rPr>
      <t>[P0</t>
    </r>
    <r>
      <rPr>
        <b/>
        <sz val="11"/>
        <color rgb="FF000000"/>
        <rFont val="Times New Roman"/>
        <family val="1"/>
      </rPr>
      <t>4]</t>
    </r>
  </si>
  <si>
    <r>
      <rPr>
        <b/>
        <sz val="11"/>
        <color theme="1"/>
        <rFont val="Times New Roman"/>
        <family val="1"/>
      </rPr>
      <t>[P05</t>
    </r>
    <r>
      <rPr>
        <b/>
        <sz val="11"/>
        <color rgb="FF000000"/>
        <rFont val="Times New Roman"/>
        <family val="1"/>
      </rPr>
      <t>]</t>
    </r>
  </si>
  <si>
    <r>
      <rPr>
        <b/>
        <sz val="11"/>
        <color theme="1"/>
        <rFont val="Times New Roman"/>
        <family val="1"/>
      </rPr>
      <t>[P</t>
    </r>
    <r>
      <rPr>
        <b/>
        <sz val="11"/>
        <color rgb="FF000000"/>
        <rFont val="Times New Roman"/>
        <family val="1"/>
      </rPr>
      <t>06]</t>
    </r>
  </si>
  <si>
    <t>Inexistência de rotina de inventário físico do ativo imobilizado.</t>
  </si>
  <si>
    <t>Imobilizado</t>
  </si>
  <si>
    <r>
      <rPr>
        <b/>
        <sz val="11"/>
        <color theme="1"/>
        <rFont val="Times New Roman"/>
        <family val="1"/>
      </rPr>
      <t>[P</t>
    </r>
    <r>
      <rPr>
        <b/>
        <sz val="11"/>
        <color rgb="FF000000"/>
        <rFont val="Times New Roman"/>
        <family val="1"/>
      </rPr>
      <t>07]</t>
    </r>
  </si>
  <si>
    <t>Definição de vida útil do ativo imobilizado</t>
  </si>
  <si>
    <t>Médio Impacto</t>
  </si>
  <si>
    <r>
      <rPr>
        <b/>
        <sz val="11"/>
        <color theme="1"/>
        <rFont val="Times New Roman"/>
        <family val="1"/>
      </rPr>
      <t>[P</t>
    </r>
    <r>
      <rPr>
        <b/>
        <sz val="11"/>
        <color rgb="FF000000"/>
        <rFont val="Times New Roman"/>
        <family val="1"/>
      </rPr>
      <t>08]</t>
    </r>
  </si>
  <si>
    <t>Páginas não numeradas ou numeradas de forma incorreta.</t>
  </si>
  <si>
    <t>Controle Interno</t>
  </si>
  <si>
    <r>
      <rPr>
        <b/>
        <sz val="11"/>
        <color theme="1"/>
        <rFont val="Times New Roman"/>
        <family val="1"/>
      </rPr>
      <t>[P</t>
    </r>
    <r>
      <rPr>
        <b/>
        <sz val="11"/>
        <color rgb="FF000000"/>
        <rFont val="Times New Roman"/>
        <family val="1"/>
      </rPr>
      <t>09]</t>
    </r>
  </si>
  <si>
    <r>
      <rPr>
        <b/>
        <sz val="11"/>
        <color rgb="FF000000"/>
        <rFont val="Times New Roman"/>
        <family val="1"/>
      </rPr>
      <t xml:space="preserve">Registro da Convenção do </t>
    </r>
    <r>
      <rPr>
        <b/>
        <sz val="12"/>
        <color rgb="FF000000"/>
        <rFont val="Times New Roman"/>
        <family val="1"/>
      </rPr>
      <t>Condomínio Le Parc Residential Resort</t>
    </r>
    <r>
      <rPr>
        <b/>
        <sz val="11"/>
        <color rgb="FF000000"/>
        <rFont val="Times New Roman"/>
        <family val="1"/>
      </rPr>
      <t xml:space="preserve"> em cartório.</t>
    </r>
  </si>
  <si>
    <t>Convenção</t>
  </si>
  <si>
    <r>
      <rPr>
        <b/>
        <sz val="11"/>
        <color theme="1"/>
        <rFont val="Times New Roman"/>
        <family val="1"/>
      </rPr>
      <t>[P</t>
    </r>
    <r>
      <rPr>
        <b/>
        <sz val="11"/>
        <color rgb="FF000000"/>
        <rFont val="Times New Roman"/>
        <family val="1"/>
      </rPr>
      <t>10]</t>
    </r>
  </si>
  <si>
    <r>
      <rPr>
        <b/>
        <sz val="11"/>
        <color rgb="FF000000"/>
        <rFont val="Times New Roman"/>
        <family val="1"/>
      </rPr>
      <t xml:space="preserve">Registro do Regimento do </t>
    </r>
    <r>
      <rPr>
        <b/>
        <sz val="12"/>
        <color rgb="FF000000"/>
        <rFont val="Times New Roman"/>
        <family val="1"/>
      </rPr>
      <t>Condomínio Le Parc Residential Resort</t>
    </r>
    <r>
      <rPr>
        <b/>
        <sz val="11"/>
        <color rgb="FF000000"/>
        <rFont val="Times New Roman"/>
        <family val="1"/>
      </rPr>
      <t xml:space="preserve"> em cartório.</t>
    </r>
  </si>
  <si>
    <t>Regimento do Condomínio</t>
  </si>
  <si>
    <r>
      <rPr>
        <b/>
        <sz val="11"/>
        <color theme="1"/>
        <rFont val="Times New Roman"/>
        <family val="1"/>
      </rPr>
      <t>[P</t>
    </r>
    <r>
      <rPr>
        <b/>
        <sz val="11"/>
        <color rgb="FF000000"/>
        <rFont val="Times New Roman"/>
        <family val="1"/>
      </rPr>
      <t>11]</t>
    </r>
  </si>
  <si>
    <t>Não há classificação de expectativa de ganho para algumas causas ativas e de perda para as passivas.</t>
  </si>
  <si>
    <t>Contingências</t>
  </si>
  <si>
    <r>
      <rPr>
        <b/>
        <sz val="11"/>
        <color theme="1"/>
        <rFont val="Times New Roman"/>
        <family val="1"/>
      </rPr>
      <t>[P</t>
    </r>
    <r>
      <rPr>
        <b/>
        <sz val="11"/>
        <color rgb="FF000000"/>
        <rFont val="Times New Roman"/>
        <family val="1"/>
      </rPr>
      <t>12]</t>
    </r>
  </si>
  <si>
    <t>Inexistência de padronização dos relatórios mensais de contingência</t>
  </si>
  <si>
    <r>
      <rPr>
        <b/>
        <sz val="11"/>
        <color theme="1"/>
        <rFont val="Times New Roman"/>
        <family val="1"/>
      </rPr>
      <t>[P</t>
    </r>
    <r>
      <rPr>
        <b/>
        <sz val="11"/>
        <color rgb="FF000000"/>
        <rFont val="Times New Roman"/>
        <family val="1"/>
      </rPr>
      <t>13]</t>
    </r>
  </si>
  <si>
    <t>Relatório de encaminhamento aos órgãos de proteção ao crédito.</t>
  </si>
  <si>
    <t>Leilane ajustar</t>
  </si>
  <si>
    <t>JULGAMENTO PROFISSIONAL</t>
  </si>
  <si>
    <t>Utilizar essa estrutura no Status</t>
  </si>
  <si>
    <t>Estrutura</t>
  </si>
  <si>
    <t>Pagamento sem nota fiscal</t>
  </si>
  <si>
    <t>Verificamos que ocorreram gastos sem a respectiva emissão de nota fiscal pelos fornecedores e prestadores de serviços.</t>
  </si>
  <si>
    <t>Pagamento sem os respectivos Fornecedores/ Prestadores de serviços não é permitido pela legislação brasileira assim como Convenção e Regimento Interno do Condomínio.</t>
  </si>
  <si>
    <t>Sugerimos que seja solicitado aos respectivos Fornecedores/ Prestadores de serviços ou fornecedores a nota fiscal pelo fornecimento de material ou de prestação de serviços.</t>
  </si>
  <si>
    <t>•	31/12/2020
•	Recorrente
■	Vorcon Auditoria &amp; Consultoria
■	22 de abril de 2021</t>
  </si>
  <si>
    <t>•	[Data base do relatório]
•	Ponto Novo ou Recorrente???
■	Empresa que Identificou o Ponto
■	22 de abril de 2021 [Data do relatório]</t>
  </si>
  <si>
    <t>O fornecedor apresentado no comprovante de pagamento não é o mesmo da Nota Fiscal.</t>
  </si>
  <si>
    <t>Pagamento sem as respectivas notas fiscais não é permitido pela legislação brasileira assim como Convenção e Regimento Interno do Condomínio.</t>
  </si>
  <si>
    <t>Sugerimos que seja solicitado aos respectivos prestadores de serviço ou fornecedores a nota fiscal pelo fornecimento de material ou de prestação de serviços.</t>
  </si>
  <si>
    <t>•	31/12/2020
■	Vorcon Auditoria &amp; Consultoria
■	22 de abril de 2021</t>
  </si>
  <si>
    <t>Verificamos que alguns pagamentos foram realizados sem que fossem anexados os respectivos comprovantes de pagamentos ou documentos equivalentes dando a respectiva quitação.</t>
  </si>
  <si>
    <t>Pagamento duplicado dos valores, ou caso haja a solicitação do comprovante de pagamento o Condomínio não os possua.</t>
  </si>
  <si>
    <t>Sugerimos que sejam criados processos para que os comprovantes de pagamentos estejam anexados ao processo de pagamentos.</t>
  </si>
  <si>
    <r>
      <rPr>
        <b/>
        <sz val="11"/>
        <color theme="1"/>
        <rFont val="Times New Roman"/>
        <family val="1"/>
      </rPr>
      <t>[P</t>
    </r>
    <r>
      <rPr>
        <b/>
        <sz val="11"/>
        <color rgb="FF000000"/>
        <rFont val="Times New Roman"/>
        <family val="1"/>
      </rPr>
      <t>4]</t>
    </r>
  </si>
  <si>
    <t>Pagamento de impostos sem identificação do prestador de serviços</t>
  </si>
  <si>
    <t>Não identificamos documentação suporte que indique a origem dos impostos e os respectivos prestadores de serviço.</t>
  </si>
  <si>
    <t>Possíveis pagamentos duplicado dos valores, ou caso haja a solicitação do comprovante de pagamento o Condomínio não os possua</t>
  </si>
  <si>
    <t>Sugerimos que sejam criados processos para que todos os documentos estejam anexados ao processo de prestação de contas no demonstrativo financeiros.</t>
  </si>
  <si>
    <t>Inspeção Documental - Receitas</t>
  </si>
  <si>
    <r>
      <rPr>
        <b/>
        <sz val="11"/>
        <color theme="1"/>
        <rFont val="Times New Roman"/>
        <family val="1"/>
      </rPr>
      <t>[P</t>
    </r>
    <r>
      <rPr>
        <b/>
        <sz val="11"/>
        <color rgb="FF000000"/>
        <rFont val="Times New Roman"/>
        <family val="1"/>
      </rPr>
      <t>5]</t>
    </r>
  </si>
  <si>
    <t>Conjunto de documentos sem apresentação de mapa de orçamentos.</t>
  </si>
  <si>
    <t>Verificamos que muitas das compras realizadas não estavam anexados os mapas de orçamento.</t>
  </si>
  <si>
    <t>Agindo dessa forma, não estão em conformidade com as normas do estatuto vigente do condomínio.</t>
  </si>
  <si>
    <t>Seja realizada a conferência na pré-compra, se estão observando as normas do mapa do orçamento</t>
  </si>
  <si>
    <r>
      <rPr>
        <b/>
        <sz val="11"/>
        <color theme="1"/>
        <rFont val="Times New Roman"/>
        <family val="1"/>
      </rPr>
      <t>[P</t>
    </r>
    <r>
      <rPr>
        <b/>
        <sz val="11"/>
        <color rgb="FF000000"/>
        <rFont val="Times New Roman"/>
        <family val="1"/>
      </rPr>
      <t>6]</t>
    </r>
  </si>
  <si>
    <t>Inexistência de tempestividade na prestação de contas do fundo fixo</t>
  </si>
  <si>
    <t>Verificamos que o fundo fixo do Condomínio, por diversas vezes, possui valores retirados onde existe a prestação de contas nos meses não referentes.</t>
  </si>
  <si>
    <t>Não sendo apresentadas tempestivamentes as apresentações das contas do fundo fixo, afetará diretamente o fluxo de caixa e o controle do fundo fixo do condomínio.</t>
  </si>
  <si>
    <t>Seja elaborada uma periodicidade fixa para apresentação das contas do fundo fixo, e que seja realizado as prestações dos períodos correspondentes as despesas.</t>
  </si>
  <si>
    <r>
      <rPr>
        <b/>
        <sz val="11"/>
        <color theme="1"/>
        <rFont val="Times New Roman"/>
        <family val="1"/>
      </rPr>
      <t>[P</t>
    </r>
    <r>
      <rPr>
        <b/>
        <sz val="11"/>
        <color rgb="FF000000"/>
        <rFont val="Times New Roman"/>
        <family val="1"/>
      </rPr>
      <t>7]</t>
    </r>
  </si>
  <si>
    <t>Inconsistência na apresentação da atividade da empresa</t>
  </si>
  <si>
    <t>O serviço/produto adquirido não condiz com a atividade econômica apresentada no CNPJ da empresa.</t>
  </si>
  <si>
    <t>Afeta diretamente nos cálculos de retenções de impostos do condomínio, se a empresa prestadora de serviço siga a legislação que não à apresentada.</t>
  </si>
  <si>
    <t>Criação de um passo a passo na empresa contratada na intenção de verificar a sua atividade perante a forma de tributação.</t>
  </si>
  <si>
    <t>Regimento</t>
  </si>
  <si>
    <r>
      <rPr>
        <b/>
        <sz val="11"/>
        <color theme="1"/>
        <rFont val="Times New Roman"/>
        <family val="1"/>
      </rPr>
      <t>[P</t>
    </r>
    <r>
      <rPr>
        <b/>
        <sz val="11"/>
        <color rgb="FF000000"/>
        <rFont val="Times New Roman"/>
        <family val="1"/>
      </rPr>
      <t>8]</t>
    </r>
  </si>
  <si>
    <t>Dificuldade na visualização dos gastos e impossibilidade e dúvidas quanto a possíveis consultas no futuro em função do estado dos documentos.</t>
  </si>
  <si>
    <t>Sugerimos que sejam criados processos para que os comprovantes sejam de responsabilidade de quem incorre no gasto sendo de responsabilidade do financeiro tirar cópia dos comprovantes ou digitaliza-los assim que os receber.</t>
  </si>
  <si>
    <t>02.1.2 STC - Voucher documental</t>
  </si>
  <si>
    <r>
      <rPr>
        <b/>
        <sz val="11"/>
        <color theme="1"/>
        <rFont val="Times New Roman"/>
        <family val="1"/>
      </rPr>
      <t>[P</t>
    </r>
    <r>
      <rPr>
        <b/>
        <sz val="11"/>
        <color rgb="FF000000"/>
        <rFont val="Times New Roman"/>
        <family val="1"/>
      </rPr>
      <t>9]</t>
    </r>
  </si>
  <si>
    <t>Conjunto de documentos sem composição clara do valor pago</t>
  </si>
  <si>
    <t>Verificamos que existe apresentação de despesa sem os respectivos comprovantes de pagamentos.</t>
  </si>
  <si>
    <t>Pagamento sem os respectivos comprovante de pagamento não é permitido pela Convenção e Regimento Interno do Condomínio.</t>
  </si>
  <si>
    <t xml:space="preserve">Criação de um passo a passo para verificação nos comprovantes de pagamentos das despesas do condomínios. </t>
  </si>
  <si>
    <r>
      <rPr>
        <b/>
        <sz val="11"/>
        <color theme="1"/>
        <rFont val="Times New Roman"/>
        <family val="1"/>
      </rPr>
      <t>[P1</t>
    </r>
    <r>
      <rPr>
        <b/>
        <sz val="11"/>
        <color rgb="FF000000"/>
        <rFont val="Times New Roman"/>
        <family val="1"/>
      </rPr>
      <t>0]</t>
    </r>
  </si>
  <si>
    <t>Páginas não numeradas ou numeradas de forma incorreta</t>
  </si>
  <si>
    <t>Verificamos que algumas páginas do Demonstrativo Financeiro não estão sendo numeradas ou não seguem uma ordem sequencial.</t>
  </si>
  <si>
    <t>Falhas na padronização implica em perda de eficiência na conferência das prestações de contas.</t>
  </si>
  <si>
    <t>Sugerimos que seja criada rotina de revisão da padronização dos Demonstrativos Financeiros mensais, pois isso mitigará possivéis falhas.</t>
  </si>
  <si>
    <r>
      <rPr>
        <b/>
        <sz val="11"/>
        <color theme="1"/>
        <rFont val="Times New Roman"/>
        <family val="1"/>
      </rPr>
      <t>[P1</t>
    </r>
    <r>
      <rPr>
        <b/>
        <sz val="11"/>
        <color rgb="FF000000"/>
        <rFont val="Times New Roman"/>
        <family val="1"/>
      </rPr>
      <t>1]</t>
    </r>
  </si>
  <si>
    <t>Pagamento de tarifa bancária.</t>
  </si>
  <si>
    <t>Verificamos que ocorreram pagamento de fornecedores e prestadores de serviços por meio de transferência bancária.</t>
  </si>
  <si>
    <t>Pagamento de encargos financeiros que deveriam ser de responsabilidade dos Fornecedores/Prestadores de serviços.</t>
  </si>
  <si>
    <t>Sugerimos que seja solicitado boleto para pagamento de todos os Fornecedores/Prestadores de serviços e em caso de negativa o valor dos encargos financeiros deve ser subtraído do pagamento.</t>
  </si>
  <si>
    <r>
      <rPr>
        <b/>
        <sz val="11"/>
        <color theme="1"/>
        <rFont val="Times New Roman"/>
        <family val="1"/>
      </rPr>
      <t>[P1</t>
    </r>
    <r>
      <rPr>
        <b/>
        <sz val="11"/>
        <color rgb="FF000000"/>
        <rFont val="Times New Roman"/>
        <family val="1"/>
      </rPr>
      <t>2]</t>
    </r>
  </si>
  <si>
    <t>Conjunto de documentos anexados fora do mês correspondente.</t>
  </si>
  <si>
    <t>Desorganização da documentação suporte dificultam a análise de todas as
partes envolvidas.</t>
  </si>
  <si>
    <t>Não sendo apresentadas tempestivamentes as apresentações das contas, afetará diretamente o fluxo de caixa e o controle do financeiro do condomínio.</t>
  </si>
  <si>
    <t>Seja elaborada uma periodicidade fixa para apresentação das despesas, e que seja realizado as prestações dos períodos correspondentes as despesas.</t>
  </si>
  <si>
    <r>
      <rPr>
        <b/>
        <sz val="11"/>
        <color theme="1"/>
        <rFont val="Times New Roman"/>
        <family val="1"/>
      </rPr>
      <t>[P1</t>
    </r>
    <r>
      <rPr>
        <b/>
        <sz val="11"/>
        <color rgb="FF000000"/>
        <rFont val="Times New Roman"/>
        <family val="1"/>
      </rPr>
      <t>3]</t>
    </r>
  </si>
  <si>
    <t>Conjunto de documentos anexados no balancete sem o mesmo constarem nos demonstrativos financeiros mensais de gastos.</t>
  </si>
  <si>
    <t>Ausência de transparência na prestação de contas e aumento do risco de pagamentos indevidos.</t>
  </si>
  <si>
    <t>A apresentação no balancetes sem os respectivos comprovantes do demonstrativos financeiros não é permitido pela legislação brasileira e pela Convenção e Regimento Interno do Condomínio.</t>
  </si>
  <si>
    <t>Seja elaborada uma periodicidade fixa para apresentação dos respectivos comprovantes nos balancetes e que seja realizado as prestações dos períodos correspondentes as despesas.</t>
  </si>
  <si>
    <r>
      <rPr>
        <b/>
        <sz val="11"/>
        <color theme="1"/>
        <rFont val="Times New Roman"/>
        <family val="1"/>
      </rPr>
      <t>[P</t>
    </r>
    <r>
      <rPr>
        <b/>
        <sz val="11"/>
        <color rgb="FF000000"/>
        <rFont val="Times New Roman"/>
        <family val="1"/>
      </rPr>
      <t>14]</t>
    </r>
  </si>
  <si>
    <t>•	Recorrente.
•	Vorcon Auditoria &amp; Consultoria.
•	Identificado inicialmente no Diagnóstico dos Procedimentos Manual de Contratação e Anticorrupção – Contratos (Diagnóstico), do Condomínio Le Parc Residential Resort do 3º ITR de 2019, datado em 17 de janeiro de 2020.</t>
  </si>
  <si>
    <r>
      <rPr>
        <b/>
        <sz val="11"/>
        <color theme="1"/>
        <rFont val="Times New Roman"/>
        <family val="1"/>
      </rPr>
      <t>[P</t>
    </r>
    <r>
      <rPr>
        <b/>
        <sz val="11"/>
        <color rgb="FF000000"/>
        <rFont val="Times New Roman"/>
        <family val="1"/>
      </rPr>
      <t>15]</t>
    </r>
  </si>
  <si>
    <t>Verificamos que há diferença entre os valores apresentados,não justificada por parcelamento ou multa.</t>
  </si>
  <si>
    <t>Pagamentos realizados com valores incorretos.</t>
  </si>
  <si>
    <t>•	Recorrente.
•	Vorcon Auditoria &amp; Consultoria.
•	Identificado inicialmente no Diagnóstico dos Procedimentos: Contratação de Fornecedores e Prestadores de Serviços, do Condomínio Le Parc Residential Resort de 2019.
•	19 de agosto de 2020.</t>
  </si>
  <si>
    <r>
      <rPr>
        <b/>
        <sz val="11"/>
        <color theme="1"/>
        <rFont val="Times New Roman"/>
        <family val="1"/>
      </rPr>
      <t>[P</t>
    </r>
    <r>
      <rPr>
        <b/>
        <sz val="11"/>
        <color rgb="FF000000"/>
        <rFont val="Times New Roman"/>
        <family val="1"/>
      </rPr>
      <t>16]</t>
    </r>
  </si>
  <si>
    <t>Pagamento realizado em duplicidade.</t>
  </si>
  <si>
    <t>Verificamos a existência de saidas no extrato duplicadas e pagamentos de despesas já encerradas.</t>
  </si>
  <si>
    <t>Gastos desnecessários acarretando a um défict orçamentário e prejudicando ao fluxo de caixa do condomínio</t>
  </si>
  <si>
    <t>•	Novo
•	31/12/2020
•	Vorcon Auditoria &amp; Consultoria.</t>
  </si>
  <si>
    <t>Valor do realizado difere dos balancetes</t>
  </si>
  <si>
    <t>Realizamos a comparação entre os valores de pagamentos que constam da planilha de planejamento orçamentário e os valores no balancetes, e verificamos que  alguns dos valores divergem.</t>
  </si>
  <si>
    <t>Impede a visualização do real valor  gastos pelo condomínio.</t>
  </si>
  <si>
    <t xml:space="preserve">Atentar para os valores gastos sejam lançados corretamente no planejamento orçamentário. </t>
  </si>
  <si>
    <t>02.1.3 STC - Voucher documental + voucher nos extratos</t>
  </si>
  <si>
    <t>•	31/12/2020
•	Novo
■	Vorcon Auditoria &amp; Consultoria
■	22 de abril de 2021</t>
  </si>
  <si>
    <t>Orçamento ultrapassado</t>
  </si>
  <si>
    <t>O valor orçado foi ultrapassado pelas despesas do período.</t>
  </si>
  <si>
    <t>Possibilidade de gerar uma quantidade de despesas, as quais o condomínio não está apto a pagar</t>
  </si>
  <si>
    <t>Atentar para os valores orçados e gastos permitidos</t>
  </si>
  <si>
    <t>Estrutura e Formalização das Atas encontram-se incorretas</t>
  </si>
  <si>
    <t>Identificamos que grande parte das atas estão formalizadas apenas por email, sem possuir um documento próprio, além disso, apresentam falhas em sua estutruta como ausência de horário e local.</t>
  </si>
  <si>
    <t>Possível questionamento dos Condôminos e/ou Terceiros.</t>
  </si>
  <si>
    <t>Sugerimos que a Administração adote a formalização das reuniões, e siga uma estrutura mais completa.</t>
  </si>
  <si>
    <t>02.1.7 STC - Resumo Atas</t>
  </si>
  <si>
    <t>Atas com ausência de assinatura</t>
  </si>
  <si>
    <t>Não há evidência de assinatura nas atas</t>
  </si>
  <si>
    <t>Incerteza quanto ao resultado dos procedimentos realizados para estas atas.</t>
  </si>
  <si>
    <t>Sugerimos que todas as atas sejam assinadas conforme requerindo em convenção e regimento interno do condomínio.</t>
  </si>
  <si>
    <t>02.1.8 STC - Analise do resumo de atas e verificação das despesas aprovadas</t>
  </si>
  <si>
    <t>Atas sem resumo</t>
  </si>
  <si>
    <t>Foi apresentada pelo condomíno, na resposta de carta de Atas, uma ata ocorrida no dia 21/08/2020 contudo no documento encaminhado referente a essa data mostra apenas a intenção do condomínio em realizar uma reúnião, não ficando claro se de fato ocorreu, resumo do foi tratado, quem estaria presente, bem como dia e local.</t>
  </si>
  <si>
    <t>Incerteza quanto os temas abordados, bem como as possiveis aprovações do conselho.</t>
  </si>
  <si>
    <t>Salentamos a importancia da elaboração de Atas para toda e qualquer reunião que seja realizada  e Sugerimos que um atenção maior ao realizar o arquivamento do documentos, para que venham completos e em bom estado.</t>
  </si>
  <si>
    <t>Acesso as Atas do condomínio</t>
  </si>
  <si>
    <t>Verificamos que o Condomínio possui um site, contudo não disponibiliza as atas nele.</t>
  </si>
  <si>
    <t>Incerteza quanto ao fácil acesso das informações do Condomínio aos  condôminos.</t>
  </si>
  <si>
    <t>Sugerimos que o Condomínio contate a sua equipe de TI e verifique a possibilidade de inserir as Atas no site do Condomínio.</t>
  </si>
  <si>
    <t>02.1.6 STC - Carta de Representação de Atas</t>
  </si>
  <si>
    <t>Relevancia de serviços prestados/fornecidos.</t>
  </si>
  <si>
    <t>Como parte dos procedimentos de auditoria o Time de Auditoria solicitou a Administração do Condomínio Le Parc Residential Resort uma carta de representação contemplando os fornecedores e prestadores de serviços mais relevantes para o Condomínio, contudo nessa carta não constavam os fornecedores e prestadores de serviços com alta incidencia em sua rotina.</t>
  </si>
  <si>
    <t>A Administração deve possuir uma definição clara e coesa dos prestadores de serviços e fornecedores relevantes para o Condomínio, pois a partir dessa informação possíveis falhas podem ser mitigadas a partir da relevância.</t>
  </si>
  <si>
    <t>Recomendamos que sejam tomadas as medidas necessárias para a atualização do manual de contratação de fornecedores e prestadores de serviços. O manual deve conter passos claros e objetivos antecedendo todas as fases do processo.</t>
  </si>
  <si>
    <t>02.2.10 STC - Walkthrough de Contratos</t>
  </si>
  <si>
    <t>Indisponibilidade de contratos e aditivos</t>
  </si>
  <si>
    <t>Como parte dos procedimentos de auditoria o Time de Auditoria solicitou a Administração do Condomínio Thome de Souza o aditivo de alguns contratos que foram firmados, contudo até emissão deste Diagnóstico eles não haviam sido disponibilizados.</t>
  </si>
  <si>
    <t>Ausência de informações relevantes para entendimento dos respectivos contratos.</t>
  </si>
  <si>
    <t>Recomendamos que sejam tomadas as medidas necessárias para que haja uma gestão melhor dos documentos de forma que os documentos estejam de fácil acesso e que todos os arquivos necessários façam parte do processo.</t>
  </si>
  <si>
    <t>Fornecedores citados na resposta de circulação indevidamente</t>
  </si>
  <si>
    <t>Em resposta na carta de circularização foram citados os seguintes fornecedores: Grupo Contínua  - 07.536.483/0001-92, Ecowash  - 11.877.873/0001-01, Elemidia  - 03.616.039/0001-26, Izar Park - 18.021.222/0001-56, Posto Mataripe - 13.578.265/0001-13, LA Construções - 20.726.309/0001-70, Softdados - 17.869.823/0001-50, Grupo Solução - 23.105.423/0001-71 e Coopcicla  - 01.397.759/0001-12, contudo não houveram pagamentos no período em que a auditoria está sendo realizada, informação confirmada posteriormente pela Administração.</t>
  </si>
  <si>
    <t>Dificuldade quanto ao rastreamentos dos contratos e incerteza quanto a informação apresentada.</t>
  </si>
  <si>
    <t>Recomendamos que sejam tomadas as medidas necessárias para que haja um padrão sobre apresentação das informações do contrato e sejam apresentadas conforme solicitado.</t>
  </si>
  <si>
    <t>02.2.9 STC - Validação da carta de representação de contratos</t>
  </si>
  <si>
    <t>Não há controle de recolhimento do FGTS das empresas terceirizadas</t>
  </si>
  <si>
    <t>Não nos foi encaminhado um controle de recolhimento a respeito do recolhimento do FGTS dos funcionários que trabalham de forma terceirizada no condomínio. Esse controle é necessário tendo em vista que o condomínio é subsidiariamente responsável pelos recolhimentos tributários e trabalhistas assim como legisla a Súmula 331, IV, do TST</t>
  </si>
  <si>
    <t>Recolhimento do FGTS sobre os funcinonarios contratados de forma terceirizados.</t>
  </si>
  <si>
    <t>Recomendamos ter um controle de recolhimentos dos funcionários contratados de forma terceirizado.</t>
  </si>
  <si>
    <t>02.3.3 STC - Recalculo individual de Colaboradores (Validar quantidade com o gestor do projeto)</t>
  </si>
  <si>
    <t>Inexistência de atualização dos Relatórios Jurídicos</t>
  </si>
  <si>
    <t>Solicitamos a Administração os relatórios jurídicos para o período do trabalho realizado, contudo após a relaização dos testes verificamos que os relatórios disponibilizados apesar de serem de meses diferentes não possuem diferença. Dessa forma há dúvidas se os mesmos estão sendo atualizados ou não.</t>
  </si>
  <si>
    <t>Possível risco de informações desatualizadas que podem gerar saídas de caixa não programadas para o Condomínio.</t>
  </si>
  <si>
    <t>Sugerimso que os relatórios sejam atualizados mensalmente com a expectativa real do valores e ações. Conforme atualização dos processos.</t>
  </si>
  <si>
    <t>Inexistência de expectativa de Ganho e Perda para os Relatórios Jurídicos.</t>
  </si>
  <si>
    <t>Os relatórios jurídicos apresentados pela Administração não possuem a expectativa de perda ou ganho dos mesmos, conforme prática usual dos assesores jurídicos.</t>
  </si>
  <si>
    <t>A inêxistência da classificação quanto a possiveis perdas faz com que a Adiministração não possa planejar possiveis saídas de caixas futuras, e além disso tal prática não contempla as melhores práticas de mercado.</t>
  </si>
  <si>
    <t>Sugiro que a Administração solicite aos seus Assessores jurídicos que mensalmente os relatórios sejam classificados tanto para perda ou para ganho como:
 Remota: Prognóstico de perda deve ser menos do que 25%
 Possível: Prognóstico de perda desde que o risco não seja remoto
 Provável: Prognóstico de perda deve ser mais do que 50%</t>
  </si>
  <si>
    <t>02.3.6 STC - Validação da Carta de Representação de Assessores Jurídicos</t>
  </si>
  <si>
    <t>[P32]</t>
  </si>
  <si>
    <t>Inexistência de politica de acompanhamento das principais certidões.</t>
  </si>
  <si>
    <t>A Administração não possui como rotina o acompanhamento das principais certidões: Municipal; Estaduas; Federal e; Serviço de proteção de Crédito.</t>
  </si>
  <si>
    <t>A inexistência do acompanhamento de forma preventiva das certidões pode vir a gerar desembolsados não esperados assim como possíveis bloqueios que podem vir a afetar a rotina do Condomínio.</t>
  </si>
  <si>
    <t>Sugerimos que a Administração avalie adicionar em sua rotina, pelo menos trimestral, a emissão dessas certidões como forma de mitigar possíveis problemas.</t>
  </si>
  <si>
    <t>02.3.4 STC - Certidões</t>
  </si>
  <si>
    <t>[P33]</t>
  </si>
  <si>
    <t>Limitação de escopo</t>
  </si>
  <si>
    <t xml:space="preserve">A administração não possui acompanhamento para a rotina de cobrança feita aos condominos inadimplentes </t>
  </si>
  <si>
    <t>A não entrega de documentos ou evidencias solicitadas impedem que processos possam ser avaliados no decorrer da auditoria</t>
  </si>
  <si>
    <t xml:space="preserve">Se faz necessário que a administração do condominio possua uma rotina ou sistema de cobrança de inadimplentes </t>
  </si>
  <si>
    <t>02.2.5 STC - Walkthrough de Receita</t>
  </si>
  <si>
    <t>Ponto V+</t>
  </si>
  <si>
    <t>Pontos</t>
  </si>
  <si>
    <t>Ponto de forma resumida</t>
  </si>
  <si>
    <t>Descrição do ponto:</t>
  </si>
  <si>
    <t>Total</t>
  </si>
  <si>
    <t>Frequência</t>
  </si>
  <si>
    <t>Peso</t>
  </si>
  <si>
    <t>Frequente</t>
  </si>
  <si>
    <t/>
  </si>
  <si>
    <t>Eventual</t>
  </si>
  <si>
    <t>Ausência de apresentação de mapa de orçamentos</t>
  </si>
  <si>
    <t>Raríssimo</t>
  </si>
  <si>
    <t>Informações na Demonstração Financeira sem o mesmo constarem nos Balancetes mensais de gastos.</t>
  </si>
  <si>
    <t>Verificamos que ocorreram pagamentos com documentação fiscal com emissão posterior a data em que a transação bancária foi realizada.</t>
  </si>
  <si>
    <t>Raro</t>
  </si>
  <si>
    <t>TESTES</t>
  </si>
  <si>
    <t>Legenda</t>
  </si>
  <si>
    <t>02.1.1 - CRA -  Follow Up CCI</t>
  </si>
  <si>
    <t>Feito</t>
  </si>
  <si>
    <t>02.1.2 - CRA - Confirmação de Independência</t>
  </si>
  <si>
    <t>02.1.3 - CRA - Cálculo da Materialidade</t>
  </si>
  <si>
    <t>s</t>
  </si>
  <si>
    <t>Dúvida</t>
  </si>
  <si>
    <t>02.1.4 - CRA - Planejamento dos testes e das contas Significativas conforme MATERIALIDADE</t>
  </si>
  <si>
    <t>Ponto de escopo</t>
  </si>
  <si>
    <t>02.1.5 - CRA -  Voucher documental</t>
  </si>
  <si>
    <t>02.1.6 - CRA -  Voucher documental + voucher nos extratos</t>
  </si>
  <si>
    <t>02.1.7 - CRA -  Teste de voucher (inspeção das guias e confronto dos saldos demonstrativos)</t>
  </si>
  <si>
    <t xml:space="preserve">02.1.8 - CRA -  Consolidação dos saldos </t>
  </si>
  <si>
    <t>02.1.9 - CRA -  Resumo Regimento</t>
  </si>
  <si>
    <t xml:space="preserve">02.1.10 - CRA -  Resumo Convenção </t>
  </si>
  <si>
    <t>02.1.11 - CRA -  Carta de Representação de Atas</t>
  </si>
  <si>
    <t>02.1.12 - CRA -  Resumo Atas</t>
  </si>
  <si>
    <t>02.1.13 - CRA -  Analise do resumo de atas e verificação das despesas aprovadas</t>
  </si>
  <si>
    <t>02.1.14 - CRA -  Seguros</t>
  </si>
  <si>
    <t>02.1.15 - CRA -  Orçado X Realizado</t>
  </si>
  <si>
    <t>02.1.16 - CRA -  Revisão analitica de demonstrativos</t>
  </si>
  <si>
    <t>02.1.17 - CRA -  Procedimentos de revisão analitica e entendimento junto ao condominio</t>
  </si>
  <si>
    <t>02.1.18 - CRA -  Quando aplicavel procedimentos de revisao analitica</t>
  </si>
  <si>
    <t>02.1.19 - CRA -  Revisão da Base + Demonstrativos Financeiros</t>
  </si>
  <si>
    <t>02.1.20 - CRA -  Elaboração dos quadros e testes 100% demonstrativos financeiro X saldos bancarios</t>
  </si>
  <si>
    <t>02.2.1 - CRA -  Carta de Representação de Instituições Financeiras</t>
  </si>
  <si>
    <t>02.2.2 - CRA -  Validação da Carta de Representação de Instituições Financeiras</t>
  </si>
  <si>
    <t>02.2.3 - CRA - Emitir Cartas de Circularização aos Bancos</t>
  </si>
  <si>
    <t>02.2.4 - CRA -  Resumo do Manual Operacional de Receitas</t>
  </si>
  <si>
    <t>02.2.5 - CRA -  Seleção de amostragem e validação da receita</t>
  </si>
  <si>
    <t>02.2.6 - CRA -  Walkthrough de Receita</t>
  </si>
  <si>
    <t>02.2.7 - CRA -  Validação de Inadimplentes</t>
  </si>
  <si>
    <t>02.2.8 - CRA -  TOD + TOE de Receita</t>
  </si>
  <si>
    <t>02.2.9 - CRA -  Carta de Representação de Prestadores de Serviços (Detalhar os principais)</t>
  </si>
  <si>
    <t>02.2.10 - CRA -  Resumo do Manual de Contratação</t>
  </si>
  <si>
    <t>02.2.11 - CRA -  Validação da carta de representação de contratos</t>
  </si>
  <si>
    <t>02.2.12 - CRA -  Walkthrough de Contratos</t>
  </si>
  <si>
    <t>02.2.13 - CRA -  TOD + TOE de Contratos</t>
  </si>
  <si>
    <t>02.2.14 - CRA -  Resumo do Manual de Obrigações Trabalhistas</t>
  </si>
  <si>
    <t>02.2.15 - CRA -  Walkthrough de cobrança de encargos</t>
  </si>
  <si>
    <t>02.2.16 - CRA -  TOD + TOE de cobrança de encargos</t>
  </si>
  <si>
    <t xml:space="preserve">02.2.17 - CRA -  Teste do pagamento no extrato com base na folha + Recalculo individual de Colaboradores </t>
  </si>
  <si>
    <t>02.2.18 - CRA -  Incluir no teste de folha uma analise indireta dos impostos sobre a remuneração do sindico</t>
  </si>
  <si>
    <t>02.2.19 - CRA -  Indagação e obtençao de evidencias da entrega das obrigações acessorias</t>
  </si>
  <si>
    <t>02.2.20 - CRA -  Inspeção estatística dos itens do Imobilizado ( Itens individualmente significantes)</t>
  </si>
  <si>
    <t>02.2.21 - CRA -  Checklist de Prestadores de Serviços</t>
  </si>
  <si>
    <t>02.3.1 - CRA -  Recalculo individual de Colaboradores (10% da base total de colaboradores)</t>
  </si>
  <si>
    <t>02.3.2 - CRA -  Certidões</t>
  </si>
  <si>
    <t>02.3.3 - CRA -  Carta de Representação de Assessores Jurídicos</t>
  </si>
  <si>
    <t>02.3.4 - CRA -  Validação da Carta de Representação de Assessores Jurídicos</t>
  </si>
  <si>
    <t xml:space="preserve">02.3.5 - CRA -  Teste de Contingências + Circularização de assessor jurídico </t>
  </si>
  <si>
    <t>02.3.6 - CRA -  Procedimentos de Circularização</t>
  </si>
  <si>
    <t>02.3.7 - CRA -  Voucher + assertivas de direitos e obrigações + analise de aprovação</t>
  </si>
  <si>
    <t xml:space="preserve">02.3.8 - CRA - Procedimentos de revisão analitica e entendimento junto ao condominio </t>
  </si>
  <si>
    <t>02.3.9 - CRA - Quando aplicavel fazer o entendimento e teste da destinação dos fundos</t>
  </si>
  <si>
    <t>02.4.1 - CRA -  Constituição e operação do Condomínio</t>
  </si>
  <si>
    <t>02.4.2 - CRA -  Consolidação de pontos (baseado no novo modelo com matriz de risco.)</t>
  </si>
  <si>
    <t>02.4.3 - CRA -  Minuta da Auditoria NBC TA 800</t>
  </si>
  <si>
    <t>02.4.4 - CRA -  Minuta da Apresentação da Auditoria NBC TA 800</t>
  </si>
  <si>
    <t>02.4.5 - CRA -  Carta de Representação da Administração</t>
  </si>
  <si>
    <t>02.4.6 - CRA -  Relatório Final da Auditoria NBC TA 800</t>
  </si>
  <si>
    <t>02.4.7 - CRA -  Relatório Final da Apresentação da Auditoria NBC TA 800</t>
  </si>
  <si>
    <t xml:space="preserve">02.4.8 - CRA -  Relatório Final da Auditoria </t>
  </si>
  <si>
    <t xml:space="preserve">02.4.9 - CRA -  Relatório Final da Apresentação da Auditoria </t>
  </si>
  <si>
    <t>Item</t>
  </si>
  <si>
    <t>Explicação se é um ponto novo ou recorrente e quem identificou o ponto e/ou quando.</t>
  </si>
  <si>
    <r>
      <rPr>
        <b/>
        <sz val="12"/>
        <color rgb="FFC00000"/>
        <rFont val="Times New Roman"/>
        <family val="1"/>
      </rPr>
      <t xml:space="preserve">[PX] </t>
    </r>
    <r>
      <rPr>
        <sz val="12"/>
        <color rgb="FF000000"/>
        <rFont val="Times New Roman"/>
        <family val="1"/>
      </rPr>
      <t>Representa a numeração sequencial do Ponto de Controle;</t>
    </r>
    <r>
      <rPr>
        <b/>
        <sz val="12"/>
        <color rgb="FFC00000"/>
        <rFont val="Times New Roman"/>
        <family val="1"/>
      </rPr>
      <t xml:space="preserve"> </t>
    </r>
  </si>
  <si>
    <t>Explicação sintética e ideia central do Ponto de Controle;</t>
  </si>
  <si>
    <t>Cada Ponto de Controle é enquadrado em um tipo que implicará em um peso para o cálculo da exposição a risco;</t>
  </si>
  <si>
    <t>Frequência associada ao procedimento levantado no Ponto de Controle;</t>
  </si>
  <si>
    <t>Mensuração do impacto causado em cada ocasião de acontecimento do Ponto de Controle;</t>
  </si>
  <si>
    <t>Exposição = (PesoTipo*Probabilidade*Impacto);</t>
  </si>
  <si>
    <t>A área da Empresa a qual o Ponto de Controle implica;</t>
  </si>
  <si>
    <t>Detalhamento conceitual do Ponto de Contole;</t>
  </si>
  <si>
    <t>Consequências da não resolução do Ponto de Controle; usada também como base de mensuração para o Impacto;</t>
  </si>
  <si>
    <t>Recomendações gerais da Auditoria/Consultoria para solução do Ponto de Controle.</t>
  </si>
  <si>
    <t>Comentários da Administração</t>
  </si>
  <si>
    <t>Resposta da Administração sobre o ponto identificado e sobre as ações de melhoria sugeridas e; eventualmente; esclarecimento das prioridades recomendadas.</t>
  </si>
  <si>
    <t>Ações a serem Implementadas pela Administração</t>
  </si>
  <si>
    <r>
      <rPr>
        <sz val="11"/>
        <color rgb="FF000000"/>
        <rFont val="Calibri"/>
        <family val="2"/>
      </rPr>
      <t xml:space="preserve">Ações definidas pela Administração do </t>
    </r>
    <r>
      <rPr>
        <b/>
        <sz val="11"/>
        <color rgb="FF000000"/>
        <rFont val="Calibri"/>
        <family val="2"/>
      </rPr>
      <t>Condomínio Le Parc Residential Resort</t>
    </r>
    <r>
      <rPr>
        <sz val="11"/>
        <color rgb="FF000000"/>
        <rFont val="Calibri"/>
        <family val="2"/>
      </rPr>
      <t xml:space="preserve"> para resolução do ponto identificado.</t>
    </r>
  </si>
  <si>
    <t>Data Limite para Resolução do Ponto Identificado</t>
  </si>
  <si>
    <r>
      <rPr>
        <sz val="11"/>
        <color rgb="FF000000"/>
        <rFont val="Calibri"/>
        <family val="2"/>
      </rPr>
      <t xml:space="preserve">Prazo estipulado pela Administração do </t>
    </r>
    <r>
      <rPr>
        <b/>
        <sz val="11"/>
        <color rgb="FF000000"/>
        <rFont val="Calibri"/>
        <family val="2"/>
      </rPr>
      <t>Condomínio Le Parc Residential Resort</t>
    </r>
    <r>
      <rPr>
        <sz val="11"/>
        <color rgb="FF000000"/>
        <rFont val="Calibri"/>
        <family val="2"/>
      </rPr>
      <t xml:space="preserve"> para que o ponto identificado deixe de existir.</t>
    </r>
  </si>
  <si>
    <t>Critérios e Classificações dos Pontos de Controle</t>
  </si>
  <si>
    <t>Tipos de Pontos de Controle</t>
  </si>
  <si>
    <t>Inerentes às ações de longo prazo que visam a perpetuidade e transparência das operações;</t>
  </si>
  <si>
    <t>Quando se tem risco de impacto financerio e/ou contingências financeiras evidentes;</t>
  </si>
  <si>
    <t>Riscos quanto a procedimentos executados no dia a dia para a prestação dos serviços;</t>
  </si>
  <si>
    <t>Relativos a riscos e impactos jurídicos;</t>
  </si>
  <si>
    <t>Tecnologia</t>
  </si>
  <si>
    <t>Relativos a integração de sistema e LGPD;</t>
  </si>
  <si>
    <t>Imagem</t>
  </si>
  <si>
    <t>Referente a riscos de provável perda de credibilidade e desgaste da instituição.</t>
  </si>
  <si>
    <t>%</t>
  </si>
  <si>
    <t>Probabilidade dos Pontos de Controle</t>
  </si>
  <si>
    <t>Frequencia</t>
  </si>
  <si>
    <t>Muito frequente</t>
  </si>
  <si>
    <t>Frequencia de pontos incidentes em mais de 30% dos itens analisados</t>
  </si>
  <si>
    <t>Frequencia de pontos incidentes entre 20% e 30% analisados</t>
  </si>
  <si>
    <t>Frequencia de pontos incidentes entre 10% e 20% analisados</t>
  </si>
  <si>
    <t>Frequencia de pontos incidentes entre 5% e 10% analisados</t>
  </si>
  <si>
    <t>Frequencia de pontos incidentes menor de 5%</t>
  </si>
  <si>
    <t>WP – Work Papers (Papéis de Trabalho)</t>
  </si>
  <si>
    <t>Impacto dos Pontos de Controle</t>
  </si>
  <si>
    <t>Impacto Faturamento</t>
  </si>
  <si>
    <t>Mensuração</t>
  </si>
  <si>
    <t>Perdas graves</t>
  </si>
  <si>
    <t>- Impactos financeiros diretos superiores a M ( Materiality);</t>
  </si>
  <si>
    <t>- Riscos quanto a perpetuidade da operação;</t>
  </si>
  <si>
    <t>- Riscos críticos operacionais ligados à prestação do serviço;</t>
  </si>
  <si>
    <t>- Risco de morte/invalidez/doenças.</t>
  </si>
  <si>
    <t>Perdas grandes</t>
  </si>
  <si>
    <t>- Impactos financeiros diretos do PM até a M;</t>
  </si>
  <si>
    <t>- Necessidade de contingências de 5;00% ou mais do faturamento;</t>
  </si>
  <si>
    <t>- Riscos operacionais ligados à prestação do serviço;</t>
  </si>
  <si>
    <t>- Riscos críticos gerenciais;</t>
  </si>
  <si>
    <t>- Riscos críticos de imagem;</t>
  </si>
  <si>
    <t>- Riscos críticos de clima organizacional.</t>
  </si>
  <si>
    <t>Perdas médias</t>
  </si>
  <si>
    <t>- Impactos financeiros diretos de até 75% do PM até o PM;</t>
  </si>
  <si>
    <t>- Necessidade de contingências de 1;00% a 4;99% do faturamento;</t>
  </si>
  <si>
    <t>- Riscos leves operacionais ligados à prestação do serviço;</t>
  </si>
  <si>
    <t>- Riscos gerenciais.</t>
  </si>
  <si>
    <t>- Riscos de clima organizacional</t>
  </si>
  <si>
    <t>- Riscos de imagem.</t>
  </si>
  <si>
    <t>Perdas moderadas</t>
  </si>
  <si>
    <t>- Impactos financeiros diretos de entre o nosso AMPT e 75% do PM</t>
  </si>
  <si>
    <t>- Riscos leves gerenciais;</t>
  </si>
  <si>
    <t>- Riscos leves de imagem;</t>
  </si>
  <si>
    <t>- Riscos leves de clima organizacional</t>
  </si>
  <si>
    <t>Perdas pequenas</t>
  </si>
  <si>
    <t>- Impactos financeiros diretos de até o nosso AMPT;</t>
  </si>
  <si>
    <t>- Falhas técnicas e/ou humanas em procedimentos que não irão impactar diretamente a qualidade dos dados.</t>
  </si>
  <si>
    <r>
      <rPr>
        <b/>
        <sz val="16"/>
        <color rgb="FF002060"/>
        <rFont val="Times New Roman"/>
        <family val="1"/>
      </rPr>
      <t>3 – Pontos</t>
    </r>
    <r>
      <rPr>
        <sz val="8"/>
        <color rgb="FF002060"/>
        <rFont val="Calibri"/>
        <family val="2"/>
      </rPr>
      <t>  </t>
    </r>
    <r>
      <rPr>
        <b/>
        <sz val="16"/>
        <color rgb="FF002060"/>
        <rFont val="Times New Roman"/>
        <family val="1"/>
      </rPr>
      <t xml:space="preserve"> de Controle</t>
    </r>
  </si>
  <si>
    <t>PRIORIDADE</t>
  </si>
  <si>
    <t>Sumário de Pontos</t>
  </si>
  <si>
    <t>Fórmula</t>
  </si>
  <si>
    <t>Avaliar/Fórmula</t>
  </si>
  <si>
    <t xml:space="preserve">Avaliação </t>
  </si>
  <si>
    <t>Link</t>
  </si>
  <si>
    <t>Perdas/
Impacto</t>
  </si>
  <si>
    <t>Valor</t>
  </si>
  <si>
    <t>Classificação Por Julgamento</t>
  </si>
  <si>
    <t>Matriz de Exposição ao Risco</t>
  </si>
  <si>
    <t>Porcentagem</t>
  </si>
  <si>
    <t>Pontos de Controle</t>
  </si>
  <si>
    <r>
      <rPr>
        <sz val="11"/>
        <color theme="1"/>
        <rFont val="Calibri"/>
        <family val="2"/>
      </rPr>
      <t xml:space="preserve">&lt;&lt;&lt;&lt;&lt;&lt; </t>
    </r>
    <r>
      <rPr>
        <b/>
        <sz val="11"/>
        <color theme="1"/>
        <rFont val="Calibri"/>
        <family val="2"/>
      </rPr>
      <t>Automático</t>
    </r>
    <r>
      <rPr>
        <sz val="11"/>
        <color theme="1"/>
        <rFont val="Calibri"/>
        <family val="2"/>
      </rPr>
      <t xml:space="preserve"> conforme Metodologia e baseado no grau de exposição</t>
    </r>
  </si>
  <si>
    <r>
      <rPr>
        <sz val="11"/>
        <color theme="1"/>
        <rFont val="Calibri"/>
        <family val="2"/>
      </rPr>
      <t xml:space="preserve">&lt;&lt;&lt;&lt;&lt;&lt; </t>
    </r>
    <r>
      <rPr>
        <b/>
        <sz val="11"/>
        <color theme="1"/>
        <rFont val="Calibri"/>
        <family val="2"/>
      </rPr>
      <t>Automático</t>
    </r>
    <r>
      <rPr>
        <sz val="11"/>
        <color theme="1"/>
        <rFont val="Calibri"/>
        <family val="2"/>
      </rPr>
      <t xml:space="preserve"> - Valores de 1 a 5 conforme metodologia</t>
    </r>
  </si>
  <si>
    <t>&lt;&lt;&lt;&lt;&lt;&lt; Valores de 1 a 5 conforme metodologia</t>
  </si>
  <si>
    <t>&lt;&lt;&lt;&lt;&lt;&lt; Calculado</t>
  </si>
  <si>
    <t>Testes/Áreas</t>
  </si>
  <si>
    <r>
      <rPr>
        <sz val="11"/>
        <color theme="1"/>
        <rFont val="Calibri"/>
        <family val="2"/>
      </rPr>
      <t xml:space="preserve">&lt;&lt;&lt;&lt;&lt;&lt; </t>
    </r>
    <r>
      <rPr>
        <b/>
        <sz val="11"/>
        <color theme="1"/>
        <rFont val="Calibri"/>
        <family val="2"/>
      </rPr>
      <t>Automático</t>
    </r>
    <r>
      <rPr>
        <sz val="11"/>
        <color theme="1"/>
        <rFont val="Calibri"/>
        <family val="2"/>
      </rPr>
      <t xml:space="preserve"> - conforme Matriz de Risco</t>
    </r>
  </si>
  <si>
    <r>
      <rPr>
        <sz val="11"/>
        <color theme="1"/>
        <rFont val="Times New Roman"/>
        <family val="1"/>
      </rPr>
      <t xml:space="preserve">Resposta da </t>
    </r>
    <r>
      <rPr>
        <b/>
        <sz val="11"/>
        <color theme="1"/>
        <rFont val="Times New Roman"/>
        <family val="1"/>
      </rPr>
      <t>Administração</t>
    </r>
    <r>
      <rPr>
        <sz val="11"/>
        <color theme="1"/>
        <rFont val="Times New Roman"/>
        <family val="1"/>
      </rPr>
      <t xml:space="preserve"> sobre o ponto identificado e sobre as ações de melhoria sugeridas e, eventualmente, esclarecimento das prioridades recomendadas.
</t>
    </r>
  </si>
  <si>
    <r>
      <rPr>
        <sz val="11"/>
        <color rgb="FF000000"/>
        <rFont val="Times New Roman"/>
        <family val="1"/>
      </rPr>
      <t xml:space="preserve">Ações definidas pela </t>
    </r>
    <r>
      <rPr>
        <b/>
        <sz val="11"/>
        <color rgb="FF000000"/>
        <rFont val="Times New Roman"/>
        <family val="1"/>
      </rPr>
      <t>Administração</t>
    </r>
    <r>
      <rPr>
        <sz val="11"/>
        <color rgb="FF000000"/>
        <rFont val="Calibri"/>
        <family val="2"/>
      </rPr>
      <t xml:space="preserve"> para resolução do ponto identificado.</t>
    </r>
  </si>
  <si>
    <r>
      <rPr>
        <sz val="11"/>
        <color theme="1"/>
        <rFont val="Times New Roman"/>
        <family val="1"/>
      </rPr>
      <t xml:space="preserve">Prazo estipulado pela </t>
    </r>
    <r>
      <rPr>
        <b/>
        <sz val="11"/>
        <color theme="1"/>
        <rFont val="Times New Roman"/>
        <family val="1"/>
      </rPr>
      <t>Administração</t>
    </r>
    <r>
      <rPr>
        <sz val="11"/>
        <color rgb="FF000000"/>
        <rFont val="Calibri"/>
        <family val="2"/>
      </rPr>
      <t xml:space="preserve"> para que o ponto identificado deixe de existir.</t>
    </r>
  </si>
  <si>
    <t>&lt;&lt;&lt;&lt;&lt;&lt; Lista Suspensa (Selecionar)</t>
  </si>
  <si>
    <t>Possibilidade de pagamento duplicado dos valores, ou caso haja a solicitação do comprovante de pagamento o Condomínio não os possua.</t>
  </si>
  <si>
    <t>Sugerimos que sejam criados controles para que os comprovantes de pagamentos estejam anexados ao processo de pagamentos.</t>
  </si>
  <si>
    <t>[P34]</t>
  </si>
  <si>
    <t>[P35]</t>
  </si>
  <si>
    <t>[P36]</t>
  </si>
  <si>
    <t>[P37]</t>
  </si>
  <si>
    <t>[P38]</t>
  </si>
  <si>
    <t>Área</t>
  </si>
  <si>
    <t>Assertivas Testadas</t>
  </si>
  <si>
    <t>Objetivos de Auditoria</t>
  </si>
  <si>
    <t>Exemplos de Testes Substantivos de Auditoria para Alcançar os Ojbetivos de Auditoria</t>
  </si>
  <si>
    <t xml:space="preserve">Existência
D&amp;O
</t>
  </si>
  <si>
    <t>*Circularização de fornecedores
*Análise de contas</t>
  </si>
  <si>
    <t>Integridade</t>
  </si>
  <si>
    <r>
      <rPr>
        <sz val="11"/>
        <color theme="1"/>
        <rFont val="Calibri"/>
        <family val="2"/>
      </rPr>
      <t>*Circularização de fornecedores
*Análise de contas
*Testes de corte (</t>
    </r>
    <r>
      <rPr>
        <i/>
        <sz val="11"/>
        <color theme="1"/>
        <rFont val="Calibri"/>
        <family val="2"/>
      </rPr>
      <t>Cut-Off) de compras
*</t>
    </r>
    <r>
      <rPr>
        <sz val="11"/>
        <color theme="1"/>
        <rFont val="Calibri"/>
        <family val="2"/>
      </rPr>
      <t>Testes de desembolsos subsequente</t>
    </r>
  </si>
  <si>
    <t>Apresentação e Divulgação</t>
  </si>
  <si>
    <t xml:space="preserve">*Revisão das Demonstrações Financeiras e comparação das divulgações feitas com os requisitos dos princípios de contabilidade
</t>
  </si>
  <si>
    <t>*Procedimentos analíticos
*Análise se contas</t>
  </si>
  <si>
    <t>Integridade
Valorização</t>
  </si>
  <si>
    <t>*Procedimentos analíticos
*Análise se contas
*Recálculos e testes de exatidão aritmética
*Testes de desembolsos subsequentes.</t>
  </si>
  <si>
    <t>*Confirmação de importências devidas
* Análise de Contas</t>
  </si>
  <si>
    <t>Existência e Integridade</t>
  </si>
  <si>
    <t>*Revisão de cláusulas contratuais ou acordos
*Confirmação de cláusulas contratuais ou acordos.</t>
  </si>
  <si>
    <t>*Revisão das Demonstrações Financeiras e comparação das divulgações feitas com os requisitos dos princípios de contabilidade
*Confirmação de cláusulas contratuais ou outros acordos.
*Revisão para determinar o cumprimento das obrigações contratuais.</t>
  </si>
  <si>
    <t xml:space="preserve">Existência
D&amp;O
Valorização
</t>
  </si>
  <si>
    <t>*Procedimentos Analíticos
*Teste de comparação do passivo(ou ativo) registrado com uma estimativa da provável obrigação(ou crédito)
*Análises das contas</t>
  </si>
  <si>
    <t>*Teste de comparação do passivo(ou ativo) registrado com uma estimativa da provável obrigação(ou crédito)
*Recálculo e teste para determinar exatidão aritmética.</t>
  </si>
  <si>
    <t>Ocorrência
Valorização</t>
  </si>
  <si>
    <t>*Teste preditivo da taxa efetiva de imposto
*Teste preditivo dos passivos corrente e diferido
*Procedimentos analíticos
*Análises de contas</t>
  </si>
  <si>
    <t>*Teste preditivo do IR diferido Acumulado</t>
  </si>
  <si>
    <t>*Revisão das Demonstrações Financeiras e comparação das divulgações feitas com os requisitos dos princípios de contabilidade
*Procedimentos Analíticos</t>
  </si>
  <si>
    <t xml:space="preserve">Existência
D&amp;O
Integridade
</t>
  </si>
  <si>
    <t>*Confirmação do Capital Social com Atas da Assembéia Geral dos Acionistas, registro de acionistas e agente fiduciário, se for o caso.
*Confirmação do prêmio (ágio) de subscrição com Atas da Assembléia Geral dos Acionistas
*Análises de Contas</t>
  </si>
  <si>
    <t>Existência
D&amp;O</t>
  </si>
  <si>
    <t>*Confirmação das Ações Emitidas com os registros de controle da sociedade ou com o agente fiduciário, se for o caso.
*Análises de contas
*Revisão quanto ao atendimento às disposições legais</t>
  </si>
  <si>
    <t>*Conrimação das Ações emitidas com o agente fiduciário, se for o caso
*Exame dos registros de acionistas
*Leitura de Atas de Assembléia geral dos Acionistas
*Confirmação dos Dividendos pagos com a instituição bancária autorizada ou com os registros da sociedade
*Procedimentos analíticos
*Análises de contas</t>
  </si>
  <si>
    <t>Exemplos de Testes Substantivos de Auditoria para Alcançar os Objetivos de Auditoria</t>
  </si>
  <si>
    <t>Fornecedores</t>
  </si>
  <si>
    <t>1.Verificar se todas as aquisições foram contabilizadas</t>
  </si>
  <si>
    <t>*Obter relações de fornecedores, notas fiscais e duplicatas, em seu grupo</t>
  </si>
  <si>
    <t>2.Verificar se as obrigações foram reconhecidas mediante a passagem de propriedade do bem, ou seja, em seu recebimento.</t>
  </si>
  <si>
    <t>*Obter conformiação de saldo dos fornecedores por meio de circularizações</t>
  </si>
  <si>
    <t>3.Verificar se todas as dívidas com fornecedores foram registradas em sua integridade.</t>
  </si>
  <si>
    <t>*Verificar se o valor da Notas Fiscal confere com o valor do Pedido</t>
  </si>
  <si>
    <t>4. Verificar as contas do razão e comparar com a data do reconhecimento da obrigação.</t>
  </si>
  <si>
    <t>-</t>
  </si>
  <si>
    <t>Imposto de Renda</t>
  </si>
  <si>
    <t>1. Verificar se a despesa com o IR foi contabilizada no exercício social em que a empresa gerou lucro.</t>
  </si>
  <si>
    <t>*Preparar um Papel de Trabalho com o Saldo do Imposto de Renda no início do período e no fim do período e comparar o saldo com os papéis de trabalho do ano anterior.</t>
  </si>
  <si>
    <t>2. Verificar se o percentual de destinação do IR para fins fiscais está de acordo com a legislação vigente.</t>
  </si>
  <si>
    <t>*Conferir os saldos do razão geral com as demonstrações financeiras</t>
  </si>
  <si>
    <t>Outros impostos</t>
  </si>
  <si>
    <t>1. Verificar se outros impostos: ICMS, IPI, impostos que não são acumulativos, assim foram calculados, ou seja, se a empresa tenha apegas pago sobre razão; a diferença entre o preço de custo de aquisição da matéria-prima e o preço de venda.</t>
  </si>
  <si>
    <t>*Analisar a composição dos saldos das contas
*Conferir a análise com o saldo do razão
*Confrontar os valores a pagar com os livros fiscais</t>
  </si>
  <si>
    <t>Salários a Pagar</t>
  </si>
  <si>
    <t>1. Verificar se no grupo salários a pagar estão registrados apenas os rendimentos líquidos a pagar aos empregados.</t>
  </si>
  <si>
    <t>*Analisar os saldos das Contas
*Conferir a análise dos saldos das contas com o razão geral da contabilidade</t>
  </si>
  <si>
    <t>Descontos e Encargos</t>
  </si>
  <si>
    <t>1. Verificar se no grupo Descontos estão registradas as quantias que são deduzidas dos rendimentos brutos dos funcionários.
2. Verificar se no grupo Encargos Sociais foram contabilizadas todas as obrigações trabalhistas que incidam sobre os rendimentos dos funcionários como INSS, FGTS e Imposto de Renda.
3. Verificar se os descontos e encargos foram registrados no mês em que o funcionário trabalhou.</t>
  </si>
  <si>
    <t>*Confrontar os valores das folhas de registro dos empregados</t>
  </si>
  <si>
    <t>Outras Obrigações</t>
  </si>
  <si>
    <t>1.Verificar se as outras contas registradas no passivo circulante realmente devem estar ali registradas e não em outro grupo, e não como Passivo Não Circulante.</t>
  </si>
  <si>
    <t>*Verificar a exatidão dos saldos do razão e confrontar com a análise que deve ser feita nessas contas</t>
  </si>
  <si>
    <t>Provisões</t>
  </si>
  <si>
    <t>1. Verificar se as provisões foram feitas de acordo com a legislação vigente.</t>
  </si>
  <si>
    <t>*Conferir o cálculo para construir cada provisão</t>
  </si>
  <si>
    <t>1. Verificar se as provisões foram debitadas quando da liquidação da dívida e, por conseguinte, se se deve fechá-las.</t>
  </si>
  <si>
    <t>*Conferir a natureza destas
*Cruzar os saldos do razão com a apuração do resultado do exercício
*Inspecionara documentação com os pagamentos efetuados</t>
  </si>
  <si>
    <t>Ativo Intangível</t>
  </si>
  <si>
    <t>Fase/Natureza do Gasto</t>
  </si>
  <si>
    <t>Tratamento Contábil</t>
  </si>
  <si>
    <t>Planejamento</t>
  </si>
  <si>
    <r>
      <rPr>
        <sz val="11"/>
        <color theme="1"/>
        <rFont val="Calibri"/>
        <family val="2"/>
      </rPr>
      <t xml:space="preserve">*Realização dos estudos de viabilidade
*Definição de especificações de </t>
    </r>
    <r>
      <rPr>
        <i/>
        <sz val="11"/>
        <color theme="1"/>
        <rFont val="Calibri"/>
        <family val="2"/>
      </rPr>
      <t xml:space="preserve">hardware </t>
    </r>
    <r>
      <rPr>
        <sz val="11"/>
        <color theme="1"/>
        <rFont val="Calibri"/>
        <family val="2"/>
      </rPr>
      <t xml:space="preserve">e de </t>
    </r>
    <r>
      <rPr>
        <i/>
        <sz val="11"/>
        <color theme="1"/>
        <rFont val="Calibri"/>
        <family val="2"/>
      </rPr>
      <t>software</t>
    </r>
    <r>
      <rPr>
        <sz val="11"/>
        <color theme="1"/>
        <rFont val="Calibri"/>
        <family val="2"/>
      </rPr>
      <t xml:space="preserve">
* Avaliação de produtos e fornecedores alternativos
*Seleção de preferências</t>
    </r>
  </si>
  <si>
    <t xml:space="preserve">*Reconhecer como despesa quando incorrido de acordo com o item 54 da NBV TG 04.
</t>
  </si>
  <si>
    <t>Desenvolvimento de aplicações e da infraestrutura</t>
  </si>
  <si>
    <r>
      <rPr>
        <sz val="11"/>
        <color theme="1"/>
        <rFont val="Calibri"/>
        <family val="2"/>
      </rPr>
      <t xml:space="preserve">*Compra ou desenvolvimento de </t>
    </r>
    <r>
      <rPr>
        <i/>
        <sz val="11"/>
        <color theme="1"/>
        <rFont val="Calibri"/>
        <family val="2"/>
      </rPr>
      <t>hardware</t>
    </r>
  </si>
  <si>
    <t xml:space="preserve">*Aplicar o requerimento da NBC TG 27 - Ativo Imobilizado
</t>
  </si>
  <si>
    <t>*Obtenção de um nome de domínio</t>
  </si>
  <si>
    <r>
      <rPr>
        <sz val="11"/>
        <color theme="1"/>
        <rFont val="Calibri"/>
        <family val="2"/>
      </rPr>
      <t xml:space="preserve">*Reconhecer como despesa quando incorrido, a menos que o dispêndio possa ser diretamente atribuído à preparação de </t>
    </r>
    <r>
      <rPr>
        <i/>
        <sz val="11"/>
        <color theme="1"/>
        <rFont val="Calibri"/>
        <family val="2"/>
      </rPr>
      <t xml:space="preserve">website
</t>
    </r>
    <r>
      <rPr>
        <sz val="11"/>
        <color theme="1"/>
        <rFont val="Calibri"/>
        <family val="2"/>
      </rPr>
      <t xml:space="preserve">par funcionar da forma pretendida pela administração, e que o </t>
    </r>
    <r>
      <rPr>
        <i/>
        <sz val="11"/>
        <color theme="1"/>
        <rFont val="Calibri"/>
        <family val="2"/>
      </rPr>
      <t xml:space="preserve">website </t>
    </r>
    <r>
      <rPr>
        <sz val="11"/>
        <color theme="1"/>
        <rFont val="Calibri"/>
        <family val="2"/>
      </rPr>
      <t>satisfaça os critérios de reconhecimento dos itens 21 e 57 da NBC TG 04*.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</si>
</sst>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quot;R$&quot;\ #,##0.00;[Red]\-&quot;R$&quot;\ #,##0.00"/>
    <numFmt numFmtId="165" formatCode="_-* #,##0_-;\-* #,##0_-;_-* &quot;-&quot;_-;_-@_-"/>
    <numFmt numFmtId="166" formatCode="_-&quot;R$&quot;\ * #,##0.00_-;\-&quot;R$&quot;\ * #,##0.00_-;_-&quot;R$&quot;\ * &quot;-&quot;??_-;_-@_-"/>
    <numFmt numFmtId="167" formatCode="_-* #,##0.00_-;\-* #,##0.00_-;_-* &quot;-&quot;??_-;_-@_-"/>
    <numFmt numFmtId="168" formatCode="_-&quot;R$&quot;* #,##0.00_-;\-&quot;R$&quot;* #,##0.00_-;_-&quot;R$&quot;* &quot;-&quot;??_-;_-@_-"/>
    <numFmt numFmtId="169" formatCode="[$R$ -416]#,##0.00"/>
    <numFmt numFmtId="170" formatCode="&quot;R$&quot;#,##0.00"/>
    <numFmt numFmtId="171" formatCode="0.000%"/>
    <numFmt numFmtId="172" formatCode="_-&quot;R$&quot;* #,##0.0000_-;\-&quot;R$&quot;* #,##0.0000_-;_-&quot;R$&quot;* &quot;-&quot;??_-;_-@_-"/>
    <numFmt numFmtId="173" formatCode="0.0%"/>
  </numFmts>
  <fonts count="86">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8"/>
      <color rgb="FF000000"/>
      <name val="Times New Roman"/>
      <family val="1"/>
    </font>
    <font>
      <sz val="11"/>
      <name val="Arial"/>
      <family val="2"/>
    </font>
    <font>
      <b/>
      <sz val="8"/>
      <color rgb="FF333333"/>
      <name val="Georgia"/>
      <family val="1"/>
    </font>
    <font>
      <sz val="8"/>
      <color rgb="FF333333"/>
      <name val="Georgia"/>
      <family val="1"/>
    </font>
    <font>
      <b/>
      <sz val="18"/>
      <color rgb="FF144B9B"/>
      <name val="Georgia"/>
      <family val="1"/>
    </font>
    <font>
      <b/>
      <sz val="13"/>
      <color rgb="FF144B9B"/>
      <name val="Georgia"/>
      <family val="1"/>
    </font>
    <font>
      <b/>
      <sz val="11"/>
      <color theme="0"/>
      <name val="Calibri"/>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b/>
      <sz val="14"/>
      <color rgb="FF5B9BD5"/>
      <name val="Calibri"/>
      <family val="2"/>
    </font>
    <font>
      <b/>
      <sz val="10"/>
      <color rgb="FF000000"/>
      <name val="Times New Roman"/>
      <family val="1"/>
    </font>
    <font>
      <sz val="11"/>
      <color rgb="FFC00000"/>
      <name val="Arial"/>
      <family val="2"/>
    </font>
    <font>
      <b/>
      <sz val="12"/>
      <color theme="1"/>
      <name val="Times New Roman"/>
      <family val="1"/>
    </font>
    <font>
      <b/>
      <sz val="12"/>
      <color rgb="FF000000"/>
      <name val="Times New Roman"/>
      <family val="1"/>
    </font>
    <font>
      <sz val="12"/>
      <color theme="1"/>
      <name val="Times New Roman"/>
      <family val="1"/>
    </font>
    <font>
      <b/>
      <sz val="12"/>
      <color rgb="FFC00000"/>
      <name val="Times New Roman"/>
      <family val="1"/>
    </font>
    <font>
      <sz val="12"/>
      <color rgb="FF000000"/>
      <name val="Times New Roman"/>
      <family val="1"/>
    </font>
    <font>
      <b/>
      <sz val="11"/>
      <color rgb="FF000000"/>
      <name val="Calibri"/>
      <family val="2"/>
    </font>
    <font>
      <sz val="11"/>
      <color rgb="FF000000"/>
      <name val="Calibri"/>
      <family val="2"/>
    </font>
    <font>
      <b/>
      <sz val="14"/>
      <color rgb="FF002060"/>
      <name val="Times New Roman"/>
      <family val="1"/>
    </font>
    <font>
      <sz val="12"/>
      <color rgb="FF002060"/>
      <name val="Times New Roman"/>
      <family val="1"/>
    </font>
    <font>
      <b/>
      <sz val="12"/>
      <color rgb="FF002060"/>
      <name val="Times New Roman"/>
      <family val="1"/>
    </font>
    <font>
      <sz val="8"/>
      <color theme="1"/>
      <name val="Times New Roman"/>
      <family val="1"/>
    </font>
    <font>
      <b/>
      <sz val="16"/>
      <color rgb="FF002060"/>
      <name val="Times New Roman"/>
      <family val="1"/>
    </font>
    <font>
      <b/>
      <sz val="11"/>
      <color theme="1"/>
      <name val="Arial"/>
      <family val="2"/>
    </font>
    <font>
      <b/>
      <sz val="11"/>
      <color rgb="FFC00000"/>
      <name val="Times New Roman"/>
      <family val="1"/>
    </font>
    <font>
      <u/>
      <sz val="11"/>
      <color theme="10"/>
      <name val="Arial"/>
      <family val="2"/>
    </font>
    <font>
      <sz val="10"/>
      <color rgb="FF000000"/>
      <name val="Times New Roman"/>
      <family val="1"/>
    </font>
    <font>
      <sz val="10"/>
      <color theme="1"/>
      <name val="Times New Roman"/>
      <family val="1"/>
    </font>
    <font>
      <sz val="11"/>
      <color theme="0"/>
      <name val="Calibri"/>
      <family val="2"/>
    </font>
    <font>
      <sz val="8"/>
      <color rgb="FF002060"/>
      <name val="Calibri"/>
      <family val="2"/>
    </font>
    <font>
      <i/>
      <sz val="11"/>
      <color theme="1"/>
      <name val="Calibri"/>
      <family val="2"/>
    </font>
    <font>
      <b/>
      <sz val="11"/>
      <color theme="1"/>
      <name val="Calibri"/>
      <family val="2"/>
      <scheme val="minor"/>
    </font>
    <font>
      <sz val="11"/>
      <color theme="1"/>
      <name val="Arial"/>
      <family val="2"/>
    </font>
    <font>
      <sz val="8"/>
      <name val="Arial"/>
      <family val="2"/>
    </font>
    <font>
      <b/>
      <sz val="11"/>
      <color rgb="FFFF0000"/>
      <name val="Webdings"/>
      <family val="1"/>
      <charset val="2"/>
    </font>
    <font>
      <sz val="10"/>
      <color rgb="FFFFFFFF"/>
      <name val="Calibri Light"/>
      <family val="2"/>
    </font>
    <font>
      <sz val="11"/>
      <name val="Calibri"/>
      <family val="2"/>
    </font>
    <font>
      <b/>
      <sz val="11"/>
      <name val="Calibri"/>
      <family val="2"/>
    </font>
    <font>
      <b/>
      <sz val="11"/>
      <color rgb="FFFF0000"/>
      <name val="Calibri"/>
      <family val="2"/>
      <scheme val="minor"/>
    </font>
    <font>
      <sz val="10"/>
      <name val="Arial"/>
      <family val="2"/>
    </font>
    <font>
      <b/>
      <sz val="11"/>
      <color theme="1"/>
      <name val="Webdings"/>
      <family val="1"/>
      <charset val="2"/>
    </font>
    <font>
      <sz val="11"/>
      <color theme="1"/>
      <name val="Arial"/>
      <family val="2"/>
    </font>
    <font>
      <b/>
      <sz val="11"/>
      <color rgb="FFFF0000"/>
      <name val="Calibri"/>
      <family val="2"/>
      <scheme val="major"/>
    </font>
    <font>
      <sz val="11"/>
      <name val="Calibri"/>
      <family val="2"/>
      <scheme val="major"/>
    </font>
    <font>
      <sz val="10"/>
      <color indexed="8"/>
      <name val="MS Sans Serif"/>
    </font>
    <font>
      <sz val="8"/>
      <name val="Arial"/>
      <family val="2"/>
    </font>
    <font>
      <b/>
      <sz val="11"/>
      <name val="Times New Roman"/>
      <family val="1"/>
    </font>
    <font>
      <b/>
      <sz val="12"/>
      <name val="Times New Roman"/>
      <family val="1"/>
    </font>
    <font>
      <sz val="11"/>
      <name val="Calibri"/>
      <family val="2"/>
      <scheme val="minor"/>
    </font>
    <font>
      <sz val="11"/>
      <color theme="1"/>
      <name val="Arial"/>
      <family val="2"/>
    </font>
    <font>
      <sz val="11"/>
      <color theme="0"/>
      <name val="Arial"/>
      <family val="2"/>
    </font>
    <font>
      <b/>
      <sz val="11"/>
      <color theme="0"/>
      <name val="Arial"/>
      <family val="2"/>
    </font>
    <font>
      <sz val="11"/>
      <color indexed="8"/>
      <name val="Calibri"/>
      <family val="2"/>
      <scheme val="minor"/>
    </font>
    <font>
      <b/>
      <u/>
      <sz val="11"/>
      <name val="Arial"/>
      <family val="2"/>
    </font>
    <font>
      <sz val="11"/>
      <name val="Times New Roman"/>
      <family val="1"/>
    </font>
    <font>
      <b/>
      <sz val="11"/>
      <color rgb="FFFF0000"/>
      <name val="Arial"/>
      <family val="2"/>
    </font>
    <font>
      <b/>
      <sz val="11"/>
      <color theme="0"/>
      <name val="Calibri"/>
      <family val="2"/>
      <scheme val="minor"/>
    </font>
    <font>
      <sz val="11"/>
      <color theme="3"/>
      <name val="Arial"/>
      <family val="2"/>
    </font>
    <font>
      <b/>
      <sz val="11"/>
      <name val="Arial"/>
      <family val="2"/>
    </font>
    <font>
      <b/>
      <sz val="12"/>
      <color rgb="FF273A77"/>
      <name val="Times New Roman"/>
      <family val="1"/>
    </font>
    <font>
      <b/>
      <sz val="8"/>
      <color rgb="FF000000"/>
      <name val="Times New Roman"/>
      <family val="1"/>
    </font>
    <font>
      <b/>
      <sz val="9"/>
      <color indexed="81"/>
      <name val="Segoe UI"/>
      <family val="2"/>
    </font>
    <font>
      <sz val="9"/>
      <color indexed="81"/>
      <name val="Segoe UI"/>
      <family val="2"/>
    </font>
    <font>
      <b/>
      <sz val="12"/>
      <color theme="0"/>
      <name val="Times New Roman"/>
      <family val="1"/>
    </font>
    <font>
      <b/>
      <sz val="11"/>
      <color rgb="FF1F497D"/>
      <name val="Times New Roman"/>
      <family val="1"/>
    </font>
    <font>
      <b/>
      <sz val="11"/>
      <name val="Times"/>
      <family val="1"/>
    </font>
    <font>
      <i/>
      <sz val="11"/>
      <name val="Times New Roman"/>
      <family val="1"/>
    </font>
    <font>
      <b/>
      <sz val="11"/>
      <color theme="1"/>
      <name val="Calibri"/>
      <family val="2"/>
      <scheme val="major"/>
    </font>
    <font>
      <sz val="11"/>
      <color theme="1"/>
      <name val="Calibri"/>
      <family val="2"/>
      <scheme val="major"/>
    </font>
    <font>
      <b/>
      <sz val="11"/>
      <name val="Calibri"/>
      <family val="2"/>
      <scheme val="major"/>
    </font>
    <font>
      <b/>
      <sz val="11"/>
      <name val="Calibri"/>
      <family val="2"/>
      <scheme val="minor"/>
    </font>
    <font>
      <b/>
      <i/>
      <sz val="11"/>
      <name val="Arial"/>
      <family val="2"/>
    </font>
  </fonts>
  <fills count="35">
    <fill>
      <patternFill patternType="none"/>
    </fill>
    <fill>
      <patternFill patternType="gray125"/>
    </fill>
    <fill>
      <patternFill patternType="solid">
        <fgColor rgb="FFD8D8D8"/>
        <bgColor rgb="FFD8D8D8"/>
      </patternFill>
    </fill>
    <fill>
      <patternFill patternType="solid">
        <fgColor rgb="FF92D050"/>
        <bgColor rgb="FF92D050"/>
      </patternFill>
    </fill>
    <fill>
      <patternFill patternType="solid">
        <fgColor rgb="FFFFFF00"/>
        <bgColor rgb="FFFFFF00"/>
      </patternFill>
    </fill>
    <fill>
      <patternFill patternType="solid">
        <fgColor rgb="FFFF0000"/>
        <bgColor rgb="FFFF0000"/>
      </patternFill>
    </fill>
    <fill>
      <patternFill patternType="solid">
        <fgColor rgb="FF002060"/>
        <bgColor rgb="FF002060"/>
      </patternFill>
    </fill>
    <fill>
      <patternFill patternType="solid">
        <fgColor rgb="FFDEEAF6"/>
        <bgColor rgb="FFDEEAF6"/>
      </patternFill>
    </fill>
    <fill>
      <patternFill patternType="solid">
        <fgColor theme="1"/>
        <bgColor theme="1"/>
      </patternFill>
    </fill>
    <fill>
      <patternFill patternType="solid">
        <fgColor theme="0"/>
        <bgColor theme="0"/>
      </patternFill>
    </fill>
    <fill>
      <patternFill patternType="solid">
        <fgColor rgb="FFFFFFFF"/>
        <bgColor rgb="FFFFFFFF"/>
      </patternFill>
    </fill>
    <fill>
      <patternFill patternType="solid">
        <fgColor rgb="FFD9E2F3"/>
        <bgColor rgb="FFD9E2F3"/>
      </patternFill>
    </fill>
    <fill>
      <patternFill patternType="solid">
        <fgColor rgb="FFF2F2F2"/>
        <bgColor rgb="FFF2F2F2"/>
      </patternFill>
    </fill>
    <fill>
      <patternFill patternType="solid">
        <fgColor rgb="FFFF0000"/>
        <bgColor indexed="64"/>
      </patternFill>
    </fill>
    <fill>
      <patternFill patternType="solid">
        <fgColor theme="0"/>
        <bgColor rgb="FFFFFF00"/>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tint="-4.9989318521683403E-2"/>
        <bgColor rgb="FFD8D8D8"/>
      </patternFill>
    </fill>
    <fill>
      <patternFill patternType="solid">
        <fgColor rgb="FFF1EEAD"/>
        <bgColor rgb="FFFF0000"/>
      </patternFill>
    </fill>
    <fill>
      <patternFill patternType="solid">
        <fgColor theme="0" tint="-4.9989318521683403E-2"/>
        <bgColor rgb="FFD9E2F3"/>
      </patternFill>
    </fill>
    <fill>
      <patternFill patternType="solid">
        <fgColor rgb="FF273A77"/>
        <bgColor indexed="64"/>
      </patternFill>
    </fill>
    <fill>
      <patternFill patternType="solid">
        <fgColor rgb="FF273A77"/>
        <bgColor rgb="FF002060"/>
      </patternFill>
    </fill>
    <fill>
      <patternFill patternType="solid">
        <fgColor rgb="FFE7DC9D"/>
        <bgColor indexed="64"/>
      </patternFill>
    </fill>
    <fill>
      <patternFill patternType="solid">
        <fgColor rgb="FF273A77"/>
        <bgColor rgb="FFBFBFBF"/>
      </patternFill>
    </fill>
    <fill>
      <patternFill patternType="solid">
        <fgColor rgb="FFD0D8F0"/>
        <bgColor rgb="FFD9E2F3"/>
      </patternFill>
    </fill>
    <fill>
      <patternFill patternType="solid">
        <fgColor rgb="FFD0D8F0"/>
        <bgColor rgb="FFDEEAF6"/>
      </patternFill>
    </fill>
    <fill>
      <patternFill patternType="solid">
        <fgColor rgb="FFD0D8F0"/>
        <bgColor indexed="64"/>
      </patternFill>
    </fill>
    <fill>
      <patternFill patternType="solid">
        <fgColor rgb="FFE7DC9D"/>
        <bgColor rgb="FFFFFF00"/>
      </patternFill>
    </fill>
    <fill>
      <patternFill patternType="solid">
        <fgColor theme="0" tint="-4.9989318521683403E-2"/>
        <bgColor rgb="FFDEEAF6"/>
      </patternFill>
    </fill>
    <fill>
      <patternFill patternType="solid">
        <fgColor theme="7" tint="0.79998168889431442"/>
        <bgColor indexed="64"/>
      </patternFill>
    </fill>
    <fill>
      <patternFill patternType="solid">
        <fgColor rgb="FFB3DB83"/>
        <bgColor indexed="64"/>
      </patternFill>
    </fill>
    <fill>
      <patternFill patternType="solid">
        <fgColor rgb="FFFFFF00"/>
        <bgColor indexed="64"/>
      </patternFill>
    </fill>
    <fill>
      <patternFill patternType="solid">
        <fgColor theme="8" tint="0.79998168889431442"/>
        <bgColor indexed="64"/>
      </patternFill>
    </fill>
    <fill>
      <patternFill patternType="solid">
        <fgColor rgb="FF92D050"/>
        <bgColor indexed="64"/>
      </patternFill>
    </fill>
    <fill>
      <patternFill patternType="solid">
        <fgColor rgb="FFF2F2F2"/>
        <bgColor indexed="64"/>
      </patternFill>
    </fill>
  </fills>
  <borders count="111">
    <border>
      <left/>
      <right/>
      <top/>
      <bottom/>
      <diagonal/>
    </border>
    <border>
      <left style="thin">
        <color rgb="FF000000"/>
      </left>
      <right style="thin">
        <color rgb="FF000000"/>
      </right>
      <top style="thin">
        <color rgb="FF000000"/>
      </top>
      <bottom style="thin">
        <color rgb="FF000000"/>
      </bottom>
      <diagonal/>
    </border>
    <border>
      <left style="thick">
        <color rgb="FF000000"/>
      </left>
      <right style="medium">
        <color rgb="FF000000"/>
      </right>
      <top style="thick">
        <color rgb="FF000000"/>
      </top>
      <bottom style="thick">
        <color rgb="FF000000"/>
      </bottom>
      <diagonal/>
    </border>
    <border>
      <left/>
      <right style="medium">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medium">
        <color rgb="FF000000"/>
      </right>
      <top style="medium">
        <color rgb="FF000000"/>
      </top>
      <bottom style="thick">
        <color rgb="FF000000"/>
      </bottom>
      <diagonal/>
    </border>
    <border>
      <left/>
      <right style="medium">
        <color rgb="FF000000"/>
      </right>
      <top style="medium">
        <color rgb="FF000000"/>
      </top>
      <bottom style="thick">
        <color rgb="FF000000"/>
      </bottom>
      <diagonal/>
    </border>
    <border>
      <left/>
      <right/>
      <top/>
      <bottom style="medium">
        <color rgb="FFA8D08D"/>
      </bottom>
      <diagonal/>
    </border>
    <border>
      <left/>
      <right style="medium">
        <color rgb="FF000000"/>
      </right>
      <top style="thick">
        <color rgb="FF000000"/>
      </top>
      <bottom style="medium">
        <color rgb="FF000000"/>
      </bottom>
      <diagonal/>
    </border>
    <border>
      <left/>
      <right/>
      <top/>
      <bottom style="thick">
        <color rgb="FFA8D08D"/>
      </bottom>
      <diagonal/>
    </border>
    <border>
      <left/>
      <right style="medium">
        <color rgb="FFA8D08D"/>
      </right>
      <top/>
      <bottom style="medium">
        <color rgb="FFA8D08D"/>
      </bottom>
      <diagonal/>
    </border>
    <border>
      <left/>
      <right style="medium">
        <color rgb="FFA8D08D"/>
      </right>
      <top style="medium">
        <color rgb="FFA8D08D"/>
      </top>
      <bottom/>
      <diagonal/>
    </border>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style="hair">
        <color rgb="FF316886"/>
      </left>
      <right style="hair">
        <color theme="1"/>
      </right>
      <top style="hair">
        <color theme="1"/>
      </top>
      <bottom style="hair">
        <color rgb="FF316886"/>
      </bottom>
      <diagonal/>
    </border>
    <border>
      <left style="hair">
        <color rgb="FF316886"/>
      </left>
      <right style="hair">
        <color theme="1"/>
      </right>
      <top style="hair">
        <color rgb="FF316886"/>
      </top>
      <bottom style="hair">
        <color rgb="FF316886"/>
      </bottom>
      <diagonal/>
    </border>
    <border>
      <left style="hair">
        <color rgb="FF316886"/>
      </left>
      <right style="hair">
        <color theme="1"/>
      </right>
      <top style="hair">
        <color rgb="FF316886"/>
      </top>
      <bottom style="hair">
        <color theme="1"/>
      </bottom>
      <diagonal/>
    </border>
    <border>
      <left/>
      <right style="thin">
        <color indexed="64"/>
      </right>
      <top style="dotted">
        <color indexed="64"/>
      </top>
      <bottom style="dotted">
        <color indexed="64"/>
      </bottom>
      <diagonal/>
    </border>
    <border>
      <left/>
      <right style="thin">
        <color indexed="64"/>
      </right>
      <top style="dotted">
        <color indexed="64"/>
      </top>
      <bottom/>
      <diagonal/>
    </border>
    <border>
      <left/>
      <right style="thin">
        <color indexed="64"/>
      </right>
      <top style="dotted">
        <color indexed="64"/>
      </top>
      <bottom style="medium">
        <color indexed="64"/>
      </bottom>
      <diagonal/>
    </border>
    <border>
      <left style="medium">
        <color indexed="64"/>
      </left>
      <right style="thin">
        <color indexed="64"/>
      </right>
      <top style="medium">
        <color indexed="64"/>
      </top>
      <bottom/>
      <diagonal/>
    </border>
    <border>
      <left style="thin">
        <color indexed="64"/>
      </left>
      <right/>
      <top style="dotted">
        <color indexed="64"/>
      </top>
      <bottom style="medium">
        <color theme="1"/>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style="medium">
        <color rgb="FF000000"/>
      </left>
      <right/>
      <top style="hair">
        <color rgb="FF000000"/>
      </top>
      <bottom style="hair">
        <color rgb="FF000000"/>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thin">
        <color theme="1"/>
      </left>
      <right/>
      <top style="hair">
        <color rgb="FF000000"/>
      </top>
      <bottom style="hair">
        <color rgb="FF000000"/>
      </bottom>
      <diagonal/>
    </border>
    <border>
      <left style="medium">
        <color rgb="FF000000"/>
      </left>
      <right style="thin">
        <color indexed="64"/>
      </right>
      <top style="medium">
        <color rgb="FF000000"/>
      </top>
      <bottom style="hair">
        <color rgb="FF000000"/>
      </bottom>
      <diagonal/>
    </border>
    <border>
      <left/>
      <right style="thin">
        <color rgb="FF000000"/>
      </right>
      <top style="medium">
        <color rgb="FF000000"/>
      </top>
      <bottom style="hair">
        <color rgb="FF000000"/>
      </bottom>
      <diagonal/>
    </border>
    <border>
      <left style="medium">
        <color rgb="FF000000"/>
      </left>
      <right style="thin">
        <color indexed="64"/>
      </right>
      <top style="hair">
        <color rgb="FF000000"/>
      </top>
      <bottom style="hair">
        <color rgb="FF000000"/>
      </bottom>
      <diagonal/>
    </border>
    <border>
      <left style="medium">
        <color rgb="FF316886"/>
      </left>
      <right/>
      <top style="medium">
        <color rgb="FF316886"/>
      </top>
      <bottom/>
      <diagonal/>
    </border>
    <border>
      <left/>
      <right/>
      <top style="medium">
        <color rgb="FF316886"/>
      </top>
      <bottom/>
      <diagonal/>
    </border>
    <border>
      <left/>
      <right style="medium">
        <color rgb="FF316886"/>
      </right>
      <top style="medium">
        <color rgb="FF316886"/>
      </top>
      <bottom/>
      <diagonal/>
    </border>
    <border>
      <left style="medium">
        <color rgb="FF316886"/>
      </left>
      <right/>
      <top/>
      <bottom/>
      <diagonal/>
    </border>
    <border>
      <left/>
      <right style="medium">
        <color rgb="FF316886"/>
      </right>
      <top/>
      <bottom/>
      <diagonal/>
    </border>
    <border>
      <left/>
      <right/>
      <top/>
      <bottom style="medium">
        <color rgb="FF316886"/>
      </bottom>
      <diagonal/>
    </border>
    <border>
      <left style="medium">
        <color rgb="FF273A77"/>
      </left>
      <right style="hair">
        <color rgb="FF273A77"/>
      </right>
      <top style="medium">
        <color rgb="FF273A77"/>
      </top>
      <bottom style="hair">
        <color rgb="FF273A77"/>
      </bottom>
      <diagonal/>
    </border>
    <border>
      <left style="hair">
        <color rgb="FF273A77"/>
      </left>
      <right style="hair">
        <color rgb="FF273A77"/>
      </right>
      <top style="medium">
        <color rgb="FF273A77"/>
      </top>
      <bottom style="hair">
        <color rgb="FF273A77"/>
      </bottom>
      <diagonal/>
    </border>
    <border>
      <left style="hair">
        <color rgb="FF273A77"/>
      </left>
      <right style="medium">
        <color rgb="FF273A77"/>
      </right>
      <top style="medium">
        <color rgb="FF273A77"/>
      </top>
      <bottom style="hair">
        <color rgb="FF273A77"/>
      </bottom>
      <diagonal/>
    </border>
    <border>
      <left style="medium">
        <color rgb="FF273A77"/>
      </left>
      <right style="hair">
        <color rgb="FF273A77"/>
      </right>
      <top style="hair">
        <color rgb="FF273A77"/>
      </top>
      <bottom style="hair">
        <color rgb="FF273A77"/>
      </bottom>
      <diagonal/>
    </border>
    <border>
      <left style="hair">
        <color rgb="FF273A77"/>
      </left>
      <right style="hair">
        <color rgb="FF273A77"/>
      </right>
      <top style="hair">
        <color rgb="FF273A77"/>
      </top>
      <bottom style="hair">
        <color rgb="FF273A77"/>
      </bottom>
      <diagonal/>
    </border>
    <border>
      <left style="hair">
        <color rgb="FF273A77"/>
      </left>
      <right style="medium">
        <color rgb="FF273A77"/>
      </right>
      <top style="hair">
        <color rgb="FF273A77"/>
      </top>
      <bottom style="hair">
        <color rgb="FF273A77"/>
      </bottom>
      <diagonal/>
    </border>
    <border>
      <left style="medium">
        <color rgb="FF273A77"/>
      </left>
      <right/>
      <top style="medium">
        <color rgb="FF273A77"/>
      </top>
      <bottom style="hair">
        <color rgb="FF273A77"/>
      </bottom>
      <diagonal/>
    </border>
    <border>
      <left/>
      <right/>
      <top style="medium">
        <color rgb="FF273A77"/>
      </top>
      <bottom style="hair">
        <color rgb="FF273A77"/>
      </bottom>
      <diagonal/>
    </border>
    <border>
      <left/>
      <right style="medium">
        <color rgb="FF273A77"/>
      </right>
      <top style="medium">
        <color rgb="FF273A77"/>
      </top>
      <bottom style="hair">
        <color rgb="FF273A77"/>
      </bottom>
      <diagonal/>
    </border>
    <border>
      <left style="medium">
        <color rgb="FF273A77"/>
      </left>
      <right/>
      <top style="hair">
        <color rgb="FF273A77"/>
      </top>
      <bottom style="hair">
        <color rgb="FF273A77"/>
      </bottom>
      <diagonal/>
    </border>
    <border>
      <left/>
      <right/>
      <top style="hair">
        <color rgb="FF273A77"/>
      </top>
      <bottom style="hair">
        <color rgb="FF273A77"/>
      </bottom>
      <diagonal/>
    </border>
    <border>
      <left/>
      <right style="medium">
        <color rgb="FF273A77"/>
      </right>
      <top style="hair">
        <color rgb="FF273A77"/>
      </top>
      <bottom style="hair">
        <color rgb="FF273A77"/>
      </bottom>
      <diagonal/>
    </border>
    <border>
      <left style="medium">
        <color rgb="FF273A77"/>
      </left>
      <right/>
      <top style="hair">
        <color rgb="FF273A77"/>
      </top>
      <bottom style="medium">
        <color rgb="FF273A77"/>
      </bottom>
      <diagonal/>
    </border>
    <border>
      <left/>
      <right/>
      <top style="hair">
        <color rgb="FF273A77"/>
      </top>
      <bottom style="medium">
        <color rgb="FF273A77"/>
      </bottom>
      <diagonal/>
    </border>
    <border>
      <left/>
      <right style="medium">
        <color rgb="FF273A77"/>
      </right>
      <top style="hair">
        <color rgb="FF273A77"/>
      </top>
      <bottom style="medium">
        <color rgb="FF273A77"/>
      </bottom>
      <diagonal/>
    </border>
    <border>
      <left style="thin">
        <color indexed="64"/>
      </left>
      <right/>
      <top style="dotted">
        <color indexed="64"/>
      </top>
      <bottom/>
      <diagonal/>
    </border>
    <border>
      <left style="hair">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hair">
        <color auto="1"/>
      </left>
      <right style="hair">
        <color auto="1"/>
      </right>
      <top/>
      <bottom style="thin">
        <color auto="1"/>
      </bottom>
      <diagonal/>
    </border>
    <border>
      <left style="hair">
        <color auto="1"/>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hair">
        <color rgb="FF273A77"/>
      </right>
      <top style="medium">
        <color rgb="FF273A77"/>
      </top>
      <bottom style="hair">
        <color rgb="FF273A77"/>
      </bottom>
      <diagonal/>
    </border>
    <border>
      <left/>
      <right style="hair">
        <color rgb="FF273A77"/>
      </right>
      <top style="hair">
        <color rgb="FF273A77"/>
      </top>
      <bottom style="hair">
        <color rgb="FF273A77"/>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medium">
        <color indexed="64"/>
      </left>
      <right style="thin">
        <color indexed="64"/>
      </right>
      <top style="dotted">
        <color indexed="64"/>
      </top>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diagonal/>
    </border>
    <border>
      <left style="hair">
        <color rgb="FF316886"/>
      </left>
      <right style="hair">
        <color rgb="FF316886"/>
      </right>
      <top style="hair">
        <color rgb="FF316886"/>
      </top>
      <bottom style="hair">
        <color rgb="FF316886"/>
      </bottom>
      <diagonal/>
    </border>
    <border>
      <left style="medium">
        <color rgb="FF273A77"/>
      </left>
      <right style="medium">
        <color rgb="FF273A77"/>
      </right>
      <top style="medium">
        <color rgb="FF273A77"/>
      </top>
      <bottom style="medium">
        <color rgb="FF273A77"/>
      </bottom>
      <diagonal/>
    </border>
    <border>
      <left/>
      <right style="medium">
        <color rgb="FF273A77"/>
      </right>
      <top style="medium">
        <color rgb="FF273A77"/>
      </top>
      <bottom style="medium">
        <color rgb="FF273A77"/>
      </bottom>
      <diagonal/>
    </border>
    <border>
      <left style="medium">
        <color rgb="FF273A77"/>
      </left>
      <right style="medium">
        <color rgb="FF273A77"/>
      </right>
      <top/>
      <bottom style="medium">
        <color rgb="FF273A77"/>
      </bottom>
      <diagonal/>
    </border>
    <border>
      <left/>
      <right style="medium">
        <color rgb="FF273A77"/>
      </right>
      <top/>
      <bottom style="medium">
        <color rgb="FF273A77"/>
      </bottom>
      <diagonal/>
    </border>
    <border>
      <left/>
      <right style="medium">
        <color rgb="FF316886"/>
      </right>
      <top/>
      <bottom style="medium">
        <color rgb="FF316886"/>
      </bottom>
      <diagonal/>
    </border>
    <border>
      <left/>
      <right/>
      <top/>
      <bottom style="medium">
        <color rgb="FF273A77"/>
      </bottom>
      <diagonal/>
    </border>
    <border>
      <left/>
      <right/>
      <top/>
      <bottom style="double">
        <color indexed="64"/>
      </bottom>
      <diagonal/>
    </border>
    <border>
      <left style="thin">
        <color indexed="64"/>
      </left>
      <right/>
      <top/>
      <bottom/>
      <diagonal/>
    </border>
    <border>
      <left style="thin">
        <color indexed="64"/>
      </left>
      <right/>
      <top/>
      <bottom style="double">
        <color indexed="64"/>
      </bottom>
      <diagonal/>
    </border>
  </borders>
  <cellStyleXfs count="34">
    <xf numFmtId="0" fontId="0" fillId="0" borderId="0"/>
    <xf numFmtId="0" fontId="8" fillId="0" borderId="12"/>
    <xf numFmtId="0" fontId="7" fillId="0" borderId="12"/>
    <xf numFmtId="0" fontId="6" fillId="0" borderId="12"/>
    <xf numFmtId="0" fontId="5" fillId="0" borderId="12"/>
    <xf numFmtId="0" fontId="55" fillId="0" borderId="12"/>
    <xf numFmtId="0" fontId="46" fillId="0" borderId="12"/>
    <xf numFmtId="9" fontId="46" fillId="0" borderId="12" applyFont="0" applyFill="0" applyBorder="0" applyAlignment="0" applyProtection="0"/>
    <xf numFmtId="0" fontId="4" fillId="0" borderId="12"/>
    <xf numFmtId="0" fontId="58" fillId="0" borderId="12"/>
    <xf numFmtId="0" fontId="39" fillId="0" borderId="0" applyNumberFormat="0" applyFill="0" applyBorder="0" applyAlignment="0" applyProtection="0"/>
    <xf numFmtId="167" fontId="63" fillId="0" borderId="0" applyFont="0" applyFill="0" applyBorder="0" applyAlignment="0" applyProtection="0"/>
    <xf numFmtId="168" fontId="63" fillId="0" borderId="0" applyFont="0" applyFill="0" applyBorder="0" applyAlignment="0" applyProtection="0"/>
    <xf numFmtId="9" fontId="63" fillId="0" borderId="0" applyFont="0" applyFill="0" applyBorder="0" applyAlignment="0" applyProtection="0"/>
    <xf numFmtId="0" fontId="3" fillId="0" borderId="12"/>
    <xf numFmtId="0" fontId="58" fillId="0" borderId="12"/>
    <xf numFmtId="0" fontId="2" fillId="0" borderId="12"/>
    <xf numFmtId="167" fontId="2" fillId="0" borderId="12" applyFont="0" applyFill="0" applyBorder="0" applyAlignment="0" applyProtection="0"/>
    <xf numFmtId="166" fontId="2" fillId="0" borderId="12" applyFont="0" applyFill="0" applyBorder="0" applyAlignment="0" applyProtection="0"/>
    <xf numFmtId="9" fontId="2" fillId="0" borderId="12" applyFont="0" applyFill="0" applyBorder="0" applyAlignment="0" applyProtection="0"/>
    <xf numFmtId="168" fontId="2" fillId="0" borderId="12" applyFont="0" applyFill="0" applyBorder="0" applyAlignment="0" applyProtection="0"/>
    <xf numFmtId="0" fontId="2" fillId="0" borderId="12"/>
    <xf numFmtId="166" fontId="46" fillId="0" borderId="12" applyFont="0" applyFill="0" applyBorder="0" applyAlignment="0" applyProtection="0"/>
    <xf numFmtId="167" fontId="2" fillId="0" borderId="12" applyFont="0" applyFill="0" applyBorder="0" applyAlignment="0" applyProtection="0"/>
    <xf numFmtId="0" fontId="2" fillId="0" borderId="12"/>
    <xf numFmtId="9" fontId="2" fillId="0" borderId="12" applyFont="0" applyFill="0" applyBorder="0" applyAlignment="0" applyProtection="0"/>
    <xf numFmtId="166" fontId="2" fillId="0" borderId="12" applyFont="0" applyFill="0" applyBorder="0" applyAlignment="0" applyProtection="0"/>
    <xf numFmtId="168" fontId="58" fillId="0" borderId="12" applyFont="0" applyFill="0" applyBorder="0" applyAlignment="0" applyProtection="0"/>
    <xf numFmtId="166" fontId="2" fillId="0" borderId="12" applyFont="0" applyFill="0" applyBorder="0" applyAlignment="0" applyProtection="0"/>
    <xf numFmtId="0" fontId="2" fillId="0" borderId="12"/>
    <xf numFmtId="0" fontId="53" fillId="0" borderId="12"/>
    <xf numFmtId="0" fontId="46" fillId="0" borderId="12"/>
    <xf numFmtId="168" fontId="46" fillId="0" borderId="12" applyFont="0" applyFill="0" applyBorder="0" applyAlignment="0" applyProtection="0"/>
    <xf numFmtId="0" fontId="46" fillId="0" borderId="12"/>
  </cellStyleXfs>
  <cellXfs count="455">
    <xf numFmtId="0" fontId="0" fillId="0" borderId="0" xfId="0"/>
    <xf numFmtId="0" fontId="9" fillId="0" borderId="0" xfId="0" applyFont="1"/>
    <xf numFmtId="0" fontId="10" fillId="2" borderId="1" xfId="0" applyFont="1" applyFill="1" applyBorder="1" applyAlignment="1">
      <alignment horizontal="left" vertical="top" wrapText="1"/>
    </xf>
    <xf numFmtId="0" fontId="10" fillId="0" borderId="1" xfId="0" applyFont="1" applyBorder="1" applyAlignment="1">
      <alignment horizontal="left" vertical="top" wrapText="1"/>
    </xf>
    <xf numFmtId="0" fontId="13" fillId="0" borderId="0" xfId="0" applyFont="1" applyAlignment="1">
      <alignment vertical="center"/>
    </xf>
    <xf numFmtId="0" fontId="14" fillId="0" borderId="0" xfId="0" applyFont="1" applyAlignment="1">
      <alignmen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5" fillId="0" borderId="0" xfId="0" applyFont="1" applyAlignment="1">
      <alignment vertical="center"/>
    </xf>
    <xf numFmtId="0" fontId="10" fillId="0" borderId="0" xfId="0" applyFont="1"/>
    <xf numFmtId="0" fontId="16" fillId="0" borderId="0" xfId="0" applyFont="1" applyAlignment="1">
      <alignment vertical="center"/>
    </xf>
    <xf numFmtId="0" fontId="10" fillId="0" borderId="0" xfId="0" applyFont="1" applyAlignment="1">
      <alignment horizontal="left" vertical="center"/>
    </xf>
    <xf numFmtId="0" fontId="14" fillId="0" borderId="0" xfId="0" applyFont="1" applyAlignment="1">
      <alignment horizontal="left" vertical="center"/>
    </xf>
    <xf numFmtId="9" fontId="10" fillId="0" borderId="0" xfId="0" applyNumberFormat="1" applyFont="1"/>
    <xf numFmtId="9" fontId="9" fillId="0" borderId="0" xfId="0" applyNumberFormat="1" applyFont="1"/>
    <xf numFmtId="0" fontId="18" fillId="0" borderId="0" xfId="0" applyFont="1" applyAlignment="1">
      <alignment horizontal="right"/>
    </xf>
    <xf numFmtId="0" fontId="20" fillId="0" borderId="0" xfId="0" applyFont="1" applyAlignment="1">
      <alignment horizontal="right"/>
    </xf>
    <xf numFmtId="0" fontId="19" fillId="5" borderId="2" xfId="0" applyFont="1" applyFill="1" applyBorder="1" applyAlignment="1">
      <alignment horizontal="center" vertical="center" wrapText="1"/>
    </xf>
    <xf numFmtId="0" fontId="21" fillId="7" borderId="3" xfId="0" applyFont="1" applyFill="1" applyBorder="1" applyAlignment="1">
      <alignment vertical="center" wrapText="1"/>
    </xf>
    <xf numFmtId="0" fontId="21" fillId="5" borderId="4" xfId="0" applyFont="1" applyFill="1" applyBorder="1" applyAlignment="1">
      <alignment horizontal="center" vertical="center" wrapText="1"/>
    </xf>
    <xf numFmtId="0" fontId="22" fillId="0" borderId="0" xfId="0" applyFont="1" applyAlignment="1">
      <alignment horizontal="left" vertical="center"/>
    </xf>
    <xf numFmtId="0" fontId="19" fillId="4" borderId="2" xfId="0" applyFont="1" applyFill="1" applyBorder="1" applyAlignment="1">
      <alignment horizontal="center" vertical="center" wrapText="1"/>
    </xf>
    <xf numFmtId="0" fontId="21" fillId="4" borderId="4"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23" fillId="7" borderId="3" xfId="0" applyFont="1" applyFill="1" applyBorder="1" applyAlignment="1">
      <alignment vertical="center" wrapText="1"/>
    </xf>
    <xf numFmtId="0" fontId="21" fillId="3" borderId="4"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21" fillId="7" borderId="6" xfId="0" applyFont="1" applyFill="1" applyBorder="1" applyAlignment="1">
      <alignment vertical="center" wrapText="1"/>
    </xf>
    <xf numFmtId="0" fontId="24" fillId="0" borderId="0" xfId="0" applyFont="1"/>
    <xf numFmtId="0" fontId="17" fillId="8" borderId="1" xfId="0" applyFont="1" applyFill="1" applyBorder="1" applyAlignment="1">
      <alignment horizontal="center"/>
    </xf>
    <xf numFmtId="0" fontId="19" fillId="0" borderId="2" xfId="0" applyFont="1" applyBorder="1" applyAlignment="1">
      <alignment horizontal="center" vertical="center" wrapText="1"/>
    </xf>
    <xf numFmtId="0" fontId="18" fillId="0" borderId="7" xfId="0" applyFont="1" applyBorder="1" applyAlignment="1">
      <alignment horizontal="left" vertical="top" wrapText="1"/>
    </xf>
    <xf numFmtId="0" fontId="21" fillId="7" borderId="8" xfId="0" applyFont="1" applyFill="1" applyBorder="1" applyAlignment="1">
      <alignment vertical="center" wrapText="1"/>
    </xf>
    <xf numFmtId="0" fontId="10" fillId="0" borderId="0" xfId="0" applyFont="1" applyAlignment="1">
      <alignment horizontal="center"/>
    </xf>
    <xf numFmtId="0" fontId="25" fillId="10" borderId="9" xfId="0" applyFont="1" applyFill="1" applyBorder="1" applyAlignment="1">
      <alignment horizontal="left" vertical="center" wrapText="1"/>
    </xf>
    <xf numFmtId="0" fontId="26" fillId="10" borderId="9" xfId="0" applyFont="1" applyFill="1" applyBorder="1" applyAlignment="1">
      <alignment horizontal="left" vertical="center" wrapText="1"/>
    </xf>
    <xf numFmtId="0" fontId="25" fillId="0" borderId="10" xfId="0" applyFont="1" applyBorder="1" applyAlignment="1">
      <alignment horizontal="left" vertical="center" wrapText="1"/>
    </xf>
    <xf numFmtId="0" fontId="25" fillId="0" borderId="0" xfId="0" applyFont="1" applyAlignment="1">
      <alignment horizontal="left" vertical="center" wrapText="1"/>
    </xf>
    <xf numFmtId="0" fontId="27" fillId="0" borderId="0" xfId="0" applyFont="1" applyAlignment="1">
      <alignment horizontal="left" vertical="center" wrapText="1"/>
    </xf>
    <xf numFmtId="0" fontId="32" fillId="0" borderId="0" xfId="0" applyFont="1" applyAlignment="1">
      <alignment horizontal="left" vertical="center"/>
    </xf>
    <xf numFmtId="0" fontId="33" fillId="0" borderId="0" xfId="0" applyFont="1" applyAlignment="1">
      <alignment horizontal="left" vertical="center"/>
    </xf>
    <xf numFmtId="0" fontId="27" fillId="0" borderId="10" xfId="0" applyFont="1" applyBorder="1" applyAlignment="1">
      <alignment horizontal="left" vertical="center" wrapText="1"/>
    </xf>
    <xf numFmtId="0" fontId="27" fillId="0" borderId="7" xfId="0" applyFont="1" applyBorder="1" applyAlignment="1">
      <alignment horizontal="center" vertical="center" wrapText="1"/>
    </xf>
    <xf numFmtId="0" fontId="27" fillId="0" borderId="0" xfId="0" applyFont="1" applyAlignment="1">
      <alignment horizontal="center" vertical="center" wrapText="1"/>
    </xf>
    <xf numFmtId="0" fontId="34" fillId="0" borderId="0" xfId="0" applyFont="1" applyAlignment="1">
      <alignment horizontal="left" vertical="center"/>
    </xf>
    <xf numFmtId="0" fontId="35" fillId="0" borderId="0" xfId="0" applyFont="1" applyAlignment="1">
      <alignment horizontal="left" vertical="center"/>
    </xf>
    <xf numFmtId="0" fontId="36" fillId="0" borderId="0" xfId="0" applyFont="1" applyAlignment="1">
      <alignment horizontal="left" vertical="center"/>
    </xf>
    <xf numFmtId="0" fontId="37" fillId="0" borderId="0" xfId="0" applyFont="1"/>
    <xf numFmtId="0" fontId="32" fillId="0" borderId="0" xfId="0" applyFont="1" applyAlignment="1">
      <alignment horizontal="center" vertical="center"/>
    </xf>
    <xf numFmtId="0" fontId="21" fillId="0" borderId="10" xfId="0" applyFont="1" applyBorder="1" applyAlignment="1">
      <alignment horizontal="left" vertical="center" wrapText="1"/>
    </xf>
    <xf numFmtId="0" fontId="38" fillId="0" borderId="7" xfId="0" applyFont="1" applyBorder="1" applyAlignment="1">
      <alignment horizontal="left" vertical="center" wrapText="1"/>
    </xf>
    <xf numFmtId="0" fontId="20" fillId="0" borderId="7" xfId="0" applyFont="1" applyBorder="1" applyAlignment="1">
      <alignment horizontal="left" vertical="top" wrapText="1"/>
    </xf>
    <xf numFmtId="0" fontId="19" fillId="0" borderId="10" xfId="0" applyFont="1" applyBorder="1" applyAlignment="1">
      <alignment horizontal="left" vertical="center" wrapText="1"/>
    </xf>
    <xf numFmtId="0" fontId="38" fillId="0" borderId="7" xfId="0" applyFont="1" applyBorder="1" applyAlignment="1">
      <alignment horizontal="left" vertical="top" wrapText="1"/>
    </xf>
    <xf numFmtId="0" fontId="30" fillId="0" borderId="11" xfId="0" applyFont="1" applyBorder="1" applyAlignment="1">
      <alignment vertical="center" wrapText="1"/>
    </xf>
    <xf numFmtId="0" fontId="10" fillId="0" borderId="1" xfId="0" applyFont="1" applyBorder="1" applyAlignment="1">
      <alignment vertical="top" wrapText="1"/>
    </xf>
    <xf numFmtId="0" fontId="10" fillId="0" borderId="1" xfId="0" applyFont="1" applyBorder="1" applyAlignment="1">
      <alignment horizontal="center" vertical="top" wrapText="1"/>
    </xf>
    <xf numFmtId="0" fontId="10" fillId="2" borderId="1" xfId="0" applyFont="1" applyFill="1" applyBorder="1" applyAlignment="1">
      <alignment vertical="top" wrapText="1"/>
    </xf>
    <xf numFmtId="0" fontId="10" fillId="2" borderId="1" xfId="0" applyFont="1" applyFill="1" applyBorder="1" applyAlignment="1">
      <alignment horizontal="center" vertical="top" wrapText="1"/>
    </xf>
    <xf numFmtId="0" fontId="10" fillId="12" borderId="1" xfId="0" applyFont="1" applyFill="1" applyBorder="1" applyAlignment="1">
      <alignment horizontal="left" vertical="top" wrapText="1"/>
    </xf>
    <xf numFmtId="0" fontId="10" fillId="0" borderId="0" xfId="0" applyFont="1" applyAlignment="1">
      <alignment horizontal="left"/>
    </xf>
    <xf numFmtId="0" fontId="9" fillId="0" borderId="0" xfId="0" applyFont="1" applyAlignment="1">
      <alignment horizontal="left" vertical="top" wrapText="1"/>
    </xf>
    <xf numFmtId="0" fontId="19" fillId="13" borderId="2" xfId="0" applyFont="1" applyFill="1" applyBorder="1" applyAlignment="1">
      <alignment horizontal="center" vertical="center" wrapText="1"/>
    </xf>
    <xf numFmtId="0" fontId="48" fillId="0" borderId="12" xfId="1" applyFont="1"/>
    <xf numFmtId="0" fontId="8" fillId="0" borderId="12" xfId="1"/>
    <xf numFmtId="0" fontId="45" fillId="0" borderId="13" xfId="1" applyFont="1" applyBorder="1" applyAlignment="1">
      <alignment horizontal="center" vertical="center"/>
    </xf>
    <xf numFmtId="0" fontId="48" fillId="0" borderId="17" xfId="1" applyFont="1" applyBorder="1" applyAlignment="1">
      <alignment horizontal="center" vertical="center"/>
    </xf>
    <xf numFmtId="0" fontId="8" fillId="0" borderId="18" xfId="1" applyBorder="1"/>
    <xf numFmtId="0" fontId="8" fillId="0" borderId="19" xfId="1" applyBorder="1"/>
    <xf numFmtId="0" fontId="48" fillId="0" borderId="20" xfId="1" applyFont="1" applyBorder="1" applyAlignment="1">
      <alignment horizontal="center" vertical="center"/>
    </xf>
    <xf numFmtId="0" fontId="8" fillId="0" borderId="21" xfId="1" applyBorder="1"/>
    <xf numFmtId="0" fontId="48" fillId="0" borderId="22" xfId="1" applyFont="1" applyBorder="1" applyAlignment="1">
      <alignment horizontal="center" vertical="center"/>
    </xf>
    <xf numFmtId="0" fontId="8" fillId="0" borderId="23" xfId="1" applyBorder="1"/>
    <xf numFmtId="0" fontId="8" fillId="0" borderId="24" xfId="1" applyBorder="1"/>
    <xf numFmtId="0" fontId="0" fillId="0" borderId="0" xfId="0" applyAlignment="1">
      <alignment horizontal="left"/>
    </xf>
    <xf numFmtId="0" fontId="0" fillId="0" borderId="0" xfId="0" applyAlignment="1">
      <alignment wrapText="1"/>
    </xf>
    <xf numFmtId="0" fontId="5" fillId="0" borderId="12" xfId="4"/>
    <xf numFmtId="0" fontId="5" fillId="0" borderId="12" xfId="4" applyAlignment="1">
      <alignment vertical="center"/>
    </xf>
    <xf numFmtId="0" fontId="5" fillId="0" borderId="12" xfId="4" applyAlignment="1">
      <alignment horizontal="center" vertical="center"/>
    </xf>
    <xf numFmtId="0" fontId="52" fillId="0" borderId="12" xfId="4" applyFont="1" applyAlignment="1">
      <alignment horizontal="center" vertical="center"/>
    </xf>
    <xf numFmtId="0" fontId="45" fillId="0" borderId="12" xfId="1" applyFont="1" applyAlignment="1">
      <alignment horizontal="center" vertical="center"/>
    </xf>
    <xf numFmtId="0" fontId="57" fillId="0" borderId="12" xfId="4" applyFont="1" applyAlignment="1">
      <alignment horizontal="center" vertical="center"/>
    </xf>
    <xf numFmtId="170" fontId="0" fillId="0" borderId="0" xfId="0" applyNumberFormat="1" applyAlignment="1">
      <alignment horizontal="center" vertical="center"/>
    </xf>
    <xf numFmtId="0" fontId="0" fillId="0" borderId="0" xfId="0" applyAlignment="1">
      <alignment vertical="center"/>
    </xf>
    <xf numFmtId="170" fontId="18" fillId="0" borderId="7" xfId="0" applyNumberFormat="1" applyFont="1" applyBorder="1" applyAlignment="1">
      <alignment horizontal="left" vertical="top" wrapText="1"/>
    </xf>
    <xf numFmtId="0" fontId="10" fillId="9" borderId="12" xfId="0" applyFont="1" applyFill="1" applyBorder="1"/>
    <xf numFmtId="0" fontId="28" fillId="0" borderId="12" xfId="0" applyFont="1" applyBorder="1" applyAlignment="1">
      <alignment horizontal="center" vertical="center" wrapText="1"/>
    </xf>
    <xf numFmtId="0" fontId="62" fillId="0" borderId="0" xfId="0" applyFont="1"/>
    <xf numFmtId="0" fontId="0" fillId="0" borderId="0" xfId="0" applyAlignment="1">
      <alignment horizontal="center"/>
    </xf>
    <xf numFmtId="9" fontId="0" fillId="0" borderId="0" xfId="13" applyFont="1" applyAlignment="1">
      <alignment horizontal="center"/>
    </xf>
    <xf numFmtId="0" fontId="0" fillId="0" borderId="0" xfId="0" applyAlignment="1">
      <alignment horizontal="left" vertical="center"/>
    </xf>
    <xf numFmtId="168" fontId="0" fillId="0" borderId="0" xfId="12" applyFont="1" applyAlignment="1">
      <alignment horizontal="left" vertical="center"/>
    </xf>
    <xf numFmtId="0" fontId="17" fillId="8" borderId="1" xfId="0" applyFont="1" applyFill="1" applyBorder="1" applyAlignment="1">
      <alignment horizontal="left" vertical="center"/>
    </xf>
    <xf numFmtId="168" fontId="17" fillId="8" borderId="1" xfId="12" applyFont="1" applyFill="1" applyBorder="1" applyAlignment="1">
      <alignment horizontal="left" vertical="center"/>
    </xf>
    <xf numFmtId="0" fontId="0" fillId="0" borderId="12" xfId="0" applyBorder="1" applyAlignment="1">
      <alignment horizontal="left" vertical="center"/>
    </xf>
    <xf numFmtId="0" fontId="0" fillId="0" borderId="34" xfId="0" applyBorder="1" applyAlignment="1">
      <alignment horizontal="left" vertical="center"/>
    </xf>
    <xf numFmtId="0" fontId="37" fillId="0" borderId="0" xfId="0" applyFont="1" applyAlignment="1">
      <alignment horizontal="left" vertical="center"/>
    </xf>
    <xf numFmtId="0" fontId="46" fillId="0" borderId="34" xfId="0" applyFont="1" applyBorder="1" applyAlignment="1">
      <alignment horizontal="left" vertical="center"/>
    </xf>
    <xf numFmtId="0" fontId="46" fillId="0" borderId="34" xfId="0" applyFont="1" applyBorder="1" applyAlignment="1">
      <alignment horizontal="left" vertical="center" wrapText="1"/>
    </xf>
    <xf numFmtId="0" fontId="0" fillId="0" borderId="37" xfId="0" applyBorder="1" applyAlignment="1">
      <alignment horizontal="left" vertical="center" wrapText="1"/>
    </xf>
    <xf numFmtId="0" fontId="0" fillId="0" borderId="35" xfId="0" applyBorder="1" applyAlignment="1">
      <alignment horizontal="left" vertical="center" wrapText="1"/>
    </xf>
    <xf numFmtId="0" fontId="17" fillId="8" borderId="1" xfId="0" applyFont="1" applyFill="1" applyBorder="1" applyAlignment="1">
      <alignment horizontal="left" vertical="center" wrapText="1"/>
    </xf>
    <xf numFmtId="0" fontId="0" fillId="0" borderId="0" xfId="0" applyAlignment="1">
      <alignment horizontal="left" vertical="center" wrapText="1"/>
    </xf>
    <xf numFmtId="0" fontId="46" fillId="0" borderId="36" xfId="0" applyFont="1" applyBorder="1" applyAlignment="1">
      <alignment horizontal="left" vertical="center" wrapText="1"/>
    </xf>
    <xf numFmtId="0" fontId="46" fillId="0" borderId="0" xfId="0" applyFont="1" applyAlignment="1">
      <alignment vertical="center"/>
    </xf>
    <xf numFmtId="4" fontId="67" fillId="0" borderId="0" xfId="11" applyNumberFormat="1" applyFont="1" applyFill="1" applyAlignment="1">
      <alignment horizontal="left" vertical="center"/>
    </xf>
    <xf numFmtId="170" fontId="0" fillId="0" borderId="12" xfId="0" applyNumberFormat="1" applyBorder="1" applyAlignment="1">
      <alignment horizontal="center" vertical="center"/>
    </xf>
    <xf numFmtId="0" fontId="46" fillId="0" borderId="0" xfId="0" applyFont="1" applyAlignment="1">
      <alignment horizontal="left" vertical="center"/>
    </xf>
    <xf numFmtId="0" fontId="50" fillId="0" borderId="12" xfId="4" applyFont="1" applyAlignment="1">
      <alignment horizontal="left" vertical="center" wrapText="1"/>
    </xf>
    <xf numFmtId="0" fontId="51" fillId="0" borderId="12" xfId="4" applyFont="1" applyAlignment="1">
      <alignment horizontal="left" vertical="center" wrapText="1"/>
    </xf>
    <xf numFmtId="0" fontId="10" fillId="0" borderId="12" xfId="4" applyFont="1" applyAlignment="1">
      <alignment horizontal="left" vertical="center" wrapText="1"/>
    </xf>
    <xf numFmtId="0" fontId="54" fillId="0" borderId="12" xfId="5" applyFont="1" applyAlignment="1">
      <alignment horizontal="center" vertical="center" wrapText="1"/>
    </xf>
    <xf numFmtId="9" fontId="50" fillId="0" borderId="12" xfId="7" applyFont="1" applyFill="1" applyBorder="1" applyAlignment="1">
      <alignment horizontal="center" vertical="center" wrapText="1"/>
    </xf>
    <xf numFmtId="0" fontId="37" fillId="0" borderId="33" xfId="0" applyFont="1" applyBorder="1" applyAlignment="1">
      <alignment horizontal="center" vertical="center"/>
    </xf>
    <xf numFmtId="166" fontId="46" fillId="0" borderId="34" xfId="0" applyNumberFormat="1" applyFont="1" applyBorder="1" applyAlignment="1">
      <alignment horizontal="left" vertical="center" wrapText="1"/>
    </xf>
    <xf numFmtId="166" fontId="69" fillId="0" borderId="34" xfId="0" applyNumberFormat="1" applyFont="1" applyBorder="1" applyAlignment="1">
      <alignment horizontal="center" vertical="center" wrapText="1"/>
    </xf>
    <xf numFmtId="168" fontId="46" fillId="0" borderId="34" xfId="12" applyFont="1" applyFill="1" applyBorder="1" applyAlignment="1">
      <alignment horizontal="left" vertical="center" wrapText="1"/>
    </xf>
    <xf numFmtId="0" fontId="25" fillId="10" borderId="12" xfId="0" applyFont="1" applyFill="1" applyBorder="1" applyAlignment="1">
      <alignment horizontal="left" vertical="center" wrapText="1"/>
    </xf>
    <xf numFmtId="0" fontId="26" fillId="10" borderId="12" xfId="0" applyFont="1" applyFill="1" applyBorder="1" applyAlignment="1">
      <alignment horizontal="left" vertical="center" wrapText="1"/>
    </xf>
    <xf numFmtId="0" fontId="25" fillId="0" borderId="12" xfId="0" applyFont="1" applyBorder="1" applyAlignment="1">
      <alignment horizontal="left" vertical="center" wrapText="1"/>
    </xf>
    <xf numFmtId="0" fontId="27" fillId="0" borderId="12" xfId="0" applyFont="1" applyBorder="1" applyAlignment="1">
      <alignment horizontal="left" vertical="center" wrapText="1"/>
    </xf>
    <xf numFmtId="0" fontId="27" fillId="0" borderId="12" xfId="0" applyFont="1" applyBorder="1" applyAlignment="1">
      <alignment horizontal="center" vertical="center" wrapText="1"/>
    </xf>
    <xf numFmtId="0" fontId="19" fillId="5" borderId="12" xfId="0" applyFont="1" applyFill="1" applyBorder="1" applyAlignment="1">
      <alignment horizontal="left" vertical="center" wrapText="1"/>
    </xf>
    <xf numFmtId="0" fontId="30" fillId="10" borderId="12" xfId="0" applyFont="1" applyFill="1" applyBorder="1" applyAlignment="1">
      <alignment vertical="center" wrapText="1"/>
    </xf>
    <xf numFmtId="0" fontId="31" fillId="10" borderId="12" xfId="0" applyFont="1" applyFill="1" applyBorder="1" applyAlignment="1">
      <alignment vertical="center" wrapText="1"/>
    </xf>
    <xf numFmtId="0" fontId="10" fillId="0" borderId="12" xfId="0" applyFont="1" applyBorder="1" applyAlignment="1">
      <alignment horizontal="center"/>
    </xf>
    <xf numFmtId="168" fontId="46" fillId="15" borderId="12" xfId="12" applyFont="1" applyFill="1" applyBorder="1" applyAlignment="1"/>
    <xf numFmtId="168" fontId="64" fillId="0" borderId="0" xfId="0" applyNumberFormat="1" applyFont="1"/>
    <xf numFmtId="0" fontId="64" fillId="0" borderId="0" xfId="0" applyFont="1"/>
    <xf numFmtId="172" fontId="64" fillId="0" borderId="0" xfId="0" applyNumberFormat="1" applyFont="1"/>
    <xf numFmtId="0" fontId="25" fillId="16" borderId="12" xfId="0" applyFont="1" applyFill="1" applyBorder="1" applyAlignment="1">
      <alignment horizontal="center" vertical="center" wrapText="1"/>
    </xf>
    <xf numFmtId="0" fontId="26" fillId="16" borderId="12" xfId="0" applyFont="1" applyFill="1" applyBorder="1" applyAlignment="1">
      <alignment horizontal="center" vertical="center" wrapText="1"/>
    </xf>
    <xf numFmtId="0" fontId="60" fillId="15" borderId="12" xfId="0" applyFont="1" applyFill="1" applyBorder="1" applyAlignment="1">
      <alignment horizontal="center" vertical="center" wrapText="1"/>
    </xf>
    <xf numFmtId="0" fontId="61" fillId="15" borderId="12" xfId="0" applyFont="1" applyFill="1" applyBorder="1" applyAlignment="1">
      <alignment horizontal="center" vertical="center" wrapText="1"/>
    </xf>
    <xf numFmtId="0" fontId="10" fillId="0" borderId="12" xfId="0" applyFont="1" applyBorder="1"/>
    <xf numFmtId="0" fontId="25" fillId="10" borderId="12" xfId="0" applyFont="1" applyFill="1" applyBorder="1" applyAlignment="1">
      <alignment horizontal="center" vertical="center" wrapText="1"/>
    </xf>
    <xf numFmtId="0" fontId="39" fillId="0" borderId="39" xfId="0" applyFont="1" applyBorder="1" applyAlignment="1">
      <alignment horizontal="center" vertical="center" wrapText="1"/>
    </xf>
    <xf numFmtId="0" fontId="39" fillId="0" borderId="40" xfId="0" applyFont="1" applyBorder="1" applyAlignment="1">
      <alignment horizontal="center" vertical="center" wrapText="1"/>
    </xf>
    <xf numFmtId="0" fontId="39" fillId="0" borderId="40" xfId="10" applyFill="1" applyBorder="1" applyAlignment="1">
      <alignment horizontal="center" vertical="center" wrapText="1"/>
    </xf>
    <xf numFmtId="0" fontId="39" fillId="0" borderId="41" xfId="10" applyFill="1" applyBorder="1" applyAlignment="1">
      <alignment horizontal="center" vertical="center" wrapText="1"/>
    </xf>
    <xf numFmtId="0" fontId="10" fillId="0" borderId="38" xfId="0" applyFont="1" applyBorder="1" applyAlignment="1">
      <alignment horizontal="left" vertical="top" wrapText="1"/>
    </xf>
    <xf numFmtId="0" fontId="10" fillId="0" borderId="38" xfId="0" applyFont="1" applyBorder="1" applyAlignment="1">
      <alignment horizontal="left" vertical="center" wrapText="1"/>
    </xf>
    <xf numFmtId="0" fontId="9" fillId="0" borderId="38" xfId="0" applyFont="1" applyBorder="1" applyAlignment="1">
      <alignment horizontal="left" vertical="center" wrapText="1"/>
    </xf>
    <xf numFmtId="0" fontId="11" fillId="0" borderId="38" xfId="0" applyFont="1" applyBorder="1" applyAlignment="1">
      <alignment horizontal="left" vertical="center" wrapText="1"/>
    </xf>
    <xf numFmtId="0" fontId="74" fillId="0" borderId="38" xfId="0" applyFont="1" applyBorder="1" applyAlignment="1">
      <alignment horizontal="left" vertical="center" wrapText="1"/>
    </xf>
    <xf numFmtId="0" fontId="11" fillId="17" borderId="38" xfId="0" applyFont="1" applyFill="1" applyBorder="1" applyAlignment="1">
      <alignment horizontal="left" vertical="center" wrapText="1"/>
    </xf>
    <xf numFmtId="0" fontId="74" fillId="17" borderId="38" xfId="0" applyFont="1" applyFill="1" applyBorder="1" applyAlignment="1">
      <alignment horizontal="left" vertical="center" wrapText="1"/>
    </xf>
    <xf numFmtId="0" fontId="10" fillId="17" borderId="38" xfId="0" applyFont="1" applyFill="1" applyBorder="1" applyAlignment="1">
      <alignment horizontal="left" vertical="top" wrapText="1"/>
    </xf>
    <xf numFmtId="0" fontId="46" fillId="0" borderId="25" xfId="0" applyFont="1" applyBorder="1"/>
    <xf numFmtId="0" fontId="46" fillId="0" borderId="26" xfId="0" applyFont="1" applyBorder="1"/>
    <xf numFmtId="0" fontId="46" fillId="0" borderId="27" xfId="0" applyFont="1" applyBorder="1"/>
    <xf numFmtId="0" fontId="46" fillId="0" borderId="28" xfId="0" applyFont="1" applyBorder="1" applyAlignment="1">
      <alignment horizontal="left" vertical="top" wrapText="1"/>
    </xf>
    <xf numFmtId="0" fontId="46" fillId="0" borderId="29" xfId="0" applyFont="1" applyBorder="1"/>
    <xf numFmtId="0" fontId="46" fillId="0" borderId="30" xfId="0" applyFont="1" applyBorder="1"/>
    <xf numFmtId="0" fontId="66" fillId="0" borderId="42" xfId="9" applyFont="1" applyBorder="1" applyAlignment="1">
      <alignment horizontal="left" vertical="center" wrapText="1"/>
    </xf>
    <xf numFmtId="0" fontId="66" fillId="0" borderId="43" xfId="9" applyFont="1" applyBorder="1" applyAlignment="1">
      <alignment horizontal="left" vertical="center" wrapText="1"/>
    </xf>
    <xf numFmtId="0" fontId="66" fillId="0" borderId="44" xfId="9" applyFont="1" applyBorder="1" applyAlignment="1">
      <alignment horizontal="left" vertical="center" wrapText="1"/>
    </xf>
    <xf numFmtId="0" fontId="52" fillId="0" borderId="43" xfId="9" applyFont="1" applyBorder="1" applyAlignment="1">
      <alignment horizontal="center" vertical="center" wrapText="1"/>
    </xf>
    <xf numFmtId="0" fontId="52" fillId="0" borderId="44" xfId="9" applyFont="1" applyBorder="1" applyAlignment="1">
      <alignment horizontal="center" vertical="center" wrapText="1"/>
    </xf>
    <xf numFmtId="0" fontId="0" fillId="0" borderId="46" xfId="9" applyFont="1" applyBorder="1" applyAlignment="1">
      <alignment horizontal="left" vertical="center" wrapText="1"/>
    </xf>
    <xf numFmtId="0" fontId="0" fillId="0" borderId="47" xfId="0" applyBorder="1"/>
    <xf numFmtId="0" fontId="0" fillId="0" borderId="50" xfId="0" applyBorder="1"/>
    <xf numFmtId="0" fontId="0" fillId="0" borderId="53" xfId="0" applyBorder="1"/>
    <xf numFmtId="0" fontId="17" fillId="8" borderId="56" xfId="0" applyFont="1" applyFill="1" applyBorder="1" applyAlignment="1">
      <alignment horizontal="center" vertical="center"/>
    </xf>
    <xf numFmtId="0" fontId="17" fillId="8" borderId="57" xfId="0" applyFont="1" applyFill="1" applyBorder="1" applyAlignment="1">
      <alignment horizontal="center" vertical="center"/>
    </xf>
    <xf numFmtId="0" fontId="19" fillId="0" borderId="61" xfId="2" applyFont="1" applyBorder="1" applyAlignment="1">
      <alignment horizontal="center" vertical="center" wrapText="1"/>
    </xf>
    <xf numFmtId="0" fontId="18" fillId="0" borderId="59" xfId="2" applyFont="1" applyBorder="1" applyAlignment="1">
      <alignment horizontal="left" vertical="center" wrapText="1"/>
    </xf>
    <xf numFmtId="0" fontId="20" fillId="14" borderId="59" xfId="2" applyFont="1" applyFill="1" applyBorder="1" applyAlignment="1">
      <alignment horizontal="left" vertical="center" wrapText="1"/>
    </xf>
    <xf numFmtId="0" fontId="46" fillId="0" borderId="59" xfId="0" applyFont="1" applyBorder="1" applyAlignment="1">
      <alignment horizontal="left" vertical="center"/>
    </xf>
    <xf numFmtId="168" fontId="68" fillId="0" borderId="59" xfId="12" applyFont="1" applyFill="1" applyBorder="1" applyAlignment="1">
      <alignment horizontal="center" vertical="center" wrapText="1"/>
    </xf>
    <xf numFmtId="0" fontId="66" fillId="0" borderId="59" xfId="9" applyFont="1" applyBorder="1" applyAlignment="1">
      <alignment horizontal="left" vertical="center" wrapText="1"/>
    </xf>
    <xf numFmtId="0" fontId="20" fillId="14" borderId="59" xfId="0" applyFont="1" applyFill="1" applyBorder="1" applyAlignment="1">
      <alignment horizontal="left" vertical="center" wrapText="1"/>
    </xf>
    <xf numFmtId="0" fontId="20" fillId="0" borderId="59" xfId="0" applyFont="1" applyBorder="1" applyAlignment="1">
      <alignment horizontal="left" vertical="center" wrapText="1"/>
    </xf>
    <xf numFmtId="0" fontId="17" fillId="8" borderId="63" xfId="0" applyFont="1" applyFill="1" applyBorder="1" applyAlignment="1">
      <alignment horizontal="center"/>
    </xf>
    <xf numFmtId="0" fontId="17" fillId="8" borderId="62" xfId="0" applyFont="1" applyFill="1" applyBorder="1" applyAlignment="1">
      <alignment horizontal="center"/>
    </xf>
    <xf numFmtId="0" fontId="19" fillId="18" borderId="59" xfId="2" applyFont="1" applyFill="1" applyBorder="1" applyAlignment="1">
      <alignment horizontal="center" vertical="center" wrapText="1"/>
    </xf>
    <xf numFmtId="0" fontId="73" fillId="0" borderId="12" xfId="0" applyFont="1" applyBorder="1" applyAlignment="1">
      <alignment horizontal="left" vertical="center"/>
    </xf>
    <xf numFmtId="0" fontId="29" fillId="19" borderId="12" xfId="0" applyFont="1" applyFill="1" applyBorder="1" applyAlignment="1">
      <alignment horizontal="left" vertical="center" wrapText="1"/>
    </xf>
    <xf numFmtId="0" fontId="26" fillId="19" borderId="12" xfId="0" applyFont="1" applyFill="1" applyBorder="1" applyAlignment="1">
      <alignment horizontal="left" vertical="center" wrapText="1"/>
    </xf>
    <xf numFmtId="0" fontId="29" fillId="19" borderId="12" xfId="0" applyFont="1" applyFill="1" applyBorder="1" applyAlignment="1">
      <alignment horizontal="left" vertical="top" wrapText="1"/>
    </xf>
    <xf numFmtId="0" fontId="29" fillId="19" borderId="12" xfId="0" applyFont="1" applyFill="1" applyBorder="1" applyAlignment="1">
      <alignment horizontal="center" vertical="center" wrapText="1"/>
    </xf>
    <xf numFmtId="0" fontId="49" fillId="20" borderId="12" xfId="4" applyFont="1" applyFill="1" applyAlignment="1">
      <alignment vertical="center" wrapText="1"/>
    </xf>
    <xf numFmtId="0" fontId="78" fillId="0" borderId="0" xfId="0" applyFont="1" applyAlignment="1">
      <alignment horizontal="left"/>
    </xf>
    <xf numFmtId="0" fontId="79" fillId="0" borderId="0" xfId="0" applyFont="1" applyAlignment="1">
      <alignment horizontal="left"/>
    </xf>
    <xf numFmtId="0" fontId="80" fillId="0" borderId="0" xfId="0" applyFont="1" applyAlignment="1">
      <alignment horizontal="left"/>
    </xf>
    <xf numFmtId="0" fontId="50" fillId="0" borderId="12" xfId="4" applyFont="1" applyAlignment="1">
      <alignment horizontal="center" vertical="center" wrapText="1"/>
    </xf>
    <xf numFmtId="0" fontId="48" fillId="0" borderId="12" xfId="4" applyFont="1" applyAlignment="1">
      <alignment horizontal="center" vertical="center" wrapText="1"/>
    </xf>
    <xf numFmtId="0" fontId="57" fillId="0" borderId="12" xfId="4" applyFont="1" applyAlignment="1">
      <alignment horizontal="center" vertical="center" wrapText="1"/>
    </xf>
    <xf numFmtId="0" fontId="48" fillId="0" borderId="12" xfId="5" applyFont="1" applyAlignment="1">
      <alignment horizontal="center" vertical="center" wrapText="1"/>
    </xf>
    <xf numFmtId="0" fontId="56" fillId="0" borderId="12" xfId="4" applyFont="1" applyAlignment="1">
      <alignment horizontal="center" vertical="center" wrapText="1"/>
    </xf>
    <xf numFmtId="0" fontId="46" fillId="0" borderId="12" xfId="6" applyAlignment="1">
      <alignment vertical="top" wrapText="1"/>
    </xf>
    <xf numFmtId="0" fontId="5" fillId="0" borderId="12" xfId="4" applyAlignment="1">
      <alignment horizontal="center"/>
    </xf>
    <xf numFmtId="0" fontId="49" fillId="20" borderId="12" xfId="4" applyFont="1" applyFill="1" applyAlignment="1">
      <alignment horizontal="center" vertical="center" wrapText="1"/>
    </xf>
    <xf numFmtId="0" fontId="51" fillId="0" borderId="12" xfId="4" applyFont="1" applyAlignment="1">
      <alignment horizontal="center" vertical="center" wrapText="1"/>
    </xf>
    <xf numFmtId="0" fontId="10" fillId="0" borderId="12" xfId="4" applyFont="1" applyAlignment="1">
      <alignment horizontal="center" vertical="center" wrapText="1"/>
    </xf>
    <xf numFmtId="0" fontId="17" fillId="20" borderId="0" xfId="0" applyFont="1" applyFill="1"/>
    <xf numFmtId="0" fontId="64" fillId="20" borderId="0" xfId="0" applyFont="1" applyFill="1"/>
    <xf numFmtId="0" fontId="65" fillId="20" borderId="0" xfId="0" applyFont="1" applyFill="1"/>
    <xf numFmtId="0" fontId="37" fillId="15" borderId="34" xfId="0" applyFont="1" applyFill="1" applyBorder="1" applyAlignment="1">
      <alignment horizontal="left" vertical="center" wrapText="1"/>
    </xf>
    <xf numFmtId="0" fontId="65" fillId="20" borderId="65" xfId="0" applyFont="1" applyFill="1" applyBorder="1"/>
    <xf numFmtId="0" fontId="65" fillId="20" borderId="66" xfId="0" applyFont="1" applyFill="1" applyBorder="1"/>
    <xf numFmtId="0" fontId="65" fillId="20" borderId="67" xfId="0" applyFont="1" applyFill="1" applyBorder="1"/>
    <xf numFmtId="0" fontId="64" fillId="20" borderId="68" xfId="0" applyFont="1" applyFill="1" applyBorder="1"/>
    <xf numFmtId="0" fontId="64" fillId="20" borderId="12" xfId="0" applyFont="1" applyFill="1" applyBorder="1"/>
    <xf numFmtId="0" fontId="64" fillId="20" borderId="12" xfId="0" applyFont="1" applyFill="1" applyBorder="1" applyAlignment="1">
      <alignment wrapText="1"/>
    </xf>
    <xf numFmtId="0" fontId="65" fillId="20" borderId="12" xfId="0" applyFont="1" applyFill="1" applyBorder="1" applyAlignment="1">
      <alignment wrapText="1"/>
    </xf>
    <xf numFmtId="0" fontId="65" fillId="20" borderId="69" xfId="0" applyFont="1" applyFill="1" applyBorder="1"/>
    <xf numFmtId="0" fontId="77" fillId="20" borderId="70" xfId="0" applyFont="1" applyFill="1" applyBorder="1" applyAlignment="1">
      <alignment horizontal="left" vertical="center" wrapText="1"/>
    </xf>
    <xf numFmtId="0" fontId="28" fillId="0" borderId="71" xfId="0" applyFont="1" applyBorder="1" applyAlignment="1">
      <alignment horizontal="center" vertical="center" wrapText="1"/>
    </xf>
    <xf numFmtId="0" fontId="41" fillId="0" borderId="72" xfId="0" applyFont="1" applyBorder="1" applyAlignment="1">
      <alignment horizontal="left" vertical="center" wrapText="1"/>
    </xf>
    <xf numFmtId="0" fontId="41" fillId="0" borderId="72" xfId="0" applyFont="1" applyBorder="1" applyAlignment="1">
      <alignment horizontal="center" vertical="center" wrapText="1"/>
    </xf>
    <xf numFmtId="0" fontId="41" fillId="15" borderId="72" xfId="0" applyFont="1" applyFill="1" applyBorder="1" applyAlignment="1">
      <alignment horizontal="center" vertical="center" wrapText="1"/>
    </xf>
    <xf numFmtId="0" fontId="19" fillId="5" borderId="72" xfId="2" applyFont="1" applyFill="1" applyBorder="1" applyAlignment="1">
      <alignment horizontal="center" vertical="center" wrapText="1"/>
    </xf>
    <xf numFmtId="0" fontId="28" fillId="0" borderId="72" xfId="0" applyFont="1" applyBorder="1" applyAlignment="1">
      <alignment horizontal="center" vertical="center" wrapText="1"/>
    </xf>
    <xf numFmtId="0" fontId="41" fillId="0" borderId="73" xfId="0" applyFont="1" applyBorder="1" applyAlignment="1">
      <alignment horizontal="center" vertical="center" wrapText="1"/>
    </xf>
    <xf numFmtId="0" fontId="28" fillId="0" borderId="74" xfId="0" applyFont="1" applyBorder="1" applyAlignment="1">
      <alignment horizontal="center" vertical="center" wrapText="1"/>
    </xf>
    <xf numFmtId="0" fontId="41" fillId="0" borderId="75" xfId="0" applyFont="1" applyBorder="1" applyAlignment="1">
      <alignment horizontal="left" vertical="center" wrapText="1"/>
    </xf>
    <xf numFmtId="0" fontId="41" fillId="0" borderId="75" xfId="0" applyFont="1" applyBorder="1" applyAlignment="1">
      <alignment horizontal="center" vertical="center" wrapText="1"/>
    </xf>
    <xf numFmtId="0" fontId="40" fillId="0" borderId="75" xfId="0" applyFont="1" applyBorder="1" applyAlignment="1">
      <alignment horizontal="center" vertical="center" wrapText="1"/>
    </xf>
    <xf numFmtId="0" fontId="19" fillId="5" borderId="75" xfId="2" applyFont="1" applyFill="1" applyBorder="1" applyAlignment="1">
      <alignment horizontal="center" vertical="center" wrapText="1"/>
    </xf>
    <xf numFmtId="0" fontId="28" fillId="0" borderId="75" xfId="0" applyFont="1" applyBorder="1" applyAlignment="1">
      <alignment horizontal="center" vertical="center" wrapText="1"/>
    </xf>
    <xf numFmtId="0" fontId="41" fillId="0" borderId="76" xfId="0" applyFont="1" applyBorder="1" applyAlignment="1">
      <alignment horizontal="center" vertical="center" wrapText="1"/>
    </xf>
    <xf numFmtId="0" fontId="77" fillId="20" borderId="68" xfId="0" applyFont="1" applyFill="1" applyBorder="1" applyAlignment="1">
      <alignment horizontal="left" vertical="center" wrapText="1"/>
    </xf>
    <xf numFmtId="0" fontId="77" fillId="20" borderId="12" xfId="0" applyFont="1" applyFill="1" applyBorder="1" applyAlignment="1">
      <alignment horizontal="left" vertical="center" wrapText="1"/>
    </xf>
    <xf numFmtId="168" fontId="65" fillId="20" borderId="12" xfId="12" applyFont="1" applyFill="1" applyBorder="1" applyAlignment="1">
      <alignment wrapText="1"/>
    </xf>
    <xf numFmtId="0" fontId="29" fillId="15" borderId="78" xfId="0" quotePrefix="1" applyFont="1" applyFill="1" applyBorder="1" applyAlignment="1">
      <alignment horizontal="left" vertical="center" wrapText="1"/>
    </xf>
    <xf numFmtId="0" fontId="29" fillId="15" borderId="81" xfId="0" applyFont="1" applyFill="1" applyBorder="1" applyAlignment="1">
      <alignment horizontal="left" vertical="center" wrapText="1"/>
    </xf>
    <xf numFmtId="0" fontId="27" fillId="0" borderId="81" xfId="0" quotePrefix="1" applyFont="1" applyBorder="1" applyAlignment="1">
      <alignment horizontal="left" vertical="center" wrapText="1"/>
    </xf>
    <xf numFmtId="0" fontId="27" fillId="0" borderId="81" xfId="0" applyFont="1" applyBorder="1" applyAlignment="1">
      <alignment horizontal="left" vertical="center" wrapText="1"/>
    </xf>
    <xf numFmtId="0" fontId="29" fillId="15" borderId="81" xfId="0" quotePrefix="1" applyFont="1" applyFill="1" applyBorder="1" applyAlignment="1">
      <alignment horizontal="left" vertical="center" wrapText="1"/>
    </xf>
    <xf numFmtId="0" fontId="29" fillId="15" borderId="84"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6" fillId="24" borderId="12" xfId="0" applyFont="1" applyFill="1" applyBorder="1" applyAlignment="1">
      <alignment horizontal="left" vertical="center" wrapText="1"/>
    </xf>
    <xf numFmtId="0" fontId="28" fillId="24" borderId="12" xfId="0" applyFont="1" applyFill="1" applyBorder="1" applyAlignment="1">
      <alignment horizontal="left" vertical="center" wrapText="1"/>
    </xf>
    <xf numFmtId="0" fontId="29" fillId="24" borderId="12" xfId="0" applyFont="1" applyFill="1" applyBorder="1" applyAlignment="1">
      <alignment horizontal="left" vertical="center" wrapText="1"/>
    </xf>
    <xf numFmtId="0" fontId="30" fillId="25" borderId="12" xfId="0" applyFont="1" applyFill="1" applyBorder="1" applyAlignment="1">
      <alignment vertical="center" wrapText="1"/>
    </xf>
    <xf numFmtId="0" fontId="31" fillId="25" borderId="12" xfId="0" applyFont="1" applyFill="1" applyBorder="1" applyAlignment="1">
      <alignment vertical="center" wrapText="1"/>
    </xf>
    <xf numFmtId="0" fontId="27" fillId="26" borderId="12" xfId="0" applyFont="1" applyFill="1" applyBorder="1" applyAlignment="1">
      <alignment horizontal="left" vertical="center" wrapText="1"/>
    </xf>
    <xf numFmtId="0" fontId="70" fillId="20" borderId="45" xfId="0" applyFont="1" applyFill="1" applyBorder="1" applyAlignment="1">
      <alignment horizontal="center" vertical="center"/>
    </xf>
    <xf numFmtId="0" fontId="70" fillId="20" borderId="31" xfId="0" applyFont="1" applyFill="1" applyBorder="1" applyAlignment="1">
      <alignment horizontal="center" vertical="center"/>
    </xf>
    <xf numFmtId="0" fontId="70" fillId="20" borderId="32" xfId="0" applyFont="1" applyFill="1" applyBorder="1" applyAlignment="1">
      <alignment horizontal="center" vertical="center"/>
    </xf>
    <xf numFmtId="0" fontId="70" fillId="20" borderId="17" xfId="0" applyFont="1" applyFill="1" applyBorder="1" applyAlignment="1">
      <alignment horizontal="center" vertical="center"/>
    </xf>
    <xf numFmtId="0" fontId="70" fillId="20" borderId="18" xfId="0" applyFont="1" applyFill="1" applyBorder="1" applyAlignment="1">
      <alignment horizontal="center" vertical="center"/>
    </xf>
    <xf numFmtId="0" fontId="70" fillId="20" borderId="18" xfId="0" applyFont="1" applyFill="1" applyBorder="1" applyAlignment="1">
      <alignment horizontal="left" vertical="center"/>
    </xf>
    <xf numFmtId="0" fontId="70" fillId="20" borderId="19" xfId="0" applyFont="1" applyFill="1" applyBorder="1" applyAlignment="1">
      <alignment horizontal="left" vertical="center"/>
    </xf>
    <xf numFmtId="0" fontId="0" fillId="0" borderId="86" xfId="9" applyFont="1" applyBorder="1" applyAlignment="1">
      <alignment horizontal="left" vertical="center" wrapText="1"/>
    </xf>
    <xf numFmtId="0" fontId="0" fillId="0" borderId="87" xfId="0" applyBorder="1"/>
    <xf numFmtId="0" fontId="65" fillId="20" borderId="12" xfId="0" applyFont="1" applyFill="1" applyBorder="1" applyAlignment="1">
      <alignment horizontal="center" vertical="center" wrapText="1"/>
    </xf>
    <xf numFmtId="0" fontId="17" fillId="20" borderId="12" xfId="0" applyFont="1" applyFill="1" applyBorder="1" applyAlignment="1">
      <alignment horizontal="left" vertical="center" wrapText="1"/>
    </xf>
    <xf numFmtId="0" fontId="17" fillId="20" borderId="12" xfId="12" applyNumberFormat="1" applyFont="1" applyFill="1" applyBorder="1" applyAlignment="1">
      <alignment horizontal="left" vertical="center" wrapText="1"/>
    </xf>
    <xf numFmtId="168" fontId="0" fillId="0" borderId="0" xfId="12" applyFont="1" applyFill="1" applyAlignment="1">
      <alignment horizontal="left" vertical="center"/>
    </xf>
    <xf numFmtId="166" fontId="83" fillId="0" borderId="90" xfId="0" applyNumberFormat="1" applyFont="1" applyBorder="1" applyAlignment="1">
      <alignment horizontal="center" vertical="center" wrapText="1"/>
    </xf>
    <xf numFmtId="0" fontId="82" fillId="0" borderId="90" xfId="0" applyFont="1" applyBorder="1" applyAlignment="1">
      <alignment horizontal="left" vertical="center" wrapText="1"/>
    </xf>
    <xf numFmtId="0" fontId="82" fillId="0" borderId="91" xfId="0" applyFont="1" applyBorder="1" applyAlignment="1">
      <alignment horizontal="left" vertical="center" wrapText="1"/>
    </xf>
    <xf numFmtId="0" fontId="45" fillId="0" borderId="92" xfId="14" applyFont="1" applyBorder="1" applyAlignment="1">
      <alignment horizontal="center" vertical="center" wrapText="1"/>
    </xf>
    <xf numFmtId="0" fontId="81" fillId="15" borderId="91" xfId="0" applyFont="1" applyFill="1" applyBorder="1" applyAlignment="1">
      <alignment horizontal="left" vertical="center" wrapText="1"/>
    </xf>
    <xf numFmtId="166" fontId="83" fillId="0" borderId="91" xfId="0" applyNumberFormat="1" applyFont="1" applyBorder="1" applyAlignment="1">
      <alignment horizontal="center" vertical="center" wrapText="1"/>
    </xf>
    <xf numFmtId="0" fontId="64" fillId="20" borderId="0" xfId="0" applyFont="1" applyFill="1" applyAlignment="1">
      <alignment horizontal="right" vertical="center"/>
    </xf>
    <xf numFmtId="170" fontId="64" fillId="20" borderId="12" xfId="0" applyNumberFormat="1" applyFont="1" applyFill="1" applyBorder="1" applyAlignment="1">
      <alignment horizontal="center" vertical="center"/>
    </xf>
    <xf numFmtId="0" fontId="17" fillId="20" borderId="64" xfId="0" applyFont="1" applyFill="1" applyBorder="1" applyAlignment="1">
      <alignment horizontal="center" vertical="center" wrapText="1"/>
    </xf>
    <xf numFmtId="0" fontId="17" fillId="20" borderId="59" xfId="0" applyFont="1" applyFill="1" applyBorder="1" applyAlignment="1">
      <alignment horizontal="center" vertical="center" wrapText="1"/>
    </xf>
    <xf numFmtId="0" fontId="65" fillId="20" borderId="59" xfId="0" applyFont="1" applyFill="1" applyBorder="1" applyAlignment="1">
      <alignment horizontal="center" vertical="center" wrapText="1"/>
    </xf>
    <xf numFmtId="0" fontId="64" fillId="20" borderId="59" xfId="0" applyFont="1" applyFill="1" applyBorder="1" applyAlignment="1">
      <alignment horizontal="center" vertical="center" wrapText="1"/>
    </xf>
    <xf numFmtId="0" fontId="64" fillId="20" borderId="60" xfId="0" applyFont="1" applyFill="1" applyBorder="1" applyAlignment="1">
      <alignment horizontal="center" vertical="center" wrapText="1"/>
    </xf>
    <xf numFmtId="0" fontId="37" fillId="0" borderId="0" xfId="0" applyFont="1" applyAlignment="1">
      <alignment vertical="center"/>
    </xf>
    <xf numFmtId="0" fontId="80" fillId="0" borderId="0" xfId="0" applyFont="1" applyAlignment="1">
      <alignment horizontal="left" vertical="top"/>
    </xf>
    <xf numFmtId="0" fontId="19" fillId="22" borderId="58" xfId="2" applyFont="1" applyFill="1" applyBorder="1" applyAlignment="1">
      <alignment horizontal="center" vertical="center" wrapText="1"/>
    </xf>
    <xf numFmtId="0" fontId="21" fillId="28" borderId="59" xfId="2" applyFont="1" applyFill="1" applyBorder="1" applyAlignment="1">
      <alignment vertical="center" wrapText="1"/>
    </xf>
    <xf numFmtId="0" fontId="45" fillId="15" borderId="59" xfId="14" applyFont="1" applyFill="1" applyBorder="1" applyAlignment="1">
      <alignment vertical="center" wrapText="1"/>
    </xf>
    <xf numFmtId="0" fontId="69" fillId="29" borderId="48" xfId="0" applyFont="1" applyFill="1" applyBorder="1" applyAlignment="1">
      <alignment horizontal="center" vertical="center"/>
    </xf>
    <xf numFmtId="0" fontId="0" fillId="29" borderId="48" xfId="0" applyFill="1" applyBorder="1" applyAlignment="1">
      <alignment horizontal="center" vertical="center"/>
    </xf>
    <xf numFmtId="173" fontId="0" fillId="29" borderId="48" xfId="7" applyNumberFormat="1" applyFont="1" applyFill="1" applyBorder="1" applyAlignment="1">
      <alignment horizontal="center" vertical="center"/>
    </xf>
    <xf numFmtId="1" fontId="0" fillId="29" borderId="49" xfId="7" quotePrefix="1" applyNumberFormat="1" applyFont="1" applyFill="1" applyBorder="1" applyAlignment="1">
      <alignment horizontal="center" vertical="center"/>
    </xf>
    <xf numFmtId="0" fontId="69" fillId="29" borderId="51" xfId="0" applyFont="1" applyFill="1" applyBorder="1" applyAlignment="1">
      <alignment horizontal="center" vertical="center"/>
    </xf>
    <xf numFmtId="0" fontId="0" fillId="29" borderId="51" xfId="0" applyFill="1" applyBorder="1" applyAlignment="1">
      <alignment horizontal="center" vertical="center"/>
    </xf>
    <xf numFmtId="173" fontId="0" fillId="29" borderId="51" xfId="7" applyNumberFormat="1" applyFont="1" applyFill="1" applyBorder="1" applyAlignment="1">
      <alignment horizontal="center" vertical="center"/>
    </xf>
    <xf numFmtId="9" fontId="0" fillId="29" borderId="51" xfId="7" quotePrefix="1" applyFont="1" applyFill="1" applyBorder="1" applyAlignment="1">
      <alignment horizontal="center" vertical="center"/>
    </xf>
    <xf numFmtId="1" fontId="0" fillId="29" borderId="52" xfId="7" quotePrefix="1" applyNumberFormat="1" applyFont="1" applyFill="1" applyBorder="1" applyAlignment="1">
      <alignment horizontal="center" vertical="center"/>
    </xf>
    <xf numFmtId="9" fontId="46" fillId="29" borderId="51" xfId="7" quotePrefix="1" applyFont="1" applyFill="1" applyBorder="1" applyAlignment="1">
      <alignment horizontal="center" vertical="center"/>
    </xf>
    <xf numFmtId="0" fontId="69" fillId="29" borderId="88" xfId="0" applyFont="1" applyFill="1" applyBorder="1" applyAlignment="1">
      <alignment horizontal="center" vertical="center"/>
    </xf>
    <xf numFmtId="0" fontId="0" fillId="29" borderId="88" xfId="0" applyFill="1" applyBorder="1" applyAlignment="1">
      <alignment horizontal="center" vertical="center"/>
    </xf>
    <xf numFmtId="173" fontId="0" fillId="29" borderId="88" xfId="7" applyNumberFormat="1" applyFont="1" applyFill="1" applyBorder="1" applyAlignment="1">
      <alignment horizontal="center" vertical="center"/>
    </xf>
    <xf numFmtId="9" fontId="0" fillId="29" borderId="88" xfId="7" quotePrefix="1" applyFont="1" applyFill="1" applyBorder="1" applyAlignment="1">
      <alignment horizontal="center" vertical="center"/>
    </xf>
    <xf numFmtId="1" fontId="0" fillId="29" borderId="89" xfId="7" quotePrefix="1" applyNumberFormat="1" applyFont="1" applyFill="1" applyBorder="1" applyAlignment="1">
      <alignment horizontal="center" vertical="center"/>
    </xf>
    <xf numFmtId="0" fontId="69" fillId="29" borderId="54" xfId="0" applyFont="1" applyFill="1" applyBorder="1" applyAlignment="1">
      <alignment horizontal="center" vertical="center"/>
    </xf>
    <xf numFmtId="0" fontId="0" fillId="29" borderId="54" xfId="0" applyFill="1" applyBorder="1" applyAlignment="1">
      <alignment horizontal="center" vertical="center"/>
    </xf>
    <xf numFmtId="173" fontId="0" fillId="29" borderId="54" xfId="7" applyNumberFormat="1" applyFont="1" applyFill="1" applyBorder="1" applyAlignment="1">
      <alignment horizontal="center" vertical="center"/>
    </xf>
    <xf numFmtId="9" fontId="0" fillId="29" borderId="54" xfId="7" quotePrefix="1" applyFont="1" applyFill="1" applyBorder="1" applyAlignment="1">
      <alignment horizontal="center" vertical="center"/>
    </xf>
    <xf numFmtId="1" fontId="0" fillId="29" borderId="55" xfId="7" quotePrefix="1" applyNumberFormat="1" applyFont="1" applyFill="1" applyBorder="1" applyAlignment="1">
      <alignment horizontal="center" vertical="center"/>
    </xf>
    <xf numFmtId="0" fontId="19" fillId="0" borderId="73" xfId="0" applyFont="1" applyBorder="1" applyAlignment="1">
      <alignment horizontal="center" vertical="center" wrapText="1"/>
    </xf>
    <xf numFmtId="0" fontId="19" fillId="0" borderId="76" xfId="0" applyFont="1" applyBorder="1" applyAlignment="1">
      <alignment horizontal="center" vertical="center" wrapText="1"/>
    </xf>
    <xf numFmtId="0" fontId="52" fillId="0" borderId="95" xfId="9" applyFont="1" applyBorder="1" applyAlignment="1">
      <alignment horizontal="center" vertical="center"/>
    </xf>
    <xf numFmtId="0" fontId="66" fillId="0" borderId="96" xfId="9" applyFont="1" applyBorder="1" applyAlignment="1">
      <alignment horizontal="left" vertical="center" wrapText="1"/>
    </xf>
    <xf numFmtId="0" fontId="66" fillId="30" borderId="96" xfId="9" applyFont="1" applyFill="1" applyBorder="1" applyAlignment="1">
      <alignment horizontal="left" vertical="center" wrapText="1"/>
    </xf>
    <xf numFmtId="0" fontId="66" fillId="30" borderId="97" xfId="9" applyFont="1" applyFill="1" applyBorder="1" applyAlignment="1">
      <alignment horizontal="left" vertical="center" wrapText="1"/>
    </xf>
    <xf numFmtId="0" fontId="52" fillId="0" borderId="98" xfId="9" applyFont="1" applyBorder="1" applyAlignment="1">
      <alignment horizontal="center" vertical="center"/>
    </xf>
    <xf numFmtId="0" fontId="66" fillId="0" borderId="97" xfId="9" applyFont="1" applyBorder="1" applyAlignment="1">
      <alignment horizontal="left" vertical="center" wrapText="1"/>
    </xf>
    <xf numFmtId="1" fontId="41" fillId="0" borderId="72" xfId="0" applyNumberFormat="1" applyFont="1" applyBorder="1" applyAlignment="1">
      <alignment horizontal="center" vertical="center" wrapText="1"/>
    </xf>
    <xf numFmtId="1" fontId="40" fillId="0" borderId="75" xfId="0" applyNumberFormat="1" applyFont="1" applyBorder="1" applyAlignment="1">
      <alignment horizontal="center" vertical="center" wrapText="1"/>
    </xf>
    <xf numFmtId="166" fontId="37" fillId="0" borderId="0" xfId="0" applyNumberFormat="1" applyFont="1" applyAlignment="1">
      <alignment horizontal="center" vertical="center"/>
    </xf>
    <xf numFmtId="166" fontId="17" fillId="8" borderId="1" xfId="0" applyNumberFormat="1" applyFont="1" applyFill="1" applyBorder="1" applyAlignment="1">
      <alignment horizontal="center" vertical="center"/>
    </xf>
    <xf numFmtId="166" fontId="17" fillId="20" borderId="12" xfId="0" applyNumberFormat="1" applyFont="1" applyFill="1" applyBorder="1" applyAlignment="1">
      <alignment horizontal="center" vertical="center" wrapText="1"/>
    </xf>
    <xf numFmtId="166" fontId="37" fillId="0" borderId="34" xfId="0" applyNumberFormat="1" applyFont="1" applyBorder="1" applyAlignment="1">
      <alignment horizontal="center" vertical="center" wrapText="1"/>
    </xf>
    <xf numFmtId="9" fontId="46" fillId="29" borderId="48" xfId="7" quotePrefix="1" applyFont="1" applyFill="1" applyBorder="1" applyAlignment="1">
      <alignment horizontal="center" vertical="center"/>
    </xf>
    <xf numFmtId="9" fontId="0" fillId="0" borderId="0" xfId="13" applyFont="1" applyAlignment="1"/>
    <xf numFmtId="0" fontId="0" fillId="0" borderId="99" xfId="9" applyFont="1" applyBorder="1" applyAlignment="1">
      <alignment horizontal="left" vertical="center" wrapText="1"/>
    </xf>
    <xf numFmtId="0" fontId="66" fillId="0" borderId="99" xfId="9" applyFont="1" applyBorder="1" applyAlignment="1">
      <alignment horizontal="left" vertical="center" wrapText="1"/>
    </xf>
    <xf numFmtId="0" fontId="0" fillId="30" borderId="100" xfId="9" applyFont="1" applyFill="1" applyBorder="1" applyAlignment="1">
      <alignment horizontal="left" vertical="center" wrapText="1"/>
    </xf>
    <xf numFmtId="0" fontId="0" fillId="30" borderId="99" xfId="9" applyFont="1" applyFill="1" applyBorder="1" applyAlignment="1">
      <alignment horizontal="left" vertical="center" wrapText="1"/>
    </xf>
    <xf numFmtId="0" fontId="0" fillId="0" borderId="100" xfId="9" applyFont="1" applyBorder="1" applyAlignment="1">
      <alignment horizontal="left" vertical="center" wrapText="1"/>
    </xf>
    <xf numFmtId="0" fontId="0" fillId="0" borderId="0" xfId="0" applyAlignment="1">
      <alignment horizontal="center" vertical="center"/>
    </xf>
    <xf numFmtId="1" fontId="46" fillId="0" borderId="60" xfId="11" quotePrefix="1" applyNumberFormat="1" applyFont="1" applyBorder="1" applyAlignment="1">
      <alignment horizontal="center" vertical="center" wrapText="1"/>
    </xf>
    <xf numFmtId="16" fontId="0" fillId="0" borderId="0" xfId="0" applyNumberFormat="1"/>
    <xf numFmtId="0" fontId="0" fillId="0" borderId="36" xfId="0" applyBorder="1" applyAlignment="1">
      <alignment horizontal="left" vertical="center"/>
    </xf>
    <xf numFmtId="0" fontId="82" fillId="0" borderId="91" xfId="32" applyNumberFormat="1" applyFont="1" applyFill="1" applyBorder="1" applyAlignment="1">
      <alignment horizontal="left" vertical="center" wrapText="1"/>
    </xf>
    <xf numFmtId="0" fontId="82" fillId="0" borderId="91" xfId="31" applyFont="1" applyBorder="1" applyAlignment="1">
      <alignment horizontal="left" vertical="center" wrapText="1"/>
    </xf>
    <xf numFmtId="0" fontId="0" fillId="0" borderId="0" xfId="0" applyAlignment="1">
      <alignment vertical="top" wrapText="1"/>
    </xf>
    <xf numFmtId="166" fontId="83" fillId="0" borderId="91" xfId="31" applyNumberFormat="1" applyFont="1" applyBorder="1" applyAlignment="1">
      <alignment horizontal="center" vertical="center" wrapText="1"/>
    </xf>
    <xf numFmtId="0" fontId="57" fillId="0" borderId="91" xfId="32" applyNumberFormat="1" applyFont="1" applyFill="1" applyBorder="1" applyAlignment="1">
      <alignment horizontal="left" vertical="center" wrapText="1"/>
    </xf>
    <xf numFmtId="0" fontId="57" fillId="0" borderId="91" xfId="31" applyFont="1" applyBorder="1" applyAlignment="1">
      <alignment horizontal="left" vertical="center" wrapText="1"/>
    </xf>
    <xf numFmtId="0" fontId="84" fillId="0" borderId="92" xfId="14" applyFont="1" applyBorder="1" applyAlignment="1">
      <alignment horizontal="center" vertical="center" wrapText="1"/>
    </xf>
    <xf numFmtId="0" fontId="82" fillId="0" borderId="90" xfId="32" applyNumberFormat="1" applyFont="1" applyFill="1" applyBorder="1" applyAlignment="1">
      <alignment horizontal="left" vertical="center" wrapText="1"/>
    </xf>
    <xf numFmtId="0" fontId="41" fillId="15" borderId="101" xfId="0" applyFont="1" applyFill="1" applyBorder="1" applyAlignment="1">
      <alignment horizontal="center" vertical="center" wrapText="1"/>
    </xf>
    <xf numFmtId="165" fontId="0" fillId="0" borderId="0" xfId="12" applyNumberFormat="1" applyFont="1" applyAlignment="1"/>
    <xf numFmtId="165" fontId="0" fillId="0" borderId="0" xfId="12" applyNumberFormat="1" applyFont="1" applyFill="1" applyAlignment="1"/>
    <xf numFmtId="165" fontId="0" fillId="15" borderId="12" xfId="12" applyNumberFormat="1" applyFont="1" applyFill="1" applyBorder="1" applyAlignment="1"/>
    <xf numFmtId="165" fontId="0" fillId="0" borderId="12" xfId="12" applyNumberFormat="1" applyFont="1" applyBorder="1" applyAlignment="1"/>
    <xf numFmtId="165" fontId="0" fillId="0" borderId="0" xfId="12" applyNumberFormat="1" applyFont="1" applyAlignment="1">
      <alignment vertical="center"/>
    </xf>
    <xf numFmtId="165" fontId="37" fillId="0" borderId="0" xfId="12" applyNumberFormat="1" applyFont="1" applyAlignment="1">
      <alignment horizontal="center" vertical="center"/>
    </xf>
    <xf numFmtId="165" fontId="0" fillId="0" borderId="93" xfId="12" applyNumberFormat="1" applyFont="1" applyFill="1" applyBorder="1" applyAlignment="1">
      <alignment horizontal="right"/>
    </xf>
    <xf numFmtId="165" fontId="0" fillId="0" borderId="94" xfId="12" applyNumberFormat="1" applyFont="1" applyFill="1" applyBorder="1" applyAlignment="1">
      <alignment horizontal="right"/>
    </xf>
    <xf numFmtId="0" fontId="81" fillId="15" borderId="91" xfId="31" applyFont="1" applyFill="1" applyBorder="1" applyAlignment="1">
      <alignment horizontal="left" vertical="center" wrapText="1"/>
    </xf>
    <xf numFmtId="0" fontId="83" fillId="15" borderId="91" xfId="31" applyFont="1" applyFill="1" applyBorder="1" applyAlignment="1">
      <alignment horizontal="left" vertical="center" wrapText="1"/>
    </xf>
    <xf numFmtId="0" fontId="81" fillId="0" borderId="91" xfId="31" applyFont="1" applyBorder="1" applyAlignment="1">
      <alignment horizontal="left" vertical="center" wrapText="1"/>
    </xf>
    <xf numFmtId="166" fontId="56" fillId="0" borderId="91" xfId="31" applyNumberFormat="1" applyFont="1" applyBorder="1" applyAlignment="1">
      <alignment horizontal="center" vertical="center" wrapText="1"/>
    </xf>
    <xf numFmtId="166" fontId="83" fillId="32" borderId="90" xfId="0" applyNumberFormat="1" applyFont="1" applyFill="1" applyBorder="1" applyAlignment="1">
      <alignment horizontal="center" vertical="center" wrapText="1"/>
    </xf>
    <xf numFmtId="166" fontId="83" fillId="31" borderId="91" xfId="0" applyNumberFormat="1" applyFont="1" applyFill="1" applyBorder="1" applyAlignment="1">
      <alignment horizontal="center" vertical="center" wrapText="1"/>
    </xf>
    <xf numFmtId="166" fontId="81" fillId="0" borderId="91" xfId="31" applyNumberFormat="1" applyFont="1" applyBorder="1" applyAlignment="1">
      <alignment horizontal="center" vertical="center" wrapText="1"/>
    </xf>
    <xf numFmtId="0" fontId="1" fillId="29" borderId="59" xfId="2" applyFont="1" applyFill="1" applyBorder="1" applyAlignment="1">
      <alignment vertical="center" wrapText="1"/>
    </xf>
    <xf numFmtId="0" fontId="26" fillId="34" borderId="0" xfId="0" applyFont="1" applyFill="1" applyAlignment="1">
      <alignment horizontal="center" vertical="center" wrapText="1"/>
    </xf>
    <xf numFmtId="0" fontId="28" fillId="0" borderId="102" xfId="0" applyFont="1" applyBorder="1" applyAlignment="1">
      <alignment horizontal="center" vertical="center" wrapText="1"/>
    </xf>
    <xf numFmtId="0" fontId="40" fillId="0" borderId="103" xfId="0" applyFont="1" applyBorder="1" applyAlignment="1">
      <alignment vertical="center" wrapText="1"/>
    </xf>
    <xf numFmtId="0" fontId="40" fillId="0" borderId="103" xfId="0" applyFont="1" applyBorder="1" applyAlignment="1">
      <alignment horizontal="center" vertical="center" wrapText="1"/>
    </xf>
    <xf numFmtId="0" fontId="40" fillId="34" borderId="103" xfId="0" applyFont="1" applyFill="1" applyBorder="1" applyAlignment="1">
      <alignment horizontal="center" vertical="center" wrapText="1"/>
    </xf>
    <xf numFmtId="0" fontId="21" fillId="33" borderId="103" xfId="0" applyFont="1" applyFill="1" applyBorder="1" applyAlignment="1">
      <alignment horizontal="center" vertical="center" wrapText="1"/>
    </xf>
    <xf numFmtId="0" fontId="28" fillId="0" borderId="104" xfId="0" applyFont="1" applyBorder="1" applyAlignment="1">
      <alignment horizontal="center" vertical="center" wrapText="1"/>
    </xf>
    <xf numFmtId="0" fontId="40" fillId="0" borderId="105" xfId="0" applyFont="1" applyBorder="1" applyAlignment="1">
      <alignment vertical="center" wrapText="1"/>
    </xf>
    <xf numFmtId="0" fontId="40" fillId="0" borderId="105" xfId="0" applyFont="1" applyBorder="1" applyAlignment="1">
      <alignment horizontal="center" vertical="center" wrapText="1"/>
    </xf>
    <xf numFmtId="0" fontId="40" fillId="34" borderId="106" xfId="0" applyFont="1" applyFill="1" applyBorder="1" applyAlignment="1">
      <alignment horizontal="center" vertical="center" wrapText="1"/>
    </xf>
    <xf numFmtId="0" fontId="21" fillId="33" borderId="105" xfId="0" applyFont="1" applyFill="1" applyBorder="1" applyAlignment="1">
      <alignment horizontal="center" vertical="center" wrapText="1"/>
    </xf>
    <xf numFmtId="0" fontId="21" fillId="31" borderId="105" xfId="0" applyFont="1" applyFill="1" applyBorder="1" applyAlignment="1">
      <alignment horizontal="center" vertical="center" wrapText="1"/>
    </xf>
    <xf numFmtId="0" fontId="21" fillId="13" borderId="105" xfId="0" applyFont="1" applyFill="1" applyBorder="1" applyAlignment="1">
      <alignment horizontal="center" vertical="center" wrapText="1"/>
    </xf>
    <xf numFmtId="0" fontId="46" fillId="0" borderId="0" xfId="0" applyFont="1"/>
    <xf numFmtId="9" fontId="0" fillId="0" borderId="0" xfId="13" applyFont="1"/>
    <xf numFmtId="0" fontId="0" fillId="0" borderId="109" xfId="0" applyBorder="1" applyAlignment="1">
      <alignment horizontal="center"/>
    </xf>
    <xf numFmtId="0" fontId="37" fillId="0" borderId="108" xfId="0" applyFont="1" applyBorder="1" applyAlignment="1">
      <alignment horizontal="center" vertical="center"/>
    </xf>
    <xf numFmtId="0" fontId="37" fillId="0" borderId="110" xfId="0" applyFont="1" applyBorder="1" applyAlignment="1">
      <alignment horizontal="center" vertical="center" wrapText="1"/>
    </xf>
    <xf numFmtId="0" fontId="37" fillId="31" borderId="108" xfId="0" applyFont="1" applyFill="1" applyBorder="1" applyAlignment="1">
      <alignment horizontal="center" vertical="center"/>
    </xf>
    <xf numFmtId="0" fontId="0" fillId="31" borderId="0" xfId="0" applyFill="1"/>
    <xf numFmtId="0" fontId="46" fillId="0" borderId="0" xfId="0" quotePrefix="1" applyFont="1"/>
    <xf numFmtId="9" fontId="0" fillId="0" borderId="12" xfId="7" applyFont="1"/>
    <xf numFmtId="164" fontId="0" fillId="0" borderId="0" xfId="0" applyNumberFormat="1"/>
    <xf numFmtId="164" fontId="29" fillId="0" borderId="16" xfId="0" applyNumberFormat="1" applyFont="1" applyBorder="1" applyAlignment="1">
      <alignment horizontal="center" vertical="center" wrapText="1"/>
    </xf>
    <xf numFmtId="164" fontId="29" fillId="0" borderId="24" xfId="0" applyNumberFormat="1" applyFont="1" applyBorder="1" applyAlignment="1">
      <alignment horizontal="center" vertical="center" wrapText="1"/>
    </xf>
    <xf numFmtId="0" fontId="62" fillId="9" borderId="12" xfId="0" applyFont="1" applyFill="1" applyBorder="1"/>
    <xf numFmtId="0" fontId="46" fillId="0" borderId="109" xfId="0" applyFont="1" applyBorder="1" applyAlignment="1">
      <alignment horizontal="center"/>
    </xf>
    <xf numFmtId="0" fontId="10" fillId="17" borderId="38" xfId="0" applyFont="1" applyFill="1" applyBorder="1" applyAlignment="1">
      <alignment horizontal="left" vertical="top" wrapText="1"/>
    </xf>
    <xf numFmtId="0" fontId="65" fillId="20" borderId="0" xfId="0" applyFont="1" applyFill="1" applyAlignment="1">
      <alignment horizontal="center"/>
    </xf>
    <xf numFmtId="0" fontId="10" fillId="0" borderId="0" xfId="0" applyFont="1" applyAlignment="1">
      <alignment horizontal="left" vertical="top" wrapText="1"/>
    </xf>
    <xf numFmtId="0" fontId="26" fillId="34" borderId="12" xfId="0" applyFont="1" applyFill="1" applyBorder="1" applyAlignment="1">
      <alignment horizontal="center" vertical="center" wrapText="1"/>
    </xf>
    <xf numFmtId="0" fontId="26" fillId="34" borderId="107" xfId="0" applyFont="1" applyFill="1" applyBorder="1" applyAlignment="1">
      <alignment horizontal="center" vertical="center" wrapText="1"/>
    </xf>
    <xf numFmtId="0" fontId="21" fillId="34" borderId="12" xfId="0" applyFont="1" applyFill="1" applyBorder="1" applyAlignment="1">
      <alignment horizontal="center" vertical="center" wrapText="1"/>
    </xf>
    <xf numFmtId="0" fontId="21" fillId="34" borderId="107" xfId="0" applyFont="1" applyFill="1" applyBorder="1" applyAlignment="1">
      <alignment horizontal="center" vertical="center" wrapText="1"/>
    </xf>
    <xf numFmtId="0" fontId="45" fillId="0" borderId="14" xfId="1" applyFont="1" applyBorder="1" applyAlignment="1">
      <alignment horizontal="center"/>
    </xf>
    <xf numFmtId="0" fontId="45" fillId="0" borderId="15" xfId="1" applyFont="1" applyBorder="1" applyAlignment="1">
      <alignment horizontal="center"/>
    </xf>
    <xf numFmtId="0" fontId="45" fillId="0" borderId="16" xfId="1" applyFont="1" applyBorder="1" applyAlignment="1">
      <alignment horizontal="center"/>
    </xf>
    <xf numFmtId="10" fontId="27" fillId="0" borderId="12" xfId="13" applyNumberFormat="1" applyFont="1" applyBorder="1" applyAlignment="1">
      <alignment horizontal="center" vertical="center" wrapText="1"/>
    </xf>
    <xf numFmtId="10" fontId="27" fillId="0" borderId="81" xfId="13" applyNumberFormat="1" applyFont="1" applyFill="1" applyBorder="1" applyAlignment="1">
      <alignment horizontal="center" vertical="center" wrapText="1"/>
    </xf>
    <xf numFmtId="171" fontId="27" fillId="0" borderId="81" xfId="13" applyNumberFormat="1" applyFont="1" applyFill="1" applyBorder="1" applyAlignment="1">
      <alignment horizontal="center" vertical="center" wrapText="1"/>
    </xf>
    <xf numFmtId="10" fontId="29" fillId="15" borderId="81" xfId="13" applyNumberFormat="1" applyFont="1" applyFill="1" applyBorder="1" applyAlignment="1">
      <alignment horizontal="center" vertical="center" wrapText="1"/>
    </xf>
    <xf numFmtId="0" fontId="27" fillId="0" borderId="82" xfId="0" applyFont="1" applyBorder="1" applyAlignment="1">
      <alignment horizontal="center" vertical="center" wrapText="1"/>
    </xf>
    <xf numFmtId="0" fontId="29" fillId="15" borderId="82" xfId="0" applyFont="1" applyFill="1" applyBorder="1" applyAlignment="1">
      <alignment horizontal="center" vertical="center" wrapText="1"/>
    </xf>
    <xf numFmtId="1" fontId="27" fillId="0" borderId="82" xfId="13" applyNumberFormat="1" applyFont="1" applyFill="1" applyBorder="1" applyAlignment="1">
      <alignment horizontal="center" vertical="center" wrapText="1"/>
    </xf>
    <xf numFmtId="168" fontId="27" fillId="0" borderId="81" xfId="12" applyFont="1" applyFill="1" applyBorder="1" applyAlignment="1">
      <alignment horizontal="center" vertical="center" wrapText="1"/>
    </xf>
    <xf numFmtId="168" fontId="29" fillId="15" borderId="81" xfId="12" applyFont="1" applyFill="1" applyBorder="1" applyAlignment="1">
      <alignment horizontal="center" vertical="center" wrapText="1"/>
    </xf>
    <xf numFmtId="172" fontId="27" fillId="0" borderId="81" xfId="12" applyNumberFormat="1" applyFont="1" applyFill="1" applyBorder="1" applyAlignment="1">
      <alignment horizontal="center" vertical="center" wrapText="1"/>
    </xf>
    <xf numFmtId="0" fontId="26" fillId="15" borderId="77" xfId="0" applyFont="1" applyFill="1" applyBorder="1" applyAlignment="1">
      <alignment horizontal="left" vertical="center" wrapText="1"/>
    </xf>
    <xf numFmtId="0" fontId="26" fillId="15" borderId="80" xfId="0" applyFont="1" applyFill="1" applyBorder="1" applyAlignment="1">
      <alignment horizontal="left" vertical="center" wrapText="1"/>
    </xf>
    <xf numFmtId="0" fontId="26" fillId="15" borderId="83" xfId="0" applyFont="1" applyFill="1" applyBorder="1" applyAlignment="1">
      <alignment horizontal="left" vertical="center" wrapText="1"/>
    </xf>
    <xf numFmtId="0" fontId="29" fillId="15" borderId="81" xfId="0" applyFont="1" applyFill="1" applyBorder="1" applyAlignment="1">
      <alignment horizontal="center" vertical="center" wrapText="1"/>
    </xf>
    <xf numFmtId="0" fontId="29" fillId="15" borderId="84" xfId="0" applyFont="1" applyFill="1" applyBorder="1" applyAlignment="1">
      <alignment horizontal="center" vertical="center" wrapText="1"/>
    </xf>
    <xf numFmtId="0" fontId="29" fillId="15" borderId="78" xfId="0" applyFont="1" applyFill="1" applyBorder="1" applyAlignment="1">
      <alignment horizontal="center" vertical="center" wrapText="1"/>
    </xf>
    <xf numFmtId="10" fontId="29" fillId="15" borderId="84" xfId="13" applyNumberFormat="1" applyFont="1" applyFill="1" applyBorder="1" applyAlignment="1">
      <alignment horizontal="center" vertical="center" wrapText="1"/>
    </xf>
    <xf numFmtId="171" fontId="29" fillId="15" borderId="78" xfId="13" applyNumberFormat="1" applyFont="1" applyFill="1" applyBorder="1" applyAlignment="1">
      <alignment horizontal="center" vertical="center" wrapText="1"/>
    </xf>
    <xf numFmtId="171" fontId="29" fillId="15" borderId="81" xfId="13" applyNumberFormat="1" applyFont="1" applyFill="1" applyBorder="1" applyAlignment="1">
      <alignment horizontal="center" vertical="center" wrapText="1"/>
    </xf>
    <xf numFmtId="0" fontId="25" fillId="0" borderId="80" xfId="0" applyFont="1" applyBorder="1" applyAlignment="1">
      <alignment horizontal="left" vertical="center" wrapText="1"/>
    </xf>
    <xf numFmtId="0" fontId="12" fillId="0" borderId="80" xfId="0" applyFont="1" applyBorder="1" applyAlignment="1">
      <alignment horizontal="left" vertical="center"/>
    </xf>
    <xf numFmtId="0" fontId="27" fillId="0" borderId="81" xfId="0" applyFont="1" applyBorder="1" applyAlignment="1">
      <alignment horizontal="center" vertical="center" wrapText="1"/>
    </xf>
    <xf numFmtId="0" fontId="12" fillId="15" borderId="80" xfId="0" applyFont="1" applyFill="1" applyBorder="1" applyAlignment="1">
      <alignment horizontal="left" vertical="center"/>
    </xf>
    <xf numFmtId="0" fontId="77" fillId="20" borderId="12" xfId="0" applyFont="1" applyFill="1" applyBorder="1" applyAlignment="1">
      <alignment horizontal="center" vertical="center" wrapText="1"/>
    </xf>
    <xf numFmtId="9" fontId="29" fillId="15" borderId="78" xfId="13" applyFont="1" applyFill="1" applyBorder="1" applyAlignment="1">
      <alignment horizontal="center" vertical="center" wrapText="1"/>
    </xf>
    <xf numFmtId="9" fontId="29" fillId="15" borderId="81" xfId="13" applyFont="1" applyFill="1" applyBorder="1" applyAlignment="1">
      <alignment horizontal="center" vertical="center" wrapText="1"/>
    </xf>
    <xf numFmtId="0" fontId="29" fillId="15" borderId="79" xfId="0" applyFont="1" applyFill="1" applyBorder="1" applyAlignment="1">
      <alignment horizontal="center" vertical="center" wrapText="1"/>
    </xf>
    <xf numFmtId="168" fontId="29" fillId="15" borderId="78" xfId="12" applyFont="1" applyFill="1" applyBorder="1" applyAlignment="1">
      <alignment horizontal="center" vertical="center" wrapText="1"/>
    </xf>
    <xf numFmtId="0" fontId="29" fillId="15" borderId="85" xfId="0" applyFont="1" applyFill="1" applyBorder="1" applyAlignment="1">
      <alignment horizontal="center" vertical="center" wrapText="1"/>
    </xf>
    <xf numFmtId="168" fontId="29" fillId="15" borderId="84" xfId="12" applyFont="1" applyFill="1" applyBorder="1" applyAlignment="1">
      <alignment horizontal="center" vertical="center" wrapText="1"/>
    </xf>
    <xf numFmtId="0" fontId="12" fillId="15" borderId="38" xfId="0" applyFont="1" applyFill="1" applyBorder="1" applyAlignment="1"/>
    <xf numFmtId="0" fontId="10" fillId="3" borderId="12" xfId="0" applyFont="1" applyFill="1" applyBorder="1" applyAlignment="1">
      <alignment horizontal="center"/>
    </xf>
    <xf numFmtId="0" fontId="12" fillId="0" borderId="12" xfId="0" applyFont="1" applyBorder="1" applyAlignment="1"/>
    <xf numFmtId="0" fontId="10" fillId="4" borderId="12" xfId="0" applyFont="1" applyFill="1" applyBorder="1" applyAlignment="1">
      <alignment horizontal="center"/>
    </xf>
    <xf numFmtId="0" fontId="10" fillId="5" borderId="12" xfId="0" applyFont="1" applyFill="1" applyBorder="1" applyAlignment="1">
      <alignment horizontal="center"/>
    </xf>
    <xf numFmtId="9" fontId="10" fillId="3" borderId="12" xfId="0" applyNumberFormat="1" applyFont="1" applyFill="1" applyBorder="1"/>
    <xf numFmtId="0" fontId="0" fillId="0" borderId="0" xfId="0" applyAlignment="1"/>
    <xf numFmtId="0" fontId="10" fillId="4" borderId="12" xfId="0" applyFont="1" applyFill="1" applyBorder="1"/>
    <xf numFmtId="0" fontId="10" fillId="5" borderId="12" xfId="0" applyFont="1" applyFill="1" applyBorder="1"/>
    <xf numFmtId="0" fontId="17" fillId="21" borderId="12" xfId="0" applyFont="1" applyFill="1" applyBorder="1"/>
    <xf numFmtId="0" fontId="19" fillId="5" borderId="7" xfId="0" applyFont="1" applyFill="1" applyBorder="1" applyAlignment="1">
      <alignment horizontal="center" vertical="center" wrapText="1"/>
    </xf>
    <xf numFmtId="9" fontId="10" fillId="5" borderId="12" xfId="0" applyNumberFormat="1" applyFont="1" applyFill="1" applyBorder="1"/>
    <xf numFmtId="9" fontId="10" fillId="4" borderId="12" xfId="0" applyNumberFormat="1" applyFont="1" applyFill="1" applyBorder="1"/>
    <xf numFmtId="0" fontId="10" fillId="3" borderId="12" xfId="0" applyFont="1" applyFill="1" applyBorder="1"/>
    <xf numFmtId="0" fontId="19" fillId="5" borderId="7" xfId="0" applyFont="1" applyFill="1" applyBorder="1" applyAlignment="1">
      <alignment horizontal="left" vertical="center" wrapText="1"/>
    </xf>
    <xf numFmtId="170" fontId="71" fillId="0" borderId="12" xfId="0" applyNumberFormat="1" applyFont="1" applyBorder="1" applyAlignment="1">
      <alignment horizontal="center" vertical="center" wrapText="1"/>
    </xf>
    <xf numFmtId="0" fontId="24" fillId="0" borderId="12" xfId="0" applyFont="1" applyBorder="1" applyAlignment="1">
      <alignment vertical="center"/>
    </xf>
    <xf numFmtId="0" fontId="24" fillId="4" borderId="12" xfId="0" applyFont="1" applyFill="1" applyBorder="1" applyAlignment="1">
      <alignment horizontal="center" wrapText="1"/>
    </xf>
    <xf numFmtId="0" fontId="24" fillId="4" borderId="12" xfId="0" applyFont="1" applyFill="1" applyBorder="1"/>
    <xf numFmtId="0" fontId="20" fillId="9" borderId="7" xfId="0" applyFont="1" applyFill="1" applyBorder="1" applyAlignment="1">
      <alignment horizontal="left" vertical="top" wrapText="1"/>
    </xf>
    <xf numFmtId="0" fontId="20" fillId="4" borderId="7" xfId="0" applyFont="1" applyFill="1" applyBorder="1" applyAlignment="1">
      <alignment horizontal="center" vertical="top" wrapText="1"/>
    </xf>
    <xf numFmtId="0" fontId="20" fillId="4" borderId="7" xfId="0" applyFont="1" applyFill="1" applyBorder="1" applyAlignment="1">
      <alignment horizontal="left" vertical="top" wrapText="1"/>
    </xf>
    <xf numFmtId="0" fontId="46" fillId="4" borderId="12" xfId="0" applyFont="1" applyFill="1" applyBorder="1" applyAlignment="1">
      <alignment wrapText="1"/>
    </xf>
    <xf numFmtId="0" fontId="0" fillId="4" borderId="12" xfId="0" applyFill="1" applyBorder="1" applyAlignment="1">
      <alignment wrapText="1"/>
    </xf>
    <xf numFmtId="0" fontId="19" fillId="4" borderId="7" xfId="0" applyFont="1" applyFill="1" applyBorder="1" applyAlignment="1">
      <alignment horizontal="left" vertical="top" wrapText="1"/>
    </xf>
    <xf numFmtId="0" fontId="46" fillId="4" borderId="12" xfId="0" applyFont="1" applyFill="1" applyBorder="1" applyAlignment="1">
      <alignment horizontal="left" vertical="top" wrapText="1"/>
    </xf>
    <xf numFmtId="0" fontId="46" fillId="4" borderId="12" xfId="0" applyFont="1" applyFill="1" applyBorder="1" applyAlignment="1">
      <alignment vertical="top" wrapText="1"/>
    </xf>
    <xf numFmtId="169" fontId="20" fillId="4" borderId="7" xfId="0" applyNumberFormat="1" applyFont="1" applyFill="1" applyBorder="1" applyAlignment="1">
      <alignment horizontal="center" vertical="top" wrapText="1"/>
    </xf>
    <xf numFmtId="0" fontId="1" fillId="0" borderId="12" xfId="1" applyFont="1"/>
    <xf numFmtId="0" fontId="26" fillId="11" borderId="10" xfId="0" applyFont="1" applyFill="1" applyBorder="1" applyAlignment="1">
      <alignment horizontal="left" vertical="center" wrapText="1"/>
    </xf>
    <xf numFmtId="0" fontId="29" fillId="11" borderId="10" xfId="0" applyFont="1" applyFill="1" applyBorder="1" applyAlignment="1">
      <alignment horizontal="left" vertical="center" wrapText="1"/>
    </xf>
    <xf numFmtId="0" fontId="29" fillId="11" borderId="7" xfId="0" applyFont="1" applyFill="1" applyBorder="1" applyAlignment="1">
      <alignment horizontal="center" vertical="center" wrapText="1"/>
    </xf>
    <xf numFmtId="0" fontId="65" fillId="23" borderId="12" xfId="0" applyFont="1" applyFill="1" applyBorder="1" applyAlignment="1">
      <alignment horizontal="center" vertical="center"/>
    </xf>
    <xf numFmtId="0" fontId="85" fillId="27" borderId="12" xfId="0" applyFont="1" applyFill="1" applyBorder="1" applyAlignment="1">
      <alignment horizontal="center" vertical="center"/>
    </xf>
    <xf numFmtId="0" fontId="72" fillId="27" borderId="12" xfId="0" applyFont="1" applyFill="1" applyBorder="1" applyAlignment="1">
      <alignment horizontal="center" vertical="center"/>
    </xf>
    <xf numFmtId="0" fontId="26" fillId="10" borderId="12" xfId="0" applyFont="1" applyFill="1" applyBorder="1" applyAlignment="1">
      <alignment horizontal="center" vertical="center" wrapText="1"/>
    </xf>
    <xf numFmtId="0" fontId="21" fillId="9" borderId="10" xfId="0" applyFont="1" applyFill="1" applyBorder="1" applyAlignment="1">
      <alignment horizontal="left" vertical="center" wrapText="1"/>
    </xf>
    <xf numFmtId="0" fontId="19" fillId="11" borderId="10" xfId="0" applyFont="1" applyFill="1" applyBorder="1" applyAlignment="1">
      <alignment horizontal="left" vertical="center" wrapText="1"/>
    </xf>
    <xf numFmtId="0" fontId="19" fillId="11" borderId="7" xfId="0" applyFont="1" applyFill="1" applyBorder="1" applyAlignment="1">
      <alignment horizontal="left" vertical="top" wrapText="1"/>
    </xf>
    <xf numFmtId="0" fontId="21" fillId="11" borderId="10" xfId="0" applyFont="1" applyFill="1" applyBorder="1" applyAlignment="1">
      <alignment horizontal="left" vertical="center" wrapText="1"/>
    </xf>
    <xf numFmtId="0" fontId="20" fillId="11" borderId="7" xfId="0" applyFont="1" applyFill="1" applyBorder="1" applyAlignment="1">
      <alignment horizontal="left" vertical="top" wrapText="1"/>
    </xf>
    <xf numFmtId="0" fontId="30" fillId="7" borderId="11" xfId="0" applyFont="1" applyFill="1" applyBorder="1" applyAlignment="1">
      <alignment vertical="center" wrapText="1"/>
    </xf>
    <xf numFmtId="0" fontId="42" fillId="6" borderId="12" xfId="0" applyFont="1" applyFill="1" applyBorder="1" applyAlignment="1">
      <alignment vertical="top" wrapText="1"/>
    </xf>
    <xf numFmtId="0" fontId="42" fillId="6" borderId="12" xfId="0" applyFont="1" applyFill="1" applyBorder="1" applyAlignment="1">
      <alignment horizontal="center" wrapText="1"/>
    </xf>
    <xf numFmtId="0" fontId="9" fillId="2" borderId="12" xfId="0" applyFont="1" applyFill="1" applyBorder="1" applyAlignment="1">
      <alignment horizontal="center" vertical="top" wrapText="1"/>
    </xf>
    <xf numFmtId="0" fontId="9" fillId="12" borderId="12" xfId="0" applyFont="1" applyFill="1" applyBorder="1"/>
    <xf numFmtId="0" fontId="9" fillId="12" borderId="12" xfId="0" applyFont="1" applyFill="1" applyBorder="1" applyAlignment="1">
      <alignment horizontal="center"/>
    </xf>
    <xf numFmtId="0" fontId="10" fillId="12" borderId="12" xfId="0" applyFont="1" applyFill="1" applyBorder="1"/>
    <xf numFmtId="0" fontId="9" fillId="12" borderId="12" xfId="0" applyFont="1" applyFill="1" applyBorder="1" applyAlignment="1">
      <alignment horizontal="center" wrapText="1"/>
    </xf>
  </cellXfs>
  <cellStyles count="34">
    <cellStyle name="Hiperlink" xfId="10" builtinId="8"/>
    <cellStyle name="Moeda" xfId="12" builtinId="4"/>
    <cellStyle name="Moeda 2" xfId="22" xr:uid="{B875858F-BB01-4DD9-8541-5472D1DAAE6F}"/>
    <cellStyle name="Moeda 2 2" xfId="26" xr:uid="{95554116-C452-4F6C-B8FA-4867C1859BFB}"/>
    <cellStyle name="Moeda 3" xfId="20" xr:uid="{39088A15-E911-44DE-9A15-61E10D194EE3}"/>
    <cellStyle name="Moeda 4" xfId="27" xr:uid="{9FE7B60E-D470-421C-AE2B-04233EF2119F}"/>
    <cellStyle name="Moeda 5" xfId="28" xr:uid="{BD92FA1C-B953-4E00-96F3-8BC956F76772}"/>
    <cellStyle name="Moeda 6" xfId="18" xr:uid="{771A50FE-F8C4-485F-BBC7-4ACCD9B0BC14}"/>
    <cellStyle name="Moeda 7" xfId="32" xr:uid="{FF28BE02-0D8F-4C05-98C4-1056A614257E}"/>
    <cellStyle name="Normal" xfId="0" builtinId="0"/>
    <cellStyle name="Normal - Style1" xfId="30" xr:uid="{0C3B1F2F-3B1B-44AF-8C8F-5A10318F95D2}"/>
    <cellStyle name="Normal 2" xfId="1" xr:uid="{2992395C-F1B4-4F2C-A488-B62950D91F70}"/>
    <cellStyle name="Normal 2 2" xfId="9" xr:uid="{97F4D4E1-98E4-4DCC-AFCF-F4BC2D7E9943}"/>
    <cellStyle name="Normal 2 2 2" xfId="15" xr:uid="{814A44C6-BF05-4F6A-BE5D-4D650D8B1877}"/>
    <cellStyle name="Normal 2 3" xfId="8" xr:uid="{4BCE9714-BF41-47A3-BAD9-34DDFEB9EA21}"/>
    <cellStyle name="Normal 2 3 2" xfId="14" xr:uid="{29BE2A3E-7C20-46D3-9676-6C727718EAD0}"/>
    <cellStyle name="Normal 2 3 3" xfId="21" xr:uid="{2777AB8E-A9A2-47C5-9734-74B22B7A01DB}"/>
    <cellStyle name="Normal 3" xfId="2" xr:uid="{1E5C3E2E-4B9F-4010-AEC3-359541B36CE6}"/>
    <cellStyle name="Normal 3 2" xfId="24" xr:uid="{95774ACF-F33E-40B7-8600-7A108328CFAA}"/>
    <cellStyle name="Normal 4" xfId="3" xr:uid="{715C20AA-4F5B-440F-BA8E-8848E6EC0385}"/>
    <cellStyle name="Normal 4 2" xfId="4" xr:uid="{EEBF41E7-7B3D-42A6-8B91-784381D8EF44}"/>
    <cellStyle name="Normal 4 3" xfId="29" xr:uid="{9C7D6E01-400A-42C3-BC7A-D08A315B1889}"/>
    <cellStyle name="Normal 5" xfId="5" xr:uid="{2E344001-813E-430E-AA03-DD5AC9AFCC8A}"/>
    <cellStyle name="Normal 5 2" xfId="6" xr:uid="{59F72A1B-DE46-49F6-BF1D-255B4ACF18AD}"/>
    <cellStyle name="Normal 6" xfId="16" xr:uid="{19C318F5-BB77-44F1-9995-9254847D66B0}"/>
    <cellStyle name="Normal 7" xfId="31" xr:uid="{C522A4D1-7CD6-41CA-86B3-C5186F30C368}"/>
    <cellStyle name="Normal 8" xfId="33" xr:uid="{A00D3F27-405D-4EC9-A241-A8FB9E775ECA}"/>
    <cellStyle name="Porcentagem" xfId="13" builtinId="5"/>
    <cellStyle name="Porcentagem 2" xfId="7" xr:uid="{FBF22080-2B2D-414E-8F0E-A7692572D909}"/>
    <cellStyle name="Porcentagem 2 2" xfId="25" xr:uid="{E8BFC110-56AF-44CF-83E4-B072C71E5C76}"/>
    <cellStyle name="Porcentagem 3" xfId="19" xr:uid="{B4D68E96-26A4-4068-8EE8-905AB16AB0C0}"/>
    <cellStyle name="Vírgula" xfId="11" builtinId="3"/>
    <cellStyle name="Vírgula 2" xfId="23" xr:uid="{AB6902D8-531D-4CFC-9936-99175A13BA31}"/>
    <cellStyle name="Vírgula 3" xfId="17" xr:uid="{5165BD6F-5473-4FE1-B393-D6517C7B9EFE}"/>
  </cellStyles>
  <dxfs count="192">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b/>
        <i val="0"/>
      </font>
      <fill>
        <patternFill>
          <bgColor rgb="FFFF0000"/>
        </patternFill>
      </fill>
    </dxf>
    <dxf>
      <font>
        <b/>
        <i val="0"/>
      </font>
      <fill>
        <patternFill>
          <bgColor rgb="FFFFFF00"/>
        </patternFill>
      </fill>
    </dxf>
    <dxf>
      <font>
        <b/>
        <i val="0"/>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b/>
        <i val="0"/>
        <color rgb="FFFF0000"/>
      </font>
    </dxf>
    <dxf>
      <font>
        <color rgb="FF9C5700"/>
      </font>
      <fill>
        <patternFill>
          <bgColor rgb="FFE7DC9D"/>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diagonalUp="0" diagonalDown="0">
        <left style="thin">
          <color theme="1"/>
        </left>
        <right style="thin">
          <color theme="1"/>
        </right>
        <top style="thin">
          <color theme="1"/>
        </top>
        <bottom style="thin">
          <color theme="1"/>
        </bottom>
      </border>
    </dxf>
    <dxf>
      <fill>
        <patternFill patternType="none">
          <fgColor indexed="64"/>
          <bgColor auto="1"/>
        </patternFill>
      </fill>
    </dxf>
    <dxf>
      <font>
        <b val="0"/>
        <i val="0"/>
        <strike val="0"/>
        <condense val="0"/>
        <extend val="0"/>
        <outline val="0"/>
        <shadow val="0"/>
        <u val="none"/>
        <vertAlign val="baseline"/>
        <sz val="10"/>
        <color rgb="FFFFFFFF"/>
        <name val="Calibri Light"/>
        <family val="2"/>
        <scheme val="none"/>
      </font>
      <fill>
        <patternFill patternType="solid">
          <fgColor indexed="64"/>
          <bgColor rgb="FF273A77"/>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i val="0"/>
        <strike val="0"/>
        <condense val="0"/>
        <extend val="0"/>
        <outline val="0"/>
        <shadow val="0"/>
        <u val="none"/>
        <vertAlign val="baseline"/>
        <sz val="11"/>
        <color rgb="FFFF0000"/>
        <name val="Webdings"/>
        <family val="1"/>
        <charset val="2"/>
        <scheme val="none"/>
      </font>
      <fill>
        <patternFill patternType="solid">
          <fgColor indexed="64"/>
          <bgColor rgb="FFD9E2F3"/>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ajor"/>
      </font>
      <fill>
        <patternFill patternType="solid">
          <fgColor indexed="64"/>
          <bgColor rgb="FFD9E2F3"/>
        </patternFill>
      </fill>
      <alignment horizontal="center" vertical="center" textRotation="0" wrapText="1" indent="0" justifyLastLine="0" shrinkToFit="0" readingOrder="0"/>
    </dxf>
    <dxf>
      <font>
        <b/>
        <i val="0"/>
        <strike val="0"/>
        <condense val="0"/>
        <extend val="0"/>
        <outline val="0"/>
        <shadow val="0"/>
        <u val="none"/>
        <vertAlign val="baseline"/>
        <sz val="11"/>
        <color rgb="FFFF0000"/>
        <name val="Webdings"/>
        <family val="1"/>
        <charset val="2"/>
        <scheme val="none"/>
      </font>
      <fill>
        <patternFill patternType="solid">
          <fgColor indexed="64"/>
          <bgColor rgb="FFD9E2F3"/>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0"/>
        <color rgb="FFFFFFFF"/>
        <name val="Calibri Light"/>
        <family val="2"/>
        <scheme val="none"/>
      </font>
      <fill>
        <patternFill patternType="solid">
          <fgColor indexed="64"/>
          <bgColor rgb="FF273A77"/>
        </patternFill>
      </fill>
      <alignment horizontal="general" vertical="center" textRotation="0" wrapText="1" indent="0" justifyLastLine="0" shrinkToFit="0" readingOrder="0"/>
    </dxf>
    <dxf>
      <fill>
        <patternFill>
          <bgColor theme="6" tint="0.79998168889431442"/>
        </patternFill>
      </fill>
    </dxf>
    <dxf>
      <fill>
        <patternFill patternType="solid">
          <bgColor theme="4" tint="0.79998168889431442"/>
        </patternFill>
      </fill>
    </dxf>
  </dxfs>
  <tableStyles count="2" defaultTableStyle="TableStyleMedium2" defaultPivotStyle="PivotStyleLight16">
    <tableStyle name="Estilo de Tabela 1" pivot="0" count="1" xr9:uid="{122A234F-5BE6-4862-92DB-C4F77089C4FA}">
      <tableStyleElement type="wholeTable" dxfId="191"/>
    </tableStyle>
    <tableStyle name="Estilo de Tabela 2" pivot="0" count="1" xr9:uid="{2B21A1AE-EB04-421A-8AF7-55AC5022C162}">
      <tableStyleElement type="wholeTable" dxfId="190"/>
    </tableStyle>
  </tableStyles>
  <colors>
    <mruColors>
      <color rgb="FFF3825F"/>
      <color rgb="FF273A77"/>
      <color rgb="FF418AB3"/>
      <color rgb="FF39799D"/>
      <color rgb="FF27536B"/>
      <color rgb="FF316886"/>
      <color rgb="FFE9DE8F"/>
      <color rgb="FFDBDDEF"/>
      <color rgb="FFD0D8F0"/>
      <color rgb="FFE7DC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400" b="0" i="0">
                <a:solidFill>
                  <a:srgbClr val="757575"/>
                </a:solidFill>
                <a:latin typeface="+mn-lt"/>
              </a:defRPr>
            </a:pPr>
            <a:r>
              <a:rPr lang="pt-BR" sz="1400" b="0" i="0">
                <a:solidFill>
                  <a:srgbClr val="757575"/>
                </a:solidFill>
                <a:latin typeface="+mn-lt"/>
              </a:rPr>
              <a:t>Gráfico de Aprovações</a:t>
            </a:r>
          </a:p>
        </c:rich>
      </c:tx>
      <c:overlay val="0"/>
    </c:title>
    <c:autoTitleDeleted val="0"/>
    <c:plotArea>
      <c:layout/>
      <c:doughnutChart>
        <c:varyColors val="1"/>
        <c:ser>
          <c:idx val="0"/>
          <c:order val="0"/>
          <c:dPt>
            <c:idx val="0"/>
            <c:bubble3D val="0"/>
            <c:spPr>
              <a:solidFill>
                <a:srgbClr val="FF0000"/>
              </a:solidFill>
            </c:spPr>
            <c:extLst>
              <c:ext xmlns:c16="http://schemas.microsoft.com/office/drawing/2014/chart" uri="{C3380CC4-5D6E-409C-BE32-E72D297353CC}">
                <c16:uniqueId val="{00000001-4071-47CC-8D36-D3484A9BA376}"/>
              </c:ext>
            </c:extLst>
          </c:dPt>
          <c:dPt>
            <c:idx val="1"/>
            <c:bubble3D val="0"/>
            <c:spPr>
              <a:solidFill>
                <a:srgbClr val="FFFF00"/>
              </a:solidFill>
            </c:spPr>
            <c:extLst>
              <c:ext xmlns:c16="http://schemas.microsoft.com/office/drawing/2014/chart" uri="{C3380CC4-5D6E-409C-BE32-E72D297353CC}">
                <c16:uniqueId val="{00000003-4071-47CC-8D36-D3484A9BA376}"/>
              </c:ext>
            </c:extLst>
          </c:dPt>
          <c:dPt>
            <c:idx val="2"/>
            <c:bubble3D val="0"/>
            <c:spPr>
              <a:solidFill>
                <a:srgbClr val="92D050"/>
              </a:solidFill>
            </c:spPr>
            <c:extLst>
              <c:ext xmlns:c16="http://schemas.microsoft.com/office/drawing/2014/chart" uri="{C3380CC4-5D6E-409C-BE32-E72D297353CC}">
                <c16:uniqueId val="{00000005-4071-47CC-8D36-D3484A9BA376}"/>
              </c:ext>
            </c:extLst>
          </c:dPt>
          <c:dPt>
            <c:idx val="3"/>
            <c:bubble3D val="0"/>
            <c:spPr>
              <a:solidFill>
                <a:srgbClr val="FFC000"/>
              </a:solidFill>
            </c:spPr>
            <c:extLst>
              <c:ext xmlns:c16="http://schemas.microsoft.com/office/drawing/2014/chart" uri="{C3380CC4-5D6E-409C-BE32-E72D297353CC}">
                <c16:uniqueId val="{00000007-4071-47CC-8D36-D3484A9BA376}"/>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VELOCIMETRO!$D$2:$D$5</c:f>
              <c:strCache>
                <c:ptCount val="3"/>
                <c:pt idx="0">
                  <c:v>Não Aprova</c:v>
                </c:pt>
                <c:pt idx="1">
                  <c:v>Aprova c/Ressalva</c:v>
                </c:pt>
                <c:pt idx="2">
                  <c:v>Aprova</c:v>
                </c:pt>
              </c:strCache>
            </c:strRef>
          </c:cat>
          <c:val>
            <c:numRef>
              <c:f>VELOCIMETRO!$E$2:$E$5</c:f>
              <c:numCache>
                <c:formatCode>0%</c:formatCode>
                <c:ptCount val="4"/>
                <c:pt idx="0">
                  <c:v>0.125</c:v>
                </c:pt>
                <c:pt idx="1">
                  <c:v>0.125</c:v>
                </c:pt>
                <c:pt idx="2">
                  <c:v>0.25</c:v>
                </c:pt>
                <c:pt idx="3">
                  <c:v>0.5</c:v>
                </c:pt>
              </c:numCache>
            </c:numRef>
          </c:val>
          <c:extLst>
            <c:ext xmlns:c16="http://schemas.microsoft.com/office/drawing/2014/chart" uri="{C3380CC4-5D6E-409C-BE32-E72D297353CC}">
              <c16:uniqueId val="{00000008-4071-47CC-8D36-D3484A9BA376}"/>
            </c:ext>
          </c:extLst>
        </c:ser>
        <c:dLbls>
          <c:showLegendKey val="0"/>
          <c:showVal val="0"/>
          <c:showCatName val="0"/>
          <c:showSerName val="0"/>
          <c:showPercent val="0"/>
          <c:showBubbleSize val="0"/>
          <c:showLeaderLines val="1"/>
        </c:dLbls>
        <c:firstSliceAng val="0"/>
        <c:holeSize val="50"/>
      </c:doughnutChart>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600" b="1" i="0">
                <a:solidFill>
                  <a:srgbClr val="757575"/>
                </a:solidFill>
                <a:latin typeface="+mn-lt"/>
              </a:defRPr>
            </a:pPr>
            <a:r>
              <a:rPr lang="pt-BR" sz="1600" b="1" i="0">
                <a:solidFill>
                  <a:srgbClr val="757575"/>
                </a:solidFill>
                <a:latin typeface="+mn-lt"/>
              </a:rPr>
              <a:t>Quantidade de Pontos</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FF0000"/>
              </a:solidFill>
            </c:spPr>
            <c:extLst>
              <c:ext xmlns:c16="http://schemas.microsoft.com/office/drawing/2014/chart" uri="{C3380CC4-5D6E-409C-BE32-E72D297353CC}">
                <c16:uniqueId val="{00000001-D5F7-458D-A0D5-BF945EB1F470}"/>
              </c:ext>
            </c:extLst>
          </c:dPt>
          <c:dPt>
            <c:idx val="1"/>
            <c:bubble3D val="0"/>
            <c:spPr>
              <a:solidFill>
                <a:srgbClr val="FFFF00"/>
              </a:solidFill>
            </c:spPr>
            <c:extLst>
              <c:ext xmlns:c16="http://schemas.microsoft.com/office/drawing/2014/chart" uri="{C3380CC4-5D6E-409C-BE32-E72D297353CC}">
                <c16:uniqueId val="{00000003-D5F7-458D-A0D5-BF945EB1F470}"/>
              </c:ext>
            </c:extLst>
          </c:dPt>
          <c:dPt>
            <c:idx val="2"/>
            <c:bubble3D val="0"/>
            <c:spPr>
              <a:solidFill>
                <a:srgbClr val="92D050"/>
              </a:solidFill>
            </c:spPr>
            <c:extLst>
              <c:ext xmlns:c16="http://schemas.microsoft.com/office/drawing/2014/chart" uri="{C3380CC4-5D6E-409C-BE32-E72D297353CC}">
                <c16:uniqueId val="{00000005-D5F7-458D-A0D5-BF945EB1F470}"/>
              </c:ext>
            </c:extLst>
          </c:dPt>
          <c:dLbls>
            <c:dLbl>
              <c:idx val="0"/>
              <c:tx>
                <c:rich>
                  <a:bodyPr/>
                  <a:lstStyle/>
                  <a:p>
                    <a:r>
                      <a:rPr lang="en-US" b="0">
                        <a:solidFill>
                          <a:srgbClr val="000000"/>
                        </a:solidFill>
                        <a:latin typeface="+mn-lt"/>
                      </a:rPr>
                      <a:t>[NOME DA CATEGORIA]; [VALOR]; [PORCENTAGEM]</a:t>
                    </a: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5F7-458D-A0D5-BF945EB1F470}"/>
                </c:ext>
              </c:extLst>
            </c:dLbl>
            <c:dLbl>
              <c:idx val="1"/>
              <c:tx>
                <c:rich>
                  <a:bodyPr/>
                  <a:lstStyle/>
                  <a:p>
                    <a:r>
                      <a:rPr lang="en-US" b="0">
                        <a:solidFill>
                          <a:srgbClr val="000000"/>
                        </a:solidFill>
                        <a:latin typeface="+mn-lt"/>
                      </a:rPr>
                      <a:t>[NOME DA CATEGORIA]; [VALOR]; [PORCENTAGEM]</a:t>
                    </a: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5F7-458D-A0D5-BF945EB1F470}"/>
                </c:ext>
              </c:extLst>
            </c:dLbl>
            <c:dLbl>
              <c:idx val="2"/>
              <c:tx>
                <c:rich>
                  <a:bodyPr/>
                  <a:lstStyle/>
                  <a:p>
                    <a:r>
                      <a:rPr lang="en-US" b="0">
                        <a:solidFill>
                          <a:srgbClr val="000000"/>
                        </a:solidFill>
                        <a:latin typeface="+mn-lt"/>
                      </a:rPr>
                      <a:t>[NOME DA CATEGORIA]; [VALOR]; [PORCENTAGEM]</a:t>
                    </a: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5F7-458D-A0D5-BF945EB1F470}"/>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cat>
            <c:strRef>
              <c:f>VELOCIMETRO!$I$21:$I$23</c:f>
              <c:strCache>
                <c:ptCount val="3"/>
                <c:pt idx="0">
                  <c:v>Alto</c:v>
                </c:pt>
                <c:pt idx="1">
                  <c:v>Médio</c:v>
                </c:pt>
                <c:pt idx="2">
                  <c:v>Baixo</c:v>
                </c:pt>
              </c:strCache>
            </c:strRef>
          </c:cat>
          <c:val>
            <c:numRef>
              <c:f>VELOCIMETRO!$J$21:$J$23</c:f>
              <c:numCache>
                <c:formatCode>General</c:formatCode>
                <c:ptCount val="3"/>
                <c:pt idx="0">
                  <c:v>8</c:v>
                </c:pt>
                <c:pt idx="1">
                  <c:v>3</c:v>
                </c:pt>
                <c:pt idx="2">
                  <c:v>2</c:v>
                </c:pt>
              </c:numCache>
            </c:numRef>
          </c:val>
          <c:extLst>
            <c:ext xmlns:c16="http://schemas.microsoft.com/office/drawing/2014/chart" uri="{C3380CC4-5D6E-409C-BE32-E72D297353CC}">
              <c16:uniqueId val="{00000006-D5F7-458D-A0D5-BF945EB1F470}"/>
            </c:ext>
          </c:extLst>
        </c:ser>
        <c:dLbls>
          <c:showLegendKey val="0"/>
          <c:showVal val="0"/>
          <c:showCatName val="0"/>
          <c:showSerName val="0"/>
          <c:showPercent val="0"/>
          <c:showBubbleSize val="0"/>
          <c:showLeaderLines val="1"/>
        </c:dLbls>
      </c:pie3DChart>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pt-BR"/>
              <a:t>QuaNTIDADE</a:t>
            </a:r>
            <a:r>
              <a:rPr lang="pt-BR" baseline="0"/>
              <a:t> DE PONTOS</a:t>
            </a:r>
            <a:endParaRPr lang="pt-B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solidFill>
              <a:srgbClr val="92D050"/>
            </a:solidFill>
          </c:spPr>
          <c:explosion val="3"/>
          <c:dPt>
            <c:idx val="0"/>
            <c:bubble3D val="0"/>
            <c:spPr>
              <a:solidFill>
                <a:srgbClr val="92D050"/>
              </a:solidFill>
              <a:ln>
                <a:solidFill>
                  <a:schemeClr val="tx1">
                    <a:lumMod val="15000"/>
                    <a:lumOff val="85000"/>
                  </a:schemeClr>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tx1">
                    <a:lumMod val="15000"/>
                    <a:lumOff val="85000"/>
                  </a:schemeClr>
                </a:contourClr>
              </a:sp3d>
            </c:spPr>
            <c:extLst>
              <c:ext xmlns:c16="http://schemas.microsoft.com/office/drawing/2014/chart" uri="{C3380CC4-5D6E-409C-BE32-E72D297353CC}">
                <c16:uniqueId val="{00000001-064E-4B00-A201-96FD3B7E155F}"/>
              </c:ext>
            </c:extLst>
          </c:dPt>
          <c:dPt>
            <c:idx val="1"/>
            <c:bubble3D val="0"/>
            <c:spPr>
              <a:solidFill>
                <a:srgbClr val="FFFF00"/>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extLst>
              <c:ext xmlns:c16="http://schemas.microsoft.com/office/drawing/2014/chart" uri="{C3380CC4-5D6E-409C-BE32-E72D297353CC}">
                <c16:uniqueId val="{00000003-064E-4B00-A201-96FD3B7E155F}"/>
              </c:ext>
            </c:extLst>
          </c:dPt>
          <c:dPt>
            <c:idx val="2"/>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64E-4B00-A201-96FD3B7E155F}"/>
              </c:ext>
            </c:extLst>
          </c:dPt>
          <c:dLbls>
            <c:dLbl>
              <c:idx val="0"/>
              <c:layout>
                <c:manualLayout>
                  <c:x val="-9.0337345458612589E-5"/>
                  <c:y val="0.4685332533783379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r>
                      <a:rPr lang="en-US" baseline="0">
                        <a:solidFill>
                          <a:sysClr val="windowText" lastClr="000000"/>
                        </a:solidFill>
                      </a:rPr>
                      <a:t>Baixo Impacto</a:t>
                    </a:r>
                  </a:p>
                  <a:p>
                    <a:pPr>
                      <a:defRPr>
                        <a:solidFill>
                          <a:sysClr val="windowText" lastClr="000000"/>
                        </a:solidFill>
                      </a:defRPr>
                    </a:pPr>
                    <a:fld id="{F54EA15C-7A38-4F57-83E7-24897E0878DA}" type="VALUE">
                      <a:rPr lang="en-US" baseline="0">
                        <a:solidFill>
                          <a:sysClr val="windowText" lastClr="000000"/>
                        </a:solidFill>
                      </a:rPr>
                      <a:pPr>
                        <a:defRPr>
                          <a:solidFill>
                            <a:sysClr val="windowText" lastClr="000000"/>
                          </a:solidFill>
                        </a:defRPr>
                      </a:pPr>
                      <a:t>[]</a:t>
                    </a:fld>
                    <a:r>
                      <a:rPr lang="en-US" baseline="0">
                        <a:solidFill>
                          <a:sysClr val="windowText" lastClr="000000"/>
                        </a:solidFill>
                      </a:rPr>
                      <a:t>; </a:t>
                    </a:r>
                    <a:fld id="{4C433C74-3AFE-49FD-8937-658B7F64FA0B}" type="PERCENTAGE">
                      <a:rPr lang="en-US" baseline="0">
                        <a:solidFill>
                          <a:sysClr val="windowText" lastClr="000000"/>
                        </a:solidFill>
                      </a:rPr>
                      <a:pPr>
                        <a:defRPr>
                          <a:solidFill>
                            <a:sysClr val="windowText" lastClr="000000"/>
                          </a:solidFill>
                        </a:defRPr>
                      </a:pPr>
                      <a:t>[]</a:t>
                    </a:fld>
                    <a:endParaRPr lang="en-US"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34274374814458786"/>
                      <c:h val="0.16783362583760691"/>
                    </c:manualLayout>
                  </c15:layout>
                  <c15:dlblFieldTable/>
                  <c15:showDataLabelsRange val="0"/>
                </c:ext>
                <c:ext xmlns:c16="http://schemas.microsoft.com/office/drawing/2014/chart" uri="{C3380CC4-5D6E-409C-BE32-E72D297353CC}">
                  <c16:uniqueId val="{00000001-064E-4B00-A201-96FD3B7E155F}"/>
                </c:ext>
              </c:extLst>
            </c:dLbl>
            <c:dLbl>
              <c:idx val="1"/>
              <c:layout>
                <c:manualLayout>
                  <c:x val="-8.0458923244205144E-2"/>
                  <c:y val="5.4151624548736461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r>
                      <a:rPr lang="en-US"/>
                      <a:t>Médio Impacto</a:t>
                    </a:r>
                    <a:endParaRPr lang="en-US" baseline="0"/>
                  </a:p>
                  <a:p>
                    <a:pPr>
                      <a:defRPr>
                        <a:solidFill>
                          <a:sysClr val="windowText" lastClr="000000"/>
                        </a:solidFill>
                      </a:defRPr>
                    </a:pPr>
                    <a:r>
                      <a:rPr lang="en-US" baseline="0"/>
                      <a:t> </a:t>
                    </a:r>
                    <a:fld id="{4D261782-F3CF-4AC7-BDCB-3F6ACAB4D1F3}" type="VALUE">
                      <a:rPr lang="en-US" baseline="0"/>
                      <a:pPr>
                        <a:defRPr>
                          <a:solidFill>
                            <a:sysClr val="windowText" lastClr="000000"/>
                          </a:solidFill>
                        </a:defRPr>
                      </a:pPr>
                      <a:t>[]</a:t>
                    </a:fld>
                    <a:r>
                      <a:rPr lang="en-US" baseline="0"/>
                      <a:t>; </a:t>
                    </a:r>
                    <a:fld id="{CEF675BB-94CE-4727-A3AB-0A6BCFA847F0}" type="PERCENTAGE">
                      <a:rPr lang="en-US" baseline="0"/>
                      <a:pPr>
                        <a:defRPr>
                          <a:solidFill>
                            <a:sysClr val="windowText" lastClr="000000"/>
                          </a:solidFill>
                        </a:defRPr>
                      </a:pPr>
                      <a:t>[]</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7475964392526916"/>
                      <c:h val="0.17876822820432645"/>
                    </c:manualLayout>
                  </c15:layout>
                  <c15:dlblFieldTable/>
                  <c15:showDataLabelsRange val="0"/>
                </c:ext>
                <c:ext xmlns:c16="http://schemas.microsoft.com/office/drawing/2014/chart" uri="{C3380CC4-5D6E-409C-BE32-E72D297353CC}">
                  <c16:uniqueId val="{00000003-064E-4B00-A201-96FD3B7E155F}"/>
                </c:ext>
              </c:extLst>
            </c:dLbl>
            <c:dLbl>
              <c:idx val="2"/>
              <c:layout>
                <c:manualLayout>
                  <c:x val="5.0593025443558939E-2"/>
                  <c:y val="-1.1695346515646908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r>
                      <a:rPr lang="en-US" baseline="0">
                        <a:solidFill>
                          <a:sysClr val="windowText" lastClr="000000"/>
                        </a:solidFill>
                      </a:rPr>
                      <a:t>Alto Impacto</a:t>
                    </a:r>
                  </a:p>
                  <a:p>
                    <a:pPr>
                      <a:defRPr>
                        <a:solidFill>
                          <a:sysClr val="windowText" lastClr="000000"/>
                        </a:solidFill>
                      </a:defRPr>
                    </a:pPr>
                    <a:fld id="{79D9C166-BE0F-4445-8769-F59A0635438E}" type="VALUE">
                      <a:rPr lang="en-US" baseline="0">
                        <a:solidFill>
                          <a:sysClr val="windowText" lastClr="000000"/>
                        </a:solidFill>
                      </a:rPr>
                      <a:pPr>
                        <a:defRPr>
                          <a:solidFill>
                            <a:sysClr val="windowText" lastClr="000000"/>
                          </a:solidFill>
                        </a:defRPr>
                      </a:pPr>
                      <a:t>[]</a:t>
                    </a:fld>
                    <a:r>
                      <a:rPr lang="en-US" baseline="0">
                        <a:solidFill>
                          <a:sysClr val="windowText" lastClr="000000"/>
                        </a:solidFill>
                      </a:rPr>
                      <a:t>; </a:t>
                    </a:r>
                    <a:fld id="{C4073A67-C947-4DAF-B34E-2898FA41BD08}" type="PERCENTAGE">
                      <a:rPr lang="en-US" baseline="0">
                        <a:solidFill>
                          <a:sysClr val="windowText" lastClr="000000"/>
                        </a:solidFill>
                      </a:rPr>
                      <a:pPr>
                        <a:defRPr>
                          <a:solidFill>
                            <a:sysClr val="windowText" lastClr="000000"/>
                          </a:solidFill>
                        </a:defRPr>
                      </a:pPr>
                      <a:t>[]</a:t>
                    </a:fld>
                    <a:endParaRPr lang="en-US"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999179689718105"/>
                      <c:h val="0.17876822820432645"/>
                    </c:manualLayout>
                  </c15:layout>
                  <c15:dlblFieldTable/>
                  <c15:showDataLabelsRange val="0"/>
                </c:ext>
                <c:ext xmlns:c16="http://schemas.microsoft.com/office/drawing/2014/chart" uri="{C3380CC4-5D6E-409C-BE32-E72D297353CC}">
                  <c16:uniqueId val="{00000005-064E-4B00-A201-96FD3B7E155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GRÁFICOS!$I$69:$I$71</c:f>
              <c:numCache>
                <c:formatCode>General</c:formatCode>
                <c:ptCount val="3"/>
                <c:pt idx="0">
                  <c:v>15</c:v>
                </c:pt>
                <c:pt idx="1">
                  <c:v>7</c:v>
                </c:pt>
                <c:pt idx="2">
                  <c:v>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6-064E-4B00-A201-96FD3B7E155F}"/>
            </c:ext>
          </c:extLst>
        </c:ser>
        <c:dLbls>
          <c:dLblPos val="outEnd"/>
          <c:showLegendKey val="0"/>
          <c:showVal val="1"/>
          <c:showCatName val="0"/>
          <c:showSerName val="0"/>
          <c:showPercent val="0"/>
          <c:showBubbleSize val="0"/>
          <c:showLeaderLines val="1"/>
        </c:dLbls>
        <c:extLst>
          <c:ext xmlns:c15="http://schemas.microsoft.com/office/drawing/2012/chart" uri="{02D57815-91ED-43cb-92C2-25804820EDAC}">
            <c15:filteredPieSeries>
              <c15:ser>
                <c:idx val="1"/>
                <c:order val="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B52-41BC-B95F-BFC5C553180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9-2B52-41BC-B95F-BFC5C5531804}"/>
                      </c:ext>
                    </c:extLst>
                  </c:dLbl>
                  <c:spPr>
                    <a:noFill/>
                    <a:ln>
                      <a:noFill/>
                    </a:ln>
                    <a:effectLst/>
                  </c:sp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val>
                  <c:numRef>
                    <c:extLst>
                      <c:ext uri="{02D57815-91ED-43cb-92C2-25804820EDAC}">
                        <c15:formulaRef>
                          <c15:sqref>GRÁFICOS!$I$70</c15:sqref>
                        </c15:formulaRef>
                      </c:ext>
                    </c:extLst>
                    <c:numCache>
                      <c:formatCode>General</c:formatCode>
                      <c:ptCount val="1"/>
                      <c:pt idx="0">
                        <c:v>7</c:v>
                      </c:pt>
                    </c:numCache>
                  </c:numRef>
                </c:val>
                <c:extLst>
                  <c:ex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7-2B52-41BC-B95F-BFC5C5531804}"/>
                  </c:ext>
                </c:extLst>
              </c15:ser>
            </c15:filteredPieSeries>
            <c15:filteredPieSeries>
              <c15:ser>
                <c:idx val="2"/>
                <c:order val="2"/>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5="http://schemas.microsoft.com/office/drawing/2012/chart">
                    <c:ext xmlns:c16="http://schemas.microsoft.com/office/drawing/2014/chart" uri="{C3380CC4-5D6E-409C-BE32-E72D297353CC}">
                      <c16:uniqueId val="{0000000A-2B52-41BC-B95F-BFC5C553180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xmlns:c15="http://schemas.microsoft.com/office/drawing/2012/chart">
                      <c:ext xmlns:c16="http://schemas.microsoft.com/office/drawing/2014/chart" uri="{C3380CC4-5D6E-409C-BE32-E72D297353CC}">
                        <c16:uniqueId val="{0000000A-2B52-41BC-B95F-BFC5C5531804}"/>
                      </c:ext>
                    </c:extLst>
                  </c:dLbl>
                  <c:spPr>
                    <a:noFill/>
                    <a:ln>
                      <a:noFill/>
                    </a:ln>
                    <a:effectLst/>
                  </c:sp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xmlns:c15="http://schemas.microsoft.com/office/drawing/2012/chart">
                      <c:ext xmlns:c15="http://schemas.microsoft.com/office/drawing/2012/chart" uri="{02D57815-91ED-43cb-92C2-25804820EDAC}">
                        <c15:formulaRef>
                          <c15:sqref>GRÁFICOS!$I$71</c15:sqref>
                        </c15:formulaRef>
                      </c:ext>
                    </c:extLst>
                    <c:numCache>
                      <c:formatCode>General</c:formatCode>
                      <c:ptCount val="1"/>
                      <c:pt idx="0">
                        <c:v>7</c:v>
                      </c:pt>
                    </c:numCache>
                  </c:numRef>
                </c:val>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8-2B52-41BC-B95F-BFC5C5531804}"/>
                  </c:ext>
                </c:extLst>
              </c15:ser>
            </c15:filteredPieSeries>
          </c:ext>
        </c:extLst>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pt-BR" sz="1800" b="1" i="0" baseline="0">
                <a:effectLst/>
              </a:rPr>
              <a:t>Matriz de Exposição ao Risco</a:t>
            </a:r>
            <a:endParaRPr lang="pt-BR">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pt-BR"/>
          </a:p>
        </c:rich>
      </c:tx>
      <c:layout>
        <c:manualLayout>
          <c:xMode val="edge"/>
          <c:yMode val="edge"/>
          <c:x val="0.37390892176213819"/>
          <c:y val="2.546689303904923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lotArea>
      <c:layout>
        <c:manualLayout>
          <c:layoutTarget val="inner"/>
          <c:xMode val="edge"/>
          <c:yMode val="edge"/>
          <c:x val="2.561538393559391E-2"/>
          <c:y val="0.17051321768432123"/>
          <c:w val="0.9604137967602534"/>
          <c:h val="0.77029440522124526"/>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5.8878309263982057E-3"/>
                  <c:y val="-2.9904769791159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17B-4041-8EF2-6D1CC725E267}"/>
                </c:ext>
              </c:extLst>
            </c:dLbl>
            <c:dLbl>
              <c:idx val="2"/>
              <c:layout>
                <c:manualLayout>
                  <c:x val="-4.2055935188558616E-3"/>
                  <c:y val="-2.99047697911591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17B-4041-8EF2-6D1CC725E267}"/>
                </c:ext>
              </c:extLst>
            </c:dLbl>
            <c:dLbl>
              <c:idx val="3"/>
              <c:layout>
                <c:manualLayout>
                  <c:x val="5.6041023809686227E-3"/>
                  <c:y val="3.5728743330539735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35-4474-99C3-4A992700D6D1}"/>
                </c:ext>
              </c:extLst>
            </c:dLbl>
            <c:dLbl>
              <c:idx val="5"/>
              <c:layout>
                <c:manualLayout>
                  <c:x val="-3.3644748150846891E-3"/>
                  <c:y val="-1.993651319410609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17B-4041-8EF2-6D1CC725E267}"/>
                </c:ext>
              </c:extLst>
            </c:dLbl>
            <c:dLbl>
              <c:idx val="6"/>
              <c:layout>
                <c:manualLayout>
                  <c:x val="-4.4893378226711592E-2"/>
                  <c:y val="-1.95462499672946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35-4474-99C3-4A992700D6D1}"/>
                </c:ext>
              </c:extLst>
            </c:dLbl>
            <c:dLbl>
              <c:idx val="8"/>
              <c:layout>
                <c:manualLayout>
                  <c:x val="-3.7009222965931579E-2"/>
                  <c:y val="2.492064149263243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7B-4041-8EF2-6D1CC725E267}"/>
                </c:ext>
              </c:extLst>
            </c:dLbl>
            <c:dLbl>
              <c:idx val="9"/>
              <c:layout>
                <c:manualLayout>
                  <c:x val="-1.2616780556567614E-2"/>
                  <c:y val="1.744444904484283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17B-4041-8EF2-6D1CC725E267}"/>
                </c:ext>
              </c:extLst>
            </c:dLbl>
            <c:dLbl>
              <c:idx val="10"/>
              <c:layout>
                <c:manualLayout>
                  <c:x val="-2.4355949778987782E-2"/>
                  <c:y val="-2.54312203049463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35-4474-99C3-4A992700D6D1}"/>
                </c:ext>
              </c:extLst>
            </c:dLbl>
            <c:dLbl>
              <c:idx val="12"/>
              <c:layout>
                <c:manualLayout>
                  <c:x val="-3.6168104262160466E-2"/>
                  <c:y val="-1.8274925981092858E-1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7B-4041-8EF2-6D1CC725E267}"/>
                </c:ext>
              </c:extLst>
            </c:dLbl>
            <c:dLbl>
              <c:idx val="13"/>
              <c:layout>
                <c:manualLayout>
                  <c:x val="-1.7663492779194618E-2"/>
                  <c:y val="-3.488889808968566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17B-4041-8EF2-6D1CC725E267}"/>
                </c:ext>
              </c:extLst>
            </c:dLbl>
            <c:dLbl>
              <c:idx val="15"/>
              <c:layout>
                <c:manualLayout>
                  <c:x val="-8.9786756453423121E-4"/>
                  <c:y val="-1.116928569559694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535-4474-99C3-4A992700D6D1}"/>
                </c:ext>
              </c:extLst>
            </c:dLbl>
            <c:dLbl>
              <c:idx val="16"/>
              <c:layout>
                <c:manualLayout>
                  <c:x val="-3.3644748150846891E-3"/>
                  <c:y val="-2.492064149263261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17B-4041-8EF2-6D1CC725E267}"/>
                </c:ext>
              </c:extLst>
            </c:dLbl>
            <c:dLbl>
              <c:idx val="17"/>
              <c:layout>
                <c:manualLayout>
                  <c:x val="-3.6785366177054515E-3"/>
                  <c:y val="-1.705415647847396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535-4474-99C3-4A992700D6D1}"/>
                </c:ext>
              </c:extLst>
            </c:dLbl>
            <c:dLbl>
              <c:idx val="19"/>
              <c:layout>
                <c:manualLayout>
                  <c:x val="-3.4485866854618123E-2"/>
                  <c:y val="-3.23968339404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7B-4041-8EF2-6D1CC725E267}"/>
                </c:ext>
              </c:extLst>
            </c:dLbl>
            <c:dLbl>
              <c:idx val="21"/>
              <c:layout>
                <c:manualLayout>
                  <c:x val="-3.5326985558389298E-2"/>
                  <c:y val="-2.24285773433693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7B-4041-8EF2-6D1CC725E267}"/>
                </c:ext>
              </c:extLst>
            </c:dLbl>
            <c:dLbl>
              <c:idx val="22"/>
              <c:layout>
                <c:manualLayout>
                  <c:x val="-3.0341204769421216E-3"/>
                  <c:y val="1.6812602858966633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35-4474-99C3-4A992700D6D1}"/>
                </c:ext>
              </c:extLst>
            </c:dLbl>
            <c:dLbl>
              <c:idx val="23"/>
              <c:layout>
                <c:manualLayout>
                  <c:x val="-3.0908132021726827E-3"/>
                  <c:y val="-2.471048395689553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35-4474-99C3-4A992700D6D1}"/>
                </c:ext>
              </c:extLst>
            </c:dLbl>
            <c:dLbl>
              <c:idx val="24"/>
              <c:layout>
                <c:manualLayout>
                  <c:x val="-7.1829405162738497E-3"/>
                  <c:y val="-1.396160711949618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35-4474-99C3-4A992700D6D1}"/>
                </c:ext>
              </c:extLst>
            </c:dLbl>
            <c:dLbl>
              <c:idx val="26"/>
              <c:layout>
                <c:manualLayout>
                  <c:x val="-1.093454314902524E-2"/>
                  <c:y val="-2.990476979115913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17B-4041-8EF2-6D1CC725E267}"/>
                </c:ext>
              </c:extLst>
            </c:dLbl>
            <c:dLbl>
              <c:idx val="27"/>
              <c:layout>
                <c:manualLayout>
                  <c:x val="-1.852514272691611E-3"/>
                  <c:y val="-6.3953822639991635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35-4474-99C3-4A992700D6D1}"/>
                </c:ext>
              </c:extLst>
            </c:dLbl>
            <c:dLbl>
              <c:idx val="28"/>
              <c:layout>
                <c:manualLayout>
                  <c:x val="-1.1775661852796411E-2"/>
                  <c:y val="-2.990476979115913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17B-4041-8EF2-6D1CC725E267}"/>
                </c:ext>
              </c:extLst>
            </c:dLbl>
            <c:dLbl>
              <c:idx val="30"/>
              <c:layout>
                <c:manualLayout>
                  <c:x val="-5.8878309263983289E-3"/>
                  <c:y val="-1.993651319410609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7B-4041-8EF2-6D1CC725E267}"/>
                </c:ext>
              </c:extLst>
            </c:dLbl>
            <c:dLbl>
              <c:idx val="33"/>
              <c:layout>
                <c:manualLayout>
                  <c:x val="5.04671222262691E-3"/>
                  <c:y val="2.492064149263261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7B-4041-8EF2-6D1CC725E267}"/>
                </c:ext>
              </c:extLst>
            </c:dLbl>
            <c:dLbl>
              <c:idx val="35"/>
              <c:layout>
                <c:manualLayout>
                  <c:x val="-3.5326985558389111E-2"/>
                  <c:y val="-3.23968339404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7B-4041-8EF2-6D1CC725E267}"/>
                </c:ext>
              </c:extLst>
            </c:dLbl>
            <c:dLbl>
              <c:idx val="36"/>
              <c:layout>
                <c:manualLayout>
                  <c:x val="-5.8878309263982057E-3"/>
                  <c:y val="-3.23968339404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17B-4041-8EF2-6D1CC725E2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'BASE DA MATRIZ DE RISCOS'!$N$78:$N$106</c:f>
              <c:strCache>
                <c:ptCount val="29"/>
                <c:pt idx="0">
                  <c:v>[P1]</c:v>
                </c:pt>
                <c:pt idx="1">
                  <c:v>[P2]</c:v>
                </c:pt>
                <c:pt idx="2">
                  <c:v>[P3]</c:v>
                </c:pt>
                <c:pt idx="3">
                  <c:v>[P4]</c:v>
                </c:pt>
                <c:pt idx="4">
                  <c:v>[P5]</c:v>
                </c:pt>
                <c:pt idx="5">
                  <c:v>[P6]</c:v>
                </c:pt>
                <c:pt idx="6">
                  <c:v>[P7]</c:v>
                </c:pt>
                <c:pt idx="7">
                  <c:v>[P8]</c:v>
                </c:pt>
                <c:pt idx="8">
                  <c:v>[P9]</c:v>
                </c:pt>
                <c:pt idx="9">
                  <c:v>[P10]</c:v>
                </c:pt>
                <c:pt idx="10">
                  <c:v>[P11]</c:v>
                </c:pt>
                <c:pt idx="11">
                  <c:v>[P12]</c:v>
                </c:pt>
                <c:pt idx="12">
                  <c:v>[P13]</c:v>
                </c:pt>
                <c:pt idx="13">
                  <c:v>[P14]</c:v>
                </c:pt>
                <c:pt idx="14">
                  <c:v>[P15]</c:v>
                </c:pt>
                <c:pt idx="15">
                  <c:v>[P16]</c:v>
                </c:pt>
                <c:pt idx="16">
                  <c:v>[P17]</c:v>
                </c:pt>
                <c:pt idx="17">
                  <c:v>[P18]</c:v>
                </c:pt>
                <c:pt idx="18">
                  <c:v>[P19]</c:v>
                </c:pt>
                <c:pt idx="19">
                  <c:v>[P20]</c:v>
                </c:pt>
                <c:pt idx="20">
                  <c:v>[P21]</c:v>
                </c:pt>
                <c:pt idx="21">
                  <c:v>[P22]</c:v>
                </c:pt>
                <c:pt idx="22">
                  <c:v>[P23]</c:v>
                </c:pt>
                <c:pt idx="23">
                  <c:v>[P24]</c:v>
                </c:pt>
                <c:pt idx="24">
                  <c:v>[P25]</c:v>
                </c:pt>
                <c:pt idx="25">
                  <c:v>[P26]</c:v>
                </c:pt>
                <c:pt idx="26">
                  <c:v>[P27]</c:v>
                </c:pt>
                <c:pt idx="27">
                  <c:v>[P28]</c:v>
                </c:pt>
                <c:pt idx="28">
                  <c:v>[P29]</c:v>
                </c:pt>
              </c:strCache>
            </c:strRef>
          </c:xVal>
          <c:yVal>
            <c:numRef>
              <c:f>'BASE DA MATRIZ DE RISCOS'!$O$78:$O$106</c:f>
              <c:numCache>
                <c:formatCode>General</c:formatCode>
                <c:ptCount val="29"/>
                <c:pt idx="0">
                  <c:v>48</c:v>
                </c:pt>
                <c:pt idx="1">
                  <c:v>45</c:v>
                </c:pt>
                <c:pt idx="2">
                  <c:v>24</c:v>
                </c:pt>
                <c:pt idx="3">
                  <c:v>40</c:v>
                </c:pt>
                <c:pt idx="4">
                  <c:v>12</c:v>
                </c:pt>
                <c:pt idx="5">
                  <c:v>20</c:v>
                </c:pt>
                <c:pt idx="6">
                  <c:v>125</c:v>
                </c:pt>
                <c:pt idx="7">
                  <c:v>60</c:v>
                </c:pt>
                <c:pt idx="8">
                  <c:v>45</c:v>
                </c:pt>
                <c:pt idx="9">
                  <c:v>125</c:v>
                </c:pt>
                <c:pt idx="10">
                  <c:v>100</c:v>
                </c:pt>
                <c:pt idx="11">
                  <c:v>64</c:v>
                </c:pt>
                <c:pt idx="12">
                  <c:v>36</c:v>
                </c:pt>
                <c:pt idx="13">
                  <c:v>48</c:v>
                </c:pt>
                <c:pt idx="14">
                  <c:v>36</c:v>
                </c:pt>
                <c:pt idx="15">
                  <c:v>125</c:v>
                </c:pt>
                <c:pt idx="16">
                  <c:v>125</c:v>
                </c:pt>
                <c:pt idx="17">
                  <c:v>60</c:v>
                </c:pt>
                <c:pt idx="18">
                  <c:v>60</c:v>
                </c:pt>
                <c:pt idx="19">
                  <c:v>15</c:v>
                </c:pt>
                <c:pt idx="20">
                  <c:v>60</c:v>
                </c:pt>
                <c:pt idx="21">
                  <c:v>40</c:v>
                </c:pt>
                <c:pt idx="22">
                  <c:v>48</c:v>
                </c:pt>
                <c:pt idx="23">
                  <c:v>36</c:v>
                </c:pt>
                <c:pt idx="24">
                  <c:v>60</c:v>
                </c:pt>
                <c:pt idx="25">
                  <c:v>60</c:v>
                </c:pt>
                <c:pt idx="26">
                  <c:v>100</c:v>
                </c:pt>
                <c:pt idx="27">
                  <c:v>36</c:v>
                </c:pt>
                <c:pt idx="28">
                  <c:v>75</c:v>
                </c:pt>
              </c:numCache>
            </c:numRef>
          </c:yVal>
          <c:smooth val="1"/>
          <c:extLst>
            <c:ext xmlns:c16="http://schemas.microsoft.com/office/drawing/2014/chart" uri="{C3380CC4-5D6E-409C-BE32-E72D297353CC}">
              <c16:uniqueId val="{00000000-5503-4562-B9BD-F6B445AA33C5}"/>
            </c:ext>
          </c:extLst>
        </c:ser>
        <c:dLbls>
          <c:showLegendKey val="0"/>
          <c:showVal val="0"/>
          <c:showCatName val="0"/>
          <c:showSerName val="0"/>
          <c:showPercent val="0"/>
          <c:showBubbleSize val="0"/>
        </c:dLbls>
        <c:axId val="546923007"/>
        <c:axId val="546921759"/>
      </c:scatterChart>
      <c:valAx>
        <c:axId val="54692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21759"/>
        <c:crosses val="autoZero"/>
        <c:crossBetween val="midCat"/>
        <c:majorUnit val="1"/>
      </c:valAx>
      <c:valAx>
        <c:axId val="54692175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23007"/>
        <c:crosses val="autoZero"/>
        <c:crossBetween val="midCat"/>
        <c:majorUnit val="10"/>
        <c:minorUnit val="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pt-BR"/>
              <a:t>QUANTIDADE DE PONTOS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D87-4E53-BFA2-D60DB9666E90}"/>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D87-4E53-BFA2-D60DB9666E90}"/>
              </c:ext>
            </c:extLst>
          </c:dPt>
          <c:dPt>
            <c:idx val="2"/>
            <c:bubble3D val="0"/>
            <c:spPr>
              <a:solidFill>
                <a:srgbClr val="39799D"/>
              </a:solidFill>
              <a:ln>
                <a:solidFill>
                  <a:srgbClr val="27536B"/>
                </a:solidFill>
              </a:ln>
              <a:effectLst>
                <a:outerShdw blurRad="88900" sx="102000" sy="102000" algn="ctr" rotWithShape="0">
                  <a:prstClr val="black">
                    <a:alpha val="20000"/>
                  </a:prstClr>
                </a:outerShdw>
              </a:effectLst>
              <a:scene3d>
                <a:camera prst="orthographicFront"/>
                <a:lightRig rig="threePt" dir="t"/>
              </a:scene3d>
              <a:sp3d prstMaterial="matte">
                <a:contourClr>
                  <a:srgbClr val="27536B"/>
                </a:contourClr>
              </a:sp3d>
            </c:spPr>
            <c:extLst>
              <c:ext xmlns:c16="http://schemas.microsoft.com/office/drawing/2014/chart" uri="{C3380CC4-5D6E-409C-BE32-E72D297353CC}">
                <c16:uniqueId val="{00000005-ED87-4E53-BFA2-D60DB9666E90}"/>
              </c:ext>
            </c:extLst>
          </c:dPt>
          <c:dLbls>
            <c:dLbl>
              <c:idx val="1"/>
              <c:layout>
                <c:manualLayout>
                  <c:x val="-2.7244317147885656E-2"/>
                  <c:y val="-1.1748869528781186E-2"/>
                </c:manualLayout>
              </c:layout>
              <c:tx>
                <c:rich>
                  <a:bodyPr/>
                  <a:lstStyle/>
                  <a:p>
                    <a:fld id="{5A5833A6-E437-435E-BF0F-707B13B756E5}" type="CATEGORYNAME">
                      <a:rPr lang="en-US">
                        <a:solidFill>
                          <a:schemeClr val="bg2">
                            <a:lumMod val="50000"/>
                          </a:schemeClr>
                        </a:solidFill>
                      </a:rPr>
                      <a:pPr/>
                      <a:t>[]</a:t>
                    </a:fld>
                    <a:r>
                      <a:rPr lang="en-US" baseline="0">
                        <a:solidFill>
                          <a:schemeClr val="bg2">
                            <a:lumMod val="50000"/>
                          </a:schemeClr>
                        </a:solidFill>
                      </a:rPr>
                      <a:t>; </a:t>
                    </a:r>
                    <a:fld id="{CE43E071-605C-40B6-BAFA-8A760A0B6344}" type="VALUE">
                      <a:rPr lang="en-US" baseline="0">
                        <a:solidFill>
                          <a:schemeClr val="bg2">
                            <a:lumMod val="50000"/>
                          </a:schemeClr>
                        </a:solidFill>
                      </a:rPr>
                      <a:pPr/>
                      <a:t>[]</a:t>
                    </a:fld>
                    <a:r>
                      <a:rPr lang="en-US" baseline="0">
                        <a:solidFill>
                          <a:schemeClr val="bg2">
                            <a:lumMod val="50000"/>
                          </a:schemeClr>
                        </a:solidFill>
                      </a:rPr>
                      <a:t>; </a:t>
                    </a:r>
                    <a:fld id="{A4DCC5B4-F0F7-4E2C-857F-0196B2F1956F}" type="PERCENTAGE">
                      <a:rPr lang="en-US" baseline="0">
                        <a:solidFill>
                          <a:schemeClr val="bg2">
                            <a:lumMod val="50000"/>
                          </a:schemeClr>
                        </a:solidFill>
                      </a:rPr>
                      <a:pPr/>
                      <a:t>[]</a:t>
                    </a:fld>
                    <a:endParaRPr lang="en-US" baseline="0">
                      <a:solidFill>
                        <a:schemeClr val="bg2">
                          <a:lumMod val="50000"/>
                        </a:schemeClr>
                      </a:solidFill>
                    </a:endParaRP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D87-4E53-BFA2-D60DB9666E90}"/>
                </c:ext>
              </c:extLst>
            </c:dLbl>
            <c:dLbl>
              <c:idx val="2"/>
              <c:layout>
                <c:manualLayout>
                  <c:x val="0.18028905413636373"/>
                  <c:y val="9.9540478726190235E-2"/>
                </c:manualLayout>
              </c:layout>
              <c:tx>
                <c:rich>
                  <a:bodyPr/>
                  <a:lstStyle/>
                  <a:p>
                    <a:fld id="{6F30808B-CFC5-468A-A515-2213FB12BD2D}" type="CATEGORYNAME">
                      <a:rPr lang="en-US"/>
                      <a:pPr/>
                      <a:t>[]</a:t>
                    </a:fld>
                    <a:r>
                      <a:rPr lang="en-US"/>
                      <a:t>; </a:t>
                    </a:r>
                    <a:fld id="{79D9C166-BE0F-4445-8769-F59A0635438E}" type="VALUE">
                      <a:rPr lang="en-US"/>
                      <a:pPr/>
                      <a:t>[]</a:t>
                    </a:fld>
                    <a:r>
                      <a:rPr lang="en-US"/>
                      <a:t>; </a:t>
                    </a:r>
                    <a:fld id="{C4073A67-C947-4DAF-B34E-2898FA41BD08}" type="PERCENTAGE">
                      <a:rPr lang="en-US"/>
                      <a:pPr/>
                      <a:t>[]</a:t>
                    </a:fld>
                    <a:endParaRPr lang="en-US"/>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D87-4E53-BFA2-D60DB9666E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GRÁFICOS!$H$69:$H$71</c:f>
              <c:strCache>
                <c:ptCount val="3"/>
                <c:pt idx="0">
                  <c:v>BAIXO IMPACTO</c:v>
                </c:pt>
                <c:pt idx="1">
                  <c:v>MÉDIO IMPACTO</c:v>
                </c:pt>
                <c:pt idx="2">
                  <c:v>ALTO IMPACTO</c:v>
                </c:pt>
              </c:strCache>
            </c:strRef>
          </c:cat>
          <c:val>
            <c:numRef>
              <c:f>GRÁFICOS!$I$69:$I$71</c:f>
              <c:numCache>
                <c:formatCode>General</c:formatCode>
                <c:ptCount val="3"/>
                <c:pt idx="0">
                  <c:v>15</c:v>
                </c:pt>
                <c:pt idx="1">
                  <c:v>7</c:v>
                </c:pt>
                <c:pt idx="2">
                  <c:v>7</c:v>
                </c:pt>
              </c:numCache>
            </c:numRef>
          </c:val>
          <c:extLst>
            <c:ext xmlns:c16="http://schemas.microsoft.com/office/drawing/2014/chart" uri="{C3380CC4-5D6E-409C-BE32-E72D297353CC}">
              <c16:uniqueId val="{00000006-ED87-4E53-BFA2-D60DB9666E90}"/>
            </c:ext>
          </c:extLst>
        </c:ser>
        <c:dLbls>
          <c:dLblPos val="inEnd"/>
          <c:showLegendKey val="0"/>
          <c:showVal val="1"/>
          <c:showCatName val="0"/>
          <c:showSerName val="0"/>
          <c:showPercent val="0"/>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Matriz de Exposição ao Risco</a:t>
            </a:r>
          </a:p>
          <a:p>
            <a:pPr>
              <a:defRPr/>
            </a:pPr>
            <a:endParaRPr lang="pt-BR"/>
          </a:p>
        </c:rich>
      </c:tx>
      <c:layout>
        <c:manualLayout>
          <c:xMode val="edge"/>
          <c:yMode val="edge"/>
          <c:x val="0.37390892176213819"/>
          <c:y val="2.54668930390492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561538393559391E-2"/>
          <c:y val="0.17051321768432123"/>
          <c:w val="0.9604137967602534"/>
          <c:h val="0.77029440522124526"/>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8.9786756453423121E-4"/>
                  <c:y val="-8.3769642716977118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44-4C25-9B7E-36ACCB00C335}"/>
                </c:ext>
              </c:extLst>
            </c:dLbl>
            <c:dLbl>
              <c:idx val="6"/>
              <c:layout>
                <c:manualLayout>
                  <c:x val="-4.0404040404040435E-2"/>
                  <c:y val="-8.376964271697814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44-4C25-9B7E-36ACCB00C335}"/>
                </c:ext>
              </c:extLst>
            </c:dLbl>
            <c:dLbl>
              <c:idx val="10"/>
              <c:layout>
                <c:manualLayout>
                  <c:x val="-1.3468013468013533E-2"/>
                  <c:y val="-2.792321423899237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44-4C25-9B7E-36ACCB00C335}"/>
                </c:ext>
              </c:extLst>
            </c:dLbl>
            <c:dLbl>
              <c:idx val="11"/>
              <c:layout>
                <c:manualLayout>
                  <c:x val="0"/>
                  <c:y val="-1.11692856955970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44-4C25-9B7E-36ACCB00C335}"/>
                </c:ext>
              </c:extLst>
            </c:dLbl>
            <c:dLbl>
              <c:idx val="17"/>
              <c:layout>
                <c:manualLayout>
                  <c:x val="-4.3097643097643031E-2"/>
                  <c:y val="-5.5846428477985769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44-4C25-9B7E-36ACCB00C335}"/>
                </c:ext>
              </c:extLst>
            </c:dLbl>
            <c:dLbl>
              <c:idx val="18"/>
              <c:layout>
                <c:manualLayout>
                  <c:x val="0"/>
                  <c:y val="-1.116928569559694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44-4C25-9B7E-36ACCB00C335}"/>
                </c:ext>
              </c:extLst>
            </c:dLbl>
            <c:dLbl>
              <c:idx val="22"/>
              <c:layout>
                <c:manualLayout>
                  <c:x val="-8.0808080808080808E-3"/>
                  <c:y val="-2.792321423899237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44-4C25-9B7E-36ACCB00C335}"/>
                </c:ext>
              </c:extLst>
            </c:dLbl>
            <c:dLbl>
              <c:idx val="23"/>
              <c:layout>
                <c:manualLayout>
                  <c:x val="0"/>
                  <c:y val="-3.071553566289150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44-4C25-9B7E-36ACCB00C335}"/>
                </c:ext>
              </c:extLst>
            </c:dLbl>
            <c:dLbl>
              <c:idx val="24"/>
              <c:layout>
                <c:manualLayout>
                  <c:x val="-3.5914702581369248E-3"/>
                  <c:y val="-8.3769642716977118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44-4C25-9B7E-36ACCB00C335}"/>
                </c:ext>
              </c:extLst>
            </c:dLbl>
            <c:dLbl>
              <c:idx val="27"/>
              <c:layout>
                <c:manualLayout>
                  <c:x val="-8.0808080808080808E-3"/>
                  <c:y val="-3.630017851068997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44-4C25-9B7E-36ACCB00C3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'BASE DA MATRIZ DE RISCOS'!$N$78:$N$106</c:f>
              <c:strCache>
                <c:ptCount val="29"/>
                <c:pt idx="0">
                  <c:v>[P1]</c:v>
                </c:pt>
                <c:pt idx="1">
                  <c:v>[P2]</c:v>
                </c:pt>
                <c:pt idx="2">
                  <c:v>[P3]</c:v>
                </c:pt>
                <c:pt idx="3">
                  <c:v>[P4]</c:v>
                </c:pt>
                <c:pt idx="4">
                  <c:v>[P5]</c:v>
                </c:pt>
                <c:pt idx="5">
                  <c:v>[P6]</c:v>
                </c:pt>
                <c:pt idx="6">
                  <c:v>[P7]</c:v>
                </c:pt>
                <c:pt idx="7">
                  <c:v>[P8]</c:v>
                </c:pt>
                <c:pt idx="8">
                  <c:v>[P9]</c:v>
                </c:pt>
                <c:pt idx="9">
                  <c:v>[P10]</c:v>
                </c:pt>
                <c:pt idx="10">
                  <c:v>[P11]</c:v>
                </c:pt>
                <c:pt idx="11">
                  <c:v>[P12]</c:v>
                </c:pt>
                <c:pt idx="12">
                  <c:v>[P13]</c:v>
                </c:pt>
                <c:pt idx="13">
                  <c:v>[P14]</c:v>
                </c:pt>
                <c:pt idx="14">
                  <c:v>[P15]</c:v>
                </c:pt>
                <c:pt idx="15">
                  <c:v>[P16]</c:v>
                </c:pt>
                <c:pt idx="16">
                  <c:v>[P17]</c:v>
                </c:pt>
                <c:pt idx="17">
                  <c:v>[P18]</c:v>
                </c:pt>
                <c:pt idx="18">
                  <c:v>[P19]</c:v>
                </c:pt>
                <c:pt idx="19">
                  <c:v>[P20]</c:v>
                </c:pt>
                <c:pt idx="20">
                  <c:v>[P21]</c:v>
                </c:pt>
                <c:pt idx="21">
                  <c:v>[P22]</c:v>
                </c:pt>
                <c:pt idx="22">
                  <c:v>[P23]</c:v>
                </c:pt>
                <c:pt idx="23">
                  <c:v>[P24]</c:v>
                </c:pt>
                <c:pt idx="24">
                  <c:v>[P25]</c:v>
                </c:pt>
                <c:pt idx="25">
                  <c:v>[P26]</c:v>
                </c:pt>
                <c:pt idx="26">
                  <c:v>[P27]</c:v>
                </c:pt>
                <c:pt idx="27">
                  <c:v>[P28]</c:v>
                </c:pt>
                <c:pt idx="28">
                  <c:v>[P29]</c:v>
                </c:pt>
              </c:strCache>
            </c:strRef>
          </c:xVal>
          <c:yVal>
            <c:numRef>
              <c:f>'BASE DA MATRIZ DE RISCOS'!$O$78:$O$106</c:f>
              <c:numCache>
                <c:formatCode>General</c:formatCode>
                <c:ptCount val="29"/>
                <c:pt idx="0">
                  <c:v>48</c:v>
                </c:pt>
                <c:pt idx="1">
                  <c:v>45</c:v>
                </c:pt>
                <c:pt idx="2">
                  <c:v>24</c:v>
                </c:pt>
                <c:pt idx="3">
                  <c:v>40</c:v>
                </c:pt>
                <c:pt idx="4">
                  <c:v>12</c:v>
                </c:pt>
                <c:pt idx="5">
                  <c:v>20</c:v>
                </c:pt>
                <c:pt idx="6">
                  <c:v>125</c:v>
                </c:pt>
                <c:pt idx="7">
                  <c:v>60</c:v>
                </c:pt>
                <c:pt idx="8">
                  <c:v>45</c:v>
                </c:pt>
                <c:pt idx="9">
                  <c:v>125</c:v>
                </c:pt>
                <c:pt idx="10">
                  <c:v>100</c:v>
                </c:pt>
                <c:pt idx="11">
                  <c:v>64</c:v>
                </c:pt>
                <c:pt idx="12">
                  <c:v>36</c:v>
                </c:pt>
                <c:pt idx="13">
                  <c:v>48</c:v>
                </c:pt>
                <c:pt idx="14">
                  <c:v>36</c:v>
                </c:pt>
                <c:pt idx="15">
                  <c:v>125</c:v>
                </c:pt>
                <c:pt idx="16">
                  <c:v>125</c:v>
                </c:pt>
                <c:pt idx="17">
                  <c:v>60</c:v>
                </c:pt>
                <c:pt idx="18">
                  <c:v>60</c:v>
                </c:pt>
                <c:pt idx="19">
                  <c:v>15</c:v>
                </c:pt>
                <c:pt idx="20">
                  <c:v>60</c:v>
                </c:pt>
                <c:pt idx="21">
                  <c:v>40</c:v>
                </c:pt>
                <c:pt idx="22">
                  <c:v>48</c:v>
                </c:pt>
                <c:pt idx="23">
                  <c:v>36</c:v>
                </c:pt>
                <c:pt idx="24">
                  <c:v>60</c:v>
                </c:pt>
                <c:pt idx="25">
                  <c:v>60</c:v>
                </c:pt>
                <c:pt idx="26">
                  <c:v>100</c:v>
                </c:pt>
                <c:pt idx="27">
                  <c:v>36</c:v>
                </c:pt>
                <c:pt idx="28">
                  <c:v>75</c:v>
                </c:pt>
              </c:numCache>
            </c:numRef>
          </c:yVal>
          <c:smooth val="1"/>
          <c:extLst>
            <c:ext xmlns:c16="http://schemas.microsoft.com/office/drawing/2014/chart" uri="{C3380CC4-5D6E-409C-BE32-E72D297353CC}">
              <c16:uniqueId val="{00000000-1E44-4C25-9B7E-36ACCB00C335}"/>
            </c:ext>
          </c:extLst>
        </c:ser>
        <c:dLbls>
          <c:showLegendKey val="0"/>
          <c:showVal val="0"/>
          <c:showCatName val="0"/>
          <c:showSerName val="0"/>
          <c:showPercent val="0"/>
          <c:showBubbleSize val="0"/>
        </c:dLbls>
        <c:axId val="546923007"/>
        <c:axId val="546921759"/>
      </c:scatterChart>
      <c:valAx>
        <c:axId val="54692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21759"/>
        <c:crosses val="autoZero"/>
        <c:crossBetween val="midCat"/>
        <c:majorUnit val="1"/>
      </c:valAx>
      <c:valAx>
        <c:axId val="54692175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230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radarChart>
        <c:radarStyle val="marker"/>
        <c:varyColors val="1"/>
        <c:ser>
          <c:idx val="0"/>
          <c:order val="0"/>
          <c:tx>
            <c:strRef>
              <c:f>'BASE DA MATRIZ DE RISCOS'!$G$77</c:f>
              <c:strCache>
                <c:ptCount val="1"/>
                <c:pt idx="0">
                  <c:v>Probabilidade</c:v>
                </c:pt>
              </c:strCache>
            </c:strRef>
          </c:tx>
          <c:marker>
            <c:symbol val="none"/>
          </c:marker>
          <c:dPt>
            <c:idx val="0"/>
            <c:marker>
              <c:symbol val="none"/>
            </c:marker>
            <c:bubble3D val="0"/>
            <c:spPr>
              <a:ln w="15875" cap="rnd">
                <a:solidFill>
                  <a:schemeClr val="accent3">
                    <a:shade val="34000"/>
                  </a:schemeClr>
                </a:solidFill>
                <a:round/>
              </a:ln>
              <a:effectLst/>
            </c:spPr>
            <c:extLst>
              <c:ext xmlns:c16="http://schemas.microsoft.com/office/drawing/2014/chart" uri="{C3380CC4-5D6E-409C-BE32-E72D297353CC}">
                <c16:uniqueId val="{00000001-D945-4AC0-9BF6-2CAA5846D695}"/>
              </c:ext>
            </c:extLst>
          </c:dPt>
          <c:dPt>
            <c:idx val="1"/>
            <c:marker>
              <c:symbol val="none"/>
            </c:marker>
            <c:bubble3D val="0"/>
            <c:spPr>
              <a:ln w="15875" cap="rnd">
                <a:solidFill>
                  <a:schemeClr val="accent3">
                    <a:shade val="39000"/>
                  </a:schemeClr>
                </a:solidFill>
                <a:round/>
              </a:ln>
              <a:effectLst/>
            </c:spPr>
            <c:extLst>
              <c:ext xmlns:c16="http://schemas.microsoft.com/office/drawing/2014/chart" uri="{C3380CC4-5D6E-409C-BE32-E72D297353CC}">
                <c16:uniqueId val="{00000003-D945-4AC0-9BF6-2CAA5846D695}"/>
              </c:ext>
            </c:extLst>
          </c:dPt>
          <c:dPt>
            <c:idx val="2"/>
            <c:marker>
              <c:symbol val="none"/>
            </c:marker>
            <c:bubble3D val="0"/>
            <c:spPr>
              <a:ln w="15875" cap="rnd">
                <a:solidFill>
                  <a:schemeClr val="accent3">
                    <a:shade val="43000"/>
                  </a:schemeClr>
                </a:solidFill>
                <a:round/>
              </a:ln>
              <a:effectLst/>
            </c:spPr>
            <c:extLst>
              <c:ext xmlns:c16="http://schemas.microsoft.com/office/drawing/2014/chart" uri="{C3380CC4-5D6E-409C-BE32-E72D297353CC}">
                <c16:uniqueId val="{00000005-D945-4AC0-9BF6-2CAA5846D695}"/>
              </c:ext>
            </c:extLst>
          </c:dPt>
          <c:dPt>
            <c:idx val="3"/>
            <c:marker>
              <c:symbol val="none"/>
            </c:marker>
            <c:bubble3D val="0"/>
            <c:spPr>
              <a:ln w="15875" cap="rnd">
                <a:solidFill>
                  <a:schemeClr val="accent3">
                    <a:shade val="48000"/>
                  </a:schemeClr>
                </a:solidFill>
                <a:round/>
              </a:ln>
              <a:effectLst/>
            </c:spPr>
            <c:extLst>
              <c:ext xmlns:c16="http://schemas.microsoft.com/office/drawing/2014/chart" uri="{C3380CC4-5D6E-409C-BE32-E72D297353CC}">
                <c16:uniqueId val="{00000007-D945-4AC0-9BF6-2CAA5846D695}"/>
              </c:ext>
            </c:extLst>
          </c:dPt>
          <c:dPt>
            <c:idx val="4"/>
            <c:marker>
              <c:symbol val="none"/>
            </c:marker>
            <c:bubble3D val="0"/>
            <c:spPr>
              <a:ln w="15875" cap="rnd">
                <a:solidFill>
                  <a:schemeClr val="accent3">
                    <a:shade val="52000"/>
                  </a:schemeClr>
                </a:solidFill>
                <a:round/>
              </a:ln>
              <a:effectLst/>
            </c:spPr>
            <c:extLst>
              <c:ext xmlns:c16="http://schemas.microsoft.com/office/drawing/2014/chart" uri="{C3380CC4-5D6E-409C-BE32-E72D297353CC}">
                <c16:uniqueId val="{00000009-D945-4AC0-9BF6-2CAA5846D695}"/>
              </c:ext>
            </c:extLst>
          </c:dPt>
          <c:dPt>
            <c:idx val="5"/>
            <c:marker>
              <c:symbol val="none"/>
            </c:marker>
            <c:bubble3D val="0"/>
            <c:spPr>
              <a:ln w="15875" cap="rnd">
                <a:solidFill>
                  <a:schemeClr val="accent3">
                    <a:shade val="57000"/>
                  </a:schemeClr>
                </a:solidFill>
                <a:round/>
              </a:ln>
              <a:effectLst/>
            </c:spPr>
            <c:extLst>
              <c:ext xmlns:c16="http://schemas.microsoft.com/office/drawing/2014/chart" uri="{C3380CC4-5D6E-409C-BE32-E72D297353CC}">
                <c16:uniqueId val="{0000000B-D945-4AC0-9BF6-2CAA5846D695}"/>
              </c:ext>
            </c:extLst>
          </c:dPt>
          <c:dPt>
            <c:idx val="6"/>
            <c:marker>
              <c:symbol val="none"/>
            </c:marker>
            <c:bubble3D val="0"/>
            <c:spPr>
              <a:ln w="15875" cap="rnd">
                <a:solidFill>
                  <a:schemeClr val="accent3">
                    <a:shade val="61000"/>
                  </a:schemeClr>
                </a:solidFill>
                <a:round/>
              </a:ln>
              <a:effectLst/>
            </c:spPr>
            <c:extLst>
              <c:ext xmlns:c16="http://schemas.microsoft.com/office/drawing/2014/chart" uri="{C3380CC4-5D6E-409C-BE32-E72D297353CC}">
                <c16:uniqueId val="{0000000D-D945-4AC0-9BF6-2CAA5846D695}"/>
              </c:ext>
            </c:extLst>
          </c:dPt>
          <c:dPt>
            <c:idx val="7"/>
            <c:marker>
              <c:symbol val="none"/>
            </c:marker>
            <c:bubble3D val="0"/>
            <c:spPr>
              <a:ln w="15875" cap="rnd">
                <a:solidFill>
                  <a:schemeClr val="accent3">
                    <a:shade val="66000"/>
                  </a:schemeClr>
                </a:solidFill>
                <a:round/>
              </a:ln>
              <a:effectLst/>
            </c:spPr>
            <c:extLst>
              <c:ext xmlns:c16="http://schemas.microsoft.com/office/drawing/2014/chart" uri="{C3380CC4-5D6E-409C-BE32-E72D297353CC}">
                <c16:uniqueId val="{0000000F-D945-4AC0-9BF6-2CAA5846D695}"/>
              </c:ext>
            </c:extLst>
          </c:dPt>
          <c:dPt>
            <c:idx val="8"/>
            <c:marker>
              <c:symbol val="none"/>
            </c:marker>
            <c:bubble3D val="0"/>
            <c:spPr>
              <a:ln w="15875" cap="rnd">
                <a:solidFill>
                  <a:schemeClr val="accent3">
                    <a:shade val="70000"/>
                  </a:schemeClr>
                </a:solidFill>
                <a:round/>
              </a:ln>
              <a:effectLst/>
            </c:spPr>
            <c:extLst>
              <c:ext xmlns:c16="http://schemas.microsoft.com/office/drawing/2014/chart" uri="{C3380CC4-5D6E-409C-BE32-E72D297353CC}">
                <c16:uniqueId val="{00000011-D945-4AC0-9BF6-2CAA5846D695}"/>
              </c:ext>
            </c:extLst>
          </c:dPt>
          <c:dPt>
            <c:idx val="9"/>
            <c:marker>
              <c:symbol val="none"/>
            </c:marker>
            <c:bubble3D val="0"/>
            <c:spPr>
              <a:ln w="15875" cap="rnd">
                <a:solidFill>
                  <a:schemeClr val="accent3">
                    <a:shade val="75000"/>
                  </a:schemeClr>
                </a:solidFill>
                <a:round/>
              </a:ln>
              <a:effectLst/>
            </c:spPr>
            <c:extLst>
              <c:ext xmlns:c16="http://schemas.microsoft.com/office/drawing/2014/chart" uri="{C3380CC4-5D6E-409C-BE32-E72D297353CC}">
                <c16:uniqueId val="{00000013-D945-4AC0-9BF6-2CAA5846D695}"/>
              </c:ext>
            </c:extLst>
          </c:dPt>
          <c:dPt>
            <c:idx val="10"/>
            <c:marker>
              <c:symbol val="none"/>
            </c:marker>
            <c:bubble3D val="0"/>
            <c:spPr>
              <a:ln w="15875" cap="rnd">
                <a:solidFill>
                  <a:schemeClr val="accent3">
                    <a:shade val="79000"/>
                  </a:schemeClr>
                </a:solidFill>
                <a:round/>
              </a:ln>
              <a:effectLst/>
            </c:spPr>
            <c:extLst>
              <c:ext xmlns:c16="http://schemas.microsoft.com/office/drawing/2014/chart" uri="{C3380CC4-5D6E-409C-BE32-E72D297353CC}">
                <c16:uniqueId val="{00000015-D945-4AC0-9BF6-2CAA5846D695}"/>
              </c:ext>
            </c:extLst>
          </c:dPt>
          <c:dPt>
            <c:idx val="11"/>
            <c:marker>
              <c:symbol val="none"/>
            </c:marker>
            <c:bubble3D val="0"/>
            <c:spPr>
              <a:ln w="15875" cap="rnd">
                <a:solidFill>
                  <a:schemeClr val="accent3">
                    <a:shade val="84000"/>
                  </a:schemeClr>
                </a:solidFill>
                <a:round/>
              </a:ln>
              <a:effectLst/>
            </c:spPr>
            <c:extLst>
              <c:ext xmlns:c16="http://schemas.microsoft.com/office/drawing/2014/chart" uri="{C3380CC4-5D6E-409C-BE32-E72D297353CC}">
                <c16:uniqueId val="{00000017-D945-4AC0-9BF6-2CAA5846D695}"/>
              </c:ext>
            </c:extLst>
          </c:dPt>
          <c:dPt>
            <c:idx val="12"/>
            <c:marker>
              <c:symbol val="none"/>
            </c:marker>
            <c:bubble3D val="0"/>
            <c:spPr>
              <a:ln w="15875" cap="rnd">
                <a:solidFill>
                  <a:schemeClr val="accent3">
                    <a:shade val="88000"/>
                  </a:schemeClr>
                </a:solidFill>
                <a:round/>
              </a:ln>
              <a:effectLst/>
            </c:spPr>
            <c:extLst>
              <c:ext xmlns:c16="http://schemas.microsoft.com/office/drawing/2014/chart" uri="{C3380CC4-5D6E-409C-BE32-E72D297353CC}">
                <c16:uniqueId val="{00000019-D945-4AC0-9BF6-2CAA5846D695}"/>
              </c:ext>
            </c:extLst>
          </c:dPt>
          <c:dPt>
            <c:idx val="13"/>
            <c:marker>
              <c:symbol val="none"/>
            </c:marker>
            <c:bubble3D val="0"/>
            <c:spPr>
              <a:ln w="15875" cap="rnd">
                <a:solidFill>
                  <a:schemeClr val="accent3">
                    <a:shade val="93000"/>
                  </a:schemeClr>
                </a:solidFill>
                <a:round/>
              </a:ln>
              <a:effectLst/>
            </c:spPr>
            <c:extLst>
              <c:ext xmlns:c16="http://schemas.microsoft.com/office/drawing/2014/chart" uri="{C3380CC4-5D6E-409C-BE32-E72D297353CC}">
                <c16:uniqueId val="{0000001B-D945-4AC0-9BF6-2CAA5846D695}"/>
              </c:ext>
            </c:extLst>
          </c:dPt>
          <c:dPt>
            <c:idx val="14"/>
            <c:marker>
              <c:symbol val="none"/>
            </c:marker>
            <c:bubble3D val="0"/>
            <c:spPr>
              <a:ln w="15875" cap="rnd">
                <a:solidFill>
                  <a:schemeClr val="accent3">
                    <a:shade val="97000"/>
                  </a:schemeClr>
                </a:solidFill>
                <a:round/>
              </a:ln>
              <a:effectLst/>
            </c:spPr>
            <c:extLst>
              <c:ext xmlns:c16="http://schemas.microsoft.com/office/drawing/2014/chart" uri="{C3380CC4-5D6E-409C-BE32-E72D297353CC}">
                <c16:uniqueId val="{0000001D-D945-4AC0-9BF6-2CAA5846D695}"/>
              </c:ext>
            </c:extLst>
          </c:dPt>
          <c:dPt>
            <c:idx val="15"/>
            <c:marker>
              <c:symbol val="none"/>
            </c:marker>
            <c:bubble3D val="0"/>
            <c:spPr>
              <a:ln w="15875" cap="rnd">
                <a:solidFill>
                  <a:schemeClr val="accent3">
                    <a:tint val="98000"/>
                  </a:schemeClr>
                </a:solidFill>
                <a:round/>
              </a:ln>
              <a:effectLst/>
            </c:spPr>
            <c:extLst>
              <c:ext xmlns:c16="http://schemas.microsoft.com/office/drawing/2014/chart" uri="{C3380CC4-5D6E-409C-BE32-E72D297353CC}">
                <c16:uniqueId val="{0000001F-D945-4AC0-9BF6-2CAA5846D695}"/>
              </c:ext>
            </c:extLst>
          </c:dPt>
          <c:dPt>
            <c:idx val="16"/>
            <c:marker>
              <c:symbol val="none"/>
            </c:marker>
            <c:bubble3D val="0"/>
            <c:spPr>
              <a:ln w="15875" cap="rnd">
                <a:solidFill>
                  <a:schemeClr val="accent3">
                    <a:tint val="94000"/>
                  </a:schemeClr>
                </a:solidFill>
                <a:round/>
              </a:ln>
              <a:effectLst/>
            </c:spPr>
            <c:extLst>
              <c:ext xmlns:c16="http://schemas.microsoft.com/office/drawing/2014/chart" uri="{C3380CC4-5D6E-409C-BE32-E72D297353CC}">
                <c16:uniqueId val="{00000021-D945-4AC0-9BF6-2CAA5846D695}"/>
              </c:ext>
            </c:extLst>
          </c:dPt>
          <c:dPt>
            <c:idx val="17"/>
            <c:marker>
              <c:symbol val="none"/>
            </c:marker>
            <c:bubble3D val="0"/>
            <c:spPr>
              <a:ln w="15875" cap="rnd">
                <a:solidFill>
                  <a:schemeClr val="accent3">
                    <a:tint val="89000"/>
                  </a:schemeClr>
                </a:solidFill>
                <a:round/>
              </a:ln>
              <a:effectLst/>
            </c:spPr>
            <c:extLst>
              <c:ext xmlns:c16="http://schemas.microsoft.com/office/drawing/2014/chart" uri="{C3380CC4-5D6E-409C-BE32-E72D297353CC}">
                <c16:uniqueId val="{00000023-D945-4AC0-9BF6-2CAA5846D695}"/>
              </c:ext>
            </c:extLst>
          </c:dPt>
          <c:dPt>
            <c:idx val="18"/>
            <c:marker>
              <c:symbol val="none"/>
            </c:marker>
            <c:bubble3D val="0"/>
            <c:spPr>
              <a:ln w="15875" cap="rnd">
                <a:solidFill>
                  <a:schemeClr val="accent3">
                    <a:tint val="85000"/>
                  </a:schemeClr>
                </a:solidFill>
                <a:round/>
              </a:ln>
              <a:effectLst/>
            </c:spPr>
            <c:extLst>
              <c:ext xmlns:c16="http://schemas.microsoft.com/office/drawing/2014/chart" uri="{C3380CC4-5D6E-409C-BE32-E72D297353CC}">
                <c16:uniqueId val="{00000025-D945-4AC0-9BF6-2CAA5846D695}"/>
              </c:ext>
            </c:extLst>
          </c:dPt>
          <c:dPt>
            <c:idx val="19"/>
            <c:marker>
              <c:symbol val="none"/>
            </c:marker>
            <c:bubble3D val="0"/>
            <c:spPr>
              <a:ln w="15875" cap="rnd">
                <a:solidFill>
                  <a:schemeClr val="accent3">
                    <a:tint val="80000"/>
                  </a:schemeClr>
                </a:solidFill>
                <a:round/>
              </a:ln>
              <a:effectLst/>
            </c:spPr>
            <c:extLst>
              <c:ext xmlns:c16="http://schemas.microsoft.com/office/drawing/2014/chart" uri="{C3380CC4-5D6E-409C-BE32-E72D297353CC}">
                <c16:uniqueId val="{00000027-D945-4AC0-9BF6-2CAA5846D695}"/>
              </c:ext>
            </c:extLst>
          </c:dPt>
          <c:dPt>
            <c:idx val="20"/>
            <c:marker>
              <c:symbol val="none"/>
            </c:marker>
            <c:bubble3D val="0"/>
            <c:spPr>
              <a:ln w="15875" cap="rnd">
                <a:solidFill>
                  <a:schemeClr val="accent3">
                    <a:tint val="76000"/>
                  </a:schemeClr>
                </a:solidFill>
                <a:round/>
              </a:ln>
              <a:effectLst/>
            </c:spPr>
            <c:extLst>
              <c:ext xmlns:c16="http://schemas.microsoft.com/office/drawing/2014/chart" uri="{C3380CC4-5D6E-409C-BE32-E72D297353CC}">
                <c16:uniqueId val="{00000029-D945-4AC0-9BF6-2CAA5846D695}"/>
              </c:ext>
            </c:extLst>
          </c:dPt>
          <c:dPt>
            <c:idx val="21"/>
            <c:marker>
              <c:symbol val="none"/>
            </c:marker>
            <c:bubble3D val="0"/>
            <c:spPr>
              <a:ln w="15875" cap="rnd">
                <a:solidFill>
                  <a:schemeClr val="accent3">
                    <a:tint val="71000"/>
                  </a:schemeClr>
                </a:solidFill>
                <a:round/>
              </a:ln>
              <a:effectLst/>
            </c:spPr>
            <c:extLst>
              <c:ext xmlns:c16="http://schemas.microsoft.com/office/drawing/2014/chart" uri="{C3380CC4-5D6E-409C-BE32-E72D297353CC}">
                <c16:uniqueId val="{0000002B-D945-4AC0-9BF6-2CAA5846D695}"/>
              </c:ext>
            </c:extLst>
          </c:dPt>
          <c:dPt>
            <c:idx val="22"/>
            <c:marker>
              <c:symbol val="none"/>
            </c:marker>
            <c:bubble3D val="0"/>
            <c:spPr>
              <a:ln w="15875" cap="rnd">
                <a:solidFill>
                  <a:schemeClr val="accent3">
                    <a:tint val="67000"/>
                  </a:schemeClr>
                </a:solidFill>
                <a:round/>
              </a:ln>
              <a:effectLst/>
            </c:spPr>
            <c:extLst>
              <c:ext xmlns:c16="http://schemas.microsoft.com/office/drawing/2014/chart" uri="{C3380CC4-5D6E-409C-BE32-E72D297353CC}">
                <c16:uniqueId val="{0000002D-D945-4AC0-9BF6-2CAA5846D695}"/>
              </c:ext>
            </c:extLst>
          </c:dPt>
          <c:dPt>
            <c:idx val="23"/>
            <c:marker>
              <c:symbol val="none"/>
            </c:marker>
            <c:bubble3D val="0"/>
            <c:spPr>
              <a:ln w="15875" cap="rnd">
                <a:solidFill>
                  <a:schemeClr val="accent3">
                    <a:tint val="62000"/>
                  </a:schemeClr>
                </a:solidFill>
                <a:round/>
              </a:ln>
              <a:effectLst/>
            </c:spPr>
            <c:extLst>
              <c:ext xmlns:c16="http://schemas.microsoft.com/office/drawing/2014/chart" uri="{C3380CC4-5D6E-409C-BE32-E72D297353CC}">
                <c16:uniqueId val="{0000002F-D945-4AC0-9BF6-2CAA5846D695}"/>
              </c:ext>
            </c:extLst>
          </c:dPt>
          <c:dPt>
            <c:idx val="24"/>
            <c:marker>
              <c:symbol val="none"/>
            </c:marker>
            <c:bubble3D val="0"/>
            <c:spPr>
              <a:ln w="15875" cap="rnd">
                <a:solidFill>
                  <a:schemeClr val="accent3">
                    <a:tint val="58000"/>
                  </a:schemeClr>
                </a:solidFill>
                <a:round/>
              </a:ln>
              <a:effectLst/>
            </c:spPr>
            <c:extLst>
              <c:ext xmlns:c16="http://schemas.microsoft.com/office/drawing/2014/chart" uri="{C3380CC4-5D6E-409C-BE32-E72D297353CC}">
                <c16:uniqueId val="{00000031-D945-4AC0-9BF6-2CAA5846D695}"/>
              </c:ext>
            </c:extLst>
          </c:dPt>
          <c:dPt>
            <c:idx val="25"/>
            <c:marker>
              <c:symbol val="none"/>
            </c:marker>
            <c:bubble3D val="0"/>
            <c:spPr>
              <a:ln w="15875" cap="rnd">
                <a:solidFill>
                  <a:schemeClr val="accent3">
                    <a:tint val="53000"/>
                  </a:schemeClr>
                </a:solidFill>
                <a:round/>
              </a:ln>
              <a:effectLst/>
            </c:spPr>
            <c:extLst>
              <c:ext xmlns:c16="http://schemas.microsoft.com/office/drawing/2014/chart" uri="{C3380CC4-5D6E-409C-BE32-E72D297353CC}">
                <c16:uniqueId val="{00000033-D945-4AC0-9BF6-2CAA5846D695}"/>
              </c:ext>
            </c:extLst>
          </c:dPt>
          <c:dPt>
            <c:idx val="26"/>
            <c:marker>
              <c:symbol val="none"/>
            </c:marker>
            <c:bubble3D val="0"/>
            <c:spPr>
              <a:ln w="15875" cap="rnd">
                <a:solidFill>
                  <a:schemeClr val="accent3">
                    <a:tint val="49000"/>
                  </a:schemeClr>
                </a:solidFill>
                <a:round/>
              </a:ln>
              <a:effectLst/>
            </c:spPr>
            <c:extLst>
              <c:ext xmlns:c16="http://schemas.microsoft.com/office/drawing/2014/chart" uri="{C3380CC4-5D6E-409C-BE32-E72D297353CC}">
                <c16:uniqueId val="{00000035-D945-4AC0-9BF6-2CAA5846D695}"/>
              </c:ext>
            </c:extLst>
          </c:dPt>
          <c:dPt>
            <c:idx val="27"/>
            <c:marker>
              <c:symbol val="none"/>
            </c:marker>
            <c:bubble3D val="0"/>
            <c:spPr>
              <a:ln w="15875" cap="rnd">
                <a:solidFill>
                  <a:schemeClr val="accent3">
                    <a:tint val="44000"/>
                  </a:schemeClr>
                </a:solidFill>
                <a:round/>
              </a:ln>
              <a:effectLst/>
            </c:spPr>
            <c:extLst>
              <c:ext xmlns:c16="http://schemas.microsoft.com/office/drawing/2014/chart" uri="{C3380CC4-5D6E-409C-BE32-E72D297353CC}">
                <c16:uniqueId val="{00000037-D945-4AC0-9BF6-2CAA5846D695}"/>
              </c:ext>
            </c:extLst>
          </c:dPt>
          <c:dPt>
            <c:idx val="28"/>
            <c:marker>
              <c:symbol val="none"/>
            </c:marker>
            <c:bubble3D val="0"/>
            <c:spPr>
              <a:ln w="15875" cap="rnd">
                <a:solidFill>
                  <a:schemeClr val="accent3">
                    <a:tint val="44000"/>
                  </a:schemeClr>
                </a:solidFill>
                <a:round/>
              </a:ln>
              <a:effectLst/>
            </c:spPr>
            <c:extLst>
              <c:ext xmlns:c16="http://schemas.microsoft.com/office/drawing/2014/chart" uri="{C3380CC4-5D6E-409C-BE32-E72D297353CC}">
                <c16:uniqueId val="{00000039-D945-4AC0-9BF6-2CAA5846D695}"/>
              </c:ext>
            </c:extLst>
          </c:dPt>
          <c:dPt>
            <c:idx val="29"/>
            <c:marker>
              <c:symbol val="none"/>
            </c:marker>
            <c:bubble3D val="0"/>
            <c:spPr>
              <a:ln w="15875" cap="rnd">
                <a:solidFill>
                  <a:schemeClr val="accent3">
                    <a:tint val="35000"/>
                  </a:schemeClr>
                </a:solidFill>
                <a:round/>
              </a:ln>
              <a:effectLst/>
            </c:spPr>
            <c:extLst>
              <c:ext xmlns:c16="http://schemas.microsoft.com/office/drawing/2014/chart" uri="{C3380CC4-5D6E-409C-BE32-E72D297353CC}">
                <c16:uniqueId val="{0000003B-D945-4AC0-9BF6-2CAA5846D695}"/>
              </c:ext>
            </c:extLst>
          </c:dPt>
          <c:dPt>
            <c:idx val="30"/>
            <c:marker>
              <c:symbol val="none"/>
            </c:marker>
            <c:bubble3D val="0"/>
            <c:spPr>
              <a:ln w="15875" cap="rnd">
                <a:solidFill>
                  <a:schemeClr val="accent3">
                    <a:tint val="35000"/>
                  </a:schemeClr>
                </a:solidFill>
                <a:round/>
              </a:ln>
              <a:effectLst/>
            </c:spPr>
            <c:extLst>
              <c:ext xmlns:c16="http://schemas.microsoft.com/office/drawing/2014/chart" uri="{C3380CC4-5D6E-409C-BE32-E72D297353CC}">
                <c16:uniqueId val="{0000003D-5DF6-4A5C-851E-B5FB45772886}"/>
              </c:ext>
            </c:extLst>
          </c:dPt>
          <c:dPt>
            <c:idx val="31"/>
            <c:marker>
              <c:symbol val="none"/>
            </c:marker>
            <c:bubble3D val="0"/>
            <c:spPr>
              <a:ln w="15875" cap="rnd">
                <a:solidFill>
                  <a:schemeClr val="accent3">
                    <a:tint val="53000"/>
                  </a:schemeClr>
                </a:solidFill>
                <a:round/>
              </a:ln>
              <a:effectLst/>
            </c:spPr>
            <c:extLst>
              <c:ext xmlns:c16="http://schemas.microsoft.com/office/drawing/2014/chart" uri="{C3380CC4-5D6E-409C-BE32-E72D297353CC}">
                <c16:uniqueId val="{0000003F-DEE5-4168-9036-D9E614B76380}"/>
              </c:ext>
            </c:extLst>
          </c:dPt>
          <c:dPt>
            <c:idx val="32"/>
            <c:marker>
              <c:symbol val="none"/>
            </c:marker>
            <c:bubble3D val="0"/>
            <c:spPr>
              <a:ln w="15875" cap="rnd">
                <a:solidFill>
                  <a:schemeClr val="accent3">
                    <a:tint val="49000"/>
                  </a:schemeClr>
                </a:solidFill>
                <a:round/>
              </a:ln>
              <a:effectLst/>
            </c:spPr>
            <c:extLst>
              <c:ext xmlns:c16="http://schemas.microsoft.com/office/drawing/2014/chart" uri="{C3380CC4-5D6E-409C-BE32-E72D297353CC}">
                <c16:uniqueId val="{00000041-DEE5-4168-9036-D9E614B76380}"/>
              </c:ext>
            </c:extLst>
          </c:dPt>
          <c:dPt>
            <c:idx val="33"/>
            <c:marker>
              <c:symbol val="none"/>
            </c:marker>
            <c:bubble3D val="0"/>
            <c:spPr>
              <a:ln w="15875" cap="rnd">
                <a:solidFill>
                  <a:schemeClr val="accent3">
                    <a:tint val="45000"/>
                  </a:schemeClr>
                </a:solidFill>
                <a:round/>
              </a:ln>
              <a:effectLst/>
            </c:spPr>
            <c:extLst>
              <c:ext xmlns:c16="http://schemas.microsoft.com/office/drawing/2014/chart" uri="{C3380CC4-5D6E-409C-BE32-E72D297353CC}">
                <c16:uniqueId val="{00000043-DEE5-4168-9036-D9E614B76380}"/>
              </c:ext>
            </c:extLst>
          </c:dPt>
          <c:dPt>
            <c:idx val="34"/>
            <c:marker>
              <c:symbol val="none"/>
            </c:marker>
            <c:bubble3D val="0"/>
            <c:spPr>
              <a:ln w="15875" cap="rnd">
                <a:solidFill>
                  <a:schemeClr val="accent3">
                    <a:tint val="42000"/>
                  </a:schemeClr>
                </a:solidFill>
                <a:round/>
              </a:ln>
              <a:effectLst/>
            </c:spPr>
            <c:extLst>
              <c:ext xmlns:c16="http://schemas.microsoft.com/office/drawing/2014/chart" uri="{C3380CC4-5D6E-409C-BE32-E72D297353CC}">
                <c16:uniqueId val="{00000045-DEE5-4168-9036-D9E614B76380}"/>
              </c:ext>
            </c:extLst>
          </c:dPt>
          <c:dPt>
            <c:idx val="35"/>
            <c:marker>
              <c:symbol val="none"/>
            </c:marker>
            <c:bubble3D val="0"/>
            <c:spPr>
              <a:ln w="15875" cap="rnd">
                <a:solidFill>
                  <a:schemeClr val="accent3">
                    <a:tint val="38000"/>
                  </a:schemeClr>
                </a:solidFill>
                <a:round/>
              </a:ln>
              <a:effectLst/>
            </c:spPr>
            <c:extLst>
              <c:ext xmlns:c16="http://schemas.microsoft.com/office/drawing/2014/chart" uri="{C3380CC4-5D6E-409C-BE32-E72D297353CC}">
                <c16:uniqueId val="{00000047-DEE5-4168-9036-D9E614B76380}"/>
              </c:ext>
            </c:extLst>
          </c:dPt>
          <c:dPt>
            <c:idx val="36"/>
            <c:marker>
              <c:symbol val="none"/>
            </c:marker>
            <c:bubble3D val="0"/>
            <c:spPr>
              <a:ln w="15875" cap="rnd">
                <a:solidFill>
                  <a:schemeClr val="accent3">
                    <a:tint val="34000"/>
                  </a:schemeClr>
                </a:solidFill>
                <a:round/>
              </a:ln>
              <a:effectLst/>
            </c:spPr>
            <c:extLst>
              <c:ext xmlns:c16="http://schemas.microsoft.com/office/drawing/2014/chart" uri="{C3380CC4-5D6E-409C-BE32-E72D297353CC}">
                <c16:uniqueId val="{00000049-DEE5-4168-9036-D9E614B76380}"/>
              </c:ext>
            </c:extLst>
          </c:dPt>
          <c:dPt>
            <c:idx val="37"/>
            <c:marker>
              <c:symbol val="none"/>
            </c:marker>
            <c:bubble3D val="0"/>
            <c:spPr>
              <a:ln w="15875" cap="rnd">
                <a:solidFill>
                  <a:schemeClr val="accent3">
                    <a:tint val="34000"/>
                  </a:schemeClr>
                </a:solidFill>
                <a:round/>
              </a:ln>
              <a:effectLst/>
            </c:spPr>
            <c:extLst>
              <c:ext xmlns:c16="http://schemas.microsoft.com/office/drawing/2014/chart" uri="{C3380CC4-5D6E-409C-BE32-E72D297353CC}">
                <c16:uniqueId val="{0000004B-8BF1-41E6-840A-DEADA0F56209}"/>
              </c:ext>
            </c:extLst>
          </c:dPt>
          <c:val>
            <c:numRef>
              <c:f>'BASE DA MATRIZ DE RISCOS'!$G$78:$G$106</c:f>
              <c:numCache>
                <c:formatCode>0</c:formatCode>
                <c:ptCount val="29"/>
                <c:pt idx="0">
                  <c:v>4</c:v>
                </c:pt>
                <c:pt idx="1">
                  <c:v>3</c:v>
                </c:pt>
                <c:pt idx="2">
                  <c:v>3</c:v>
                </c:pt>
                <c:pt idx="3">
                  <c:v>1</c:v>
                </c:pt>
                <c:pt idx="4">
                  <c:v>1</c:v>
                </c:pt>
                <c:pt idx="5">
                  <c:v>3</c:v>
                </c:pt>
                <c:pt idx="6">
                  <c:v>3</c:v>
                </c:pt>
                <c:pt idx="7">
                  <c:v>5</c:v>
                </c:pt>
                <c:pt idx="8">
                  <c:v>5</c:v>
                </c:pt>
                <c:pt idx="9">
                  <c:v>5</c:v>
                </c:pt>
                <c:pt idx="10">
                  <c:v>5</c:v>
                </c:pt>
                <c:pt idx="11">
                  <c:v>5</c:v>
                </c:pt>
                <c:pt idx="12">
                  <c:v>3</c:v>
                </c:pt>
                <c:pt idx="13">
                  <c:v>4</c:v>
                </c:pt>
                <c:pt idx="14">
                  <c:v>3</c:v>
                </c:pt>
                <c:pt idx="15">
                  <c:v>3</c:v>
                </c:pt>
                <c:pt idx="16">
                  <c:v>2</c:v>
                </c:pt>
                <c:pt idx="17">
                  <c:v>4</c:v>
                </c:pt>
                <c:pt idx="18">
                  <c:v>4</c:v>
                </c:pt>
                <c:pt idx="19">
                  <c:v>3</c:v>
                </c:pt>
                <c:pt idx="20">
                  <c:v>5</c:v>
                </c:pt>
                <c:pt idx="21">
                  <c:v>4</c:v>
                </c:pt>
                <c:pt idx="22">
                  <c:v>4</c:v>
                </c:pt>
                <c:pt idx="23">
                  <c:v>4</c:v>
                </c:pt>
                <c:pt idx="24">
                  <c:v>3</c:v>
                </c:pt>
                <c:pt idx="25">
                  <c:v>4</c:v>
                </c:pt>
                <c:pt idx="26">
                  <c:v>5</c:v>
                </c:pt>
                <c:pt idx="27">
                  <c:v>3</c:v>
                </c:pt>
                <c:pt idx="28">
                  <c:v>5</c:v>
                </c:pt>
              </c:numCache>
            </c:numRef>
          </c:val>
          <c:extLst>
            <c:ext xmlns:c16="http://schemas.microsoft.com/office/drawing/2014/chart" uri="{C3380CC4-5D6E-409C-BE32-E72D297353CC}">
              <c16:uniqueId val="{00000000-5A37-4793-8EDA-3CAAF3E15AFF}"/>
            </c:ext>
          </c:extLst>
        </c:ser>
        <c:dLbls>
          <c:showLegendKey val="0"/>
          <c:showVal val="0"/>
          <c:showCatName val="0"/>
          <c:showSerName val="0"/>
          <c:showPercent val="0"/>
          <c:showBubbleSize val="0"/>
        </c:dLbls>
        <c:axId val="117164442"/>
        <c:axId val="857302370"/>
      </c:radarChart>
      <c:catAx>
        <c:axId val="11716444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7302370"/>
        <c:crosses val="autoZero"/>
        <c:auto val="1"/>
        <c:lblAlgn val="ctr"/>
        <c:lblOffset val="100"/>
        <c:noMultiLvlLbl val="1"/>
      </c:catAx>
      <c:valAx>
        <c:axId val="85730237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164442"/>
        <c:crosses val="autoZero"/>
        <c:crossBetween val="between"/>
      </c:valAx>
      <c:spPr>
        <a:noFill/>
        <a:ln>
          <a:noFill/>
        </a:ln>
        <a:effectLst/>
      </c:spPr>
    </c:plotArea>
    <c:plotVisOnly val="1"/>
    <c:dispBlanksAs val="zero"/>
    <c:showDLblsOverMax val="1"/>
  </c:chart>
  <c:spPr>
    <a:no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radarChart>
        <c:radarStyle val="marker"/>
        <c:varyColors val="1"/>
        <c:ser>
          <c:idx val="0"/>
          <c:order val="0"/>
          <c:tx>
            <c:strRef>
              <c:f>'BASE DA MATRIZ DE RISCOS'!$H$77</c:f>
              <c:strCache>
                <c:ptCount val="1"/>
                <c:pt idx="0">
                  <c:v>Perdas/
Impacto</c:v>
                </c:pt>
              </c:strCache>
            </c:strRef>
          </c:tx>
          <c:marker>
            <c:symbol val="none"/>
          </c:marker>
          <c:dPt>
            <c:idx val="0"/>
            <c:marker>
              <c:symbol val="none"/>
            </c:marker>
            <c:bubble3D val="0"/>
            <c:spPr>
              <a:ln w="15875" cap="rnd">
                <a:solidFill>
                  <a:schemeClr val="accent1">
                    <a:shade val="34000"/>
                  </a:schemeClr>
                </a:solidFill>
                <a:round/>
              </a:ln>
              <a:effectLst/>
            </c:spPr>
            <c:extLst>
              <c:ext xmlns:c16="http://schemas.microsoft.com/office/drawing/2014/chart" uri="{C3380CC4-5D6E-409C-BE32-E72D297353CC}">
                <c16:uniqueId val="{00000001-ECF8-4859-B049-4DE848546E7C}"/>
              </c:ext>
            </c:extLst>
          </c:dPt>
          <c:dPt>
            <c:idx val="1"/>
            <c:marker>
              <c:symbol val="none"/>
            </c:marker>
            <c:bubble3D val="0"/>
            <c:spPr>
              <a:ln w="15875" cap="rnd">
                <a:solidFill>
                  <a:schemeClr val="accent1">
                    <a:shade val="39000"/>
                  </a:schemeClr>
                </a:solidFill>
                <a:round/>
              </a:ln>
              <a:effectLst/>
            </c:spPr>
            <c:extLst>
              <c:ext xmlns:c16="http://schemas.microsoft.com/office/drawing/2014/chart" uri="{C3380CC4-5D6E-409C-BE32-E72D297353CC}">
                <c16:uniqueId val="{00000003-ECF8-4859-B049-4DE848546E7C}"/>
              </c:ext>
            </c:extLst>
          </c:dPt>
          <c:dPt>
            <c:idx val="2"/>
            <c:marker>
              <c:symbol val="none"/>
            </c:marker>
            <c:bubble3D val="0"/>
            <c:spPr>
              <a:ln w="15875" cap="rnd">
                <a:solidFill>
                  <a:schemeClr val="accent1">
                    <a:shade val="43000"/>
                  </a:schemeClr>
                </a:solidFill>
                <a:round/>
              </a:ln>
              <a:effectLst/>
            </c:spPr>
            <c:extLst>
              <c:ext xmlns:c16="http://schemas.microsoft.com/office/drawing/2014/chart" uri="{C3380CC4-5D6E-409C-BE32-E72D297353CC}">
                <c16:uniqueId val="{00000005-ECF8-4859-B049-4DE848546E7C}"/>
              </c:ext>
            </c:extLst>
          </c:dPt>
          <c:dPt>
            <c:idx val="3"/>
            <c:marker>
              <c:symbol val="none"/>
            </c:marker>
            <c:bubble3D val="0"/>
            <c:spPr>
              <a:ln w="15875" cap="rnd">
                <a:solidFill>
                  <a:schemeClr val="accent1">
                    <a:shade val="48000"/>
                  </a:schemeClr>
                </a:solidFill>
                <a:round/>
              </a:ln>
              <a:effectLst/>
            </c:spPr>
            <c:extLst>
              <c:ext xmlns:c16="http://schemas.microsoft.com/office/drawing/2014/chart" uri="{C3380CC4-5D6E-409C-BE32-E72D297353CC}">
                <c16:uniqueId val="{00000007-ECF8-4859-B049-4DE848546E7C}"/>
              </c:ext>
            </c:extLst>
          </c:dPt>
          <c:dPt>
            <c:idx val="4"/>
            <c:marker>
              <c:symbol val="none"/>
            </c:marker>
            <c:bubble3D val="0"/>
            <c:spPr>
              <a:ln w="15875" cap="rnd">
                <a:solidFill>
                  <a:schemeClr val="accent1">
                    <a:shade val="52000"/>
                  </a:schemeClr>
                </a:solidFill>
                <a:round/>
              </a:ln>
              <a:effectLst/>
            </c:spPr>
            <c:extLst>
              <c:ext xmlns:c16="http://schemas.microsoft.com/office/drawing/2014/chart" uri="{C3380CC4-5D6E-409C-BE32-E72D297353CC}">
                <c16:uniqueId val="{00000009-ECF8-4859-B049-4DE848546E7C}"/>
              </c:ext>
            </c:extLst>
          </c:dPt>
          <c:dPt>
            <c:idx val="5"/>
            <c:marker>
              <c:symbol val="none"/>
            </c:marker>
            <c:bubble3D val="0"/>
            <c:spPr>
              <a:ln w="15875" cap="rnd">
                <a:solidFill>
                  <a:schemeClr val="accent1">
                    <a:shade val="57000"/>
                  </a:schemeClr>
                </a:solidFill>
                <a:round/>
              </a:ln>
              <a:effectLst/>
            </c:spPr>
            <c:extLst>
              <c:ext xmlns:c16="http://schemas.microsoft.com/office/drawing/2014/chart" uri="{C3380CC4-5D6E-409C-BE32-E72D297353CC}">
                <c16:uniqueId val="{0000000B-ECF8-4859-B049-4DE848546E7C}"/>
              </c:ext>
            </c:extLst>
          </c:dPt>
          <c:dPt>
            <c:idx val="6"/>
            <c:marker>
              <c:symbol val="none"/>
            </c:marker>
            <c:bubble3D val="0"/>
            <c:spPr>
              <a:ln w="15875" cap="rnd">
                <a:solidFill>
                  <a:schemeClr val="accent1">
                    <a:shade val="61000"/>
                  </a:schemeClr>
                </a:solidFill>
                <a:round/>
              </a:ln>
              <a:effectLst/>
            </c:spPr>
            <c:extLst>
              <c:ext xmlns:c16="http://schemas.microsoft.com/office/drawing/2014/chart" uri="{C3380CC4-5D6E-409C-BE32-E72D297353CC}">
                <c16:uniqueId val="{0000000D-ECF8-4859-B049-4DE848546E7C}"/>
              </c:ext>
            </c:extLst>
          </c:dPt>
          <c:dPt>
            <c:idx val="7"/>
            <c:marker>
              <c:symbol val="none"/>
            </c:marker>
            <c:bubble3D val="0"/>
            <c:spPr>
              <a:ln w="15875" cap="rnd">
                <a:solidFill>
                  <a:schemeClr val="accent1">
                    <a:shade val="66000"/>
                  </a:schemeClr>
                </a:solidFill>
                <a:round/>
              </a:ln>
              <a:effectLst/>
            </c:spPr>
            <c:extLst>
              <c:ext xmlns:c16="http://schemas.microsoft.com/office/drawing/2014/chart" uri="{C3380CC4-5D6E-409C-BE32-E72D297353CC}">
                <c16:uniqueId val="{0000000F-ECF8-4859-B049-4DE848546E7C}"/>
              </c:ext>
            </c:extLst>
          </c:dPt>
          <c:dPt>
            <c:idx val="8"/>
            <c:marker>
              <c:symbol val="none"/>
            </c:marker>
            <c:bubble3D val="0"/>
            <c:spPr>
              <a:ln w="15875" cap="rnd">
                <a:solidFill>
                  <a:schemeClr val="accent1">
                    <a:shade val="70000"/>
                  </a:schemeClr>
                </a:solidFill>
                <a:round/>
              </a:ln>
              <a:effectLst/>
            </c:spPr>
            <c:extLst>
              <c:ext xmlns:c16="http://schemas.microsoft.com/office/drawing/2014/chart" uri="{C3380CC4-5D6E-409C-BE32-E72D297353CC}">
                <c16:uniqueId val="{00000011-ECF8-4859-B049-4DE848546E7C}"/>
              </c:ext>
            </c:extLst>
          </c:dPt>
          <c:dPt>
            <c:idx val="9"/>
            <c:marker>
              <c:symbol val="none"/>
            </c:marker>
            <c:bubble3D val="0"/>
            <c:spPr>
              <a:ln w="15875" cap="rnd">
                <a:solidFill>
                  <a:schemeClr val="accent1">
                    <a:shade val="75000"/>
                  </a:schemeClr>
                </a:solidFill>
                <a:round/>
              </a:ln>
              <a:effectLst/>
            </c:spPr>
            <c:extLst>
              <c:ext xmlns:c16="http://schemas.microsoft.com/office/drawing/2014/chart" uri="{C3380CC4-5D6E-409C-BE32-E72D297353CC}">
                <c16:uniqueId val="{00000013-ECF8-4859-B049-4DE848546E7C}"/>
              </c:ext>
            </c:extLst>
          </c:dPt>
          <c:dPt>
            <c:idx val="10"/>
            <c:marker>
              <c:symbol val="none"/>
            </c:marker>
            <c:bubble3D val="0"/>
            <c:spPr>
              <a:ln w="15875" cap="rnd">
                <a:solidFill>
                  <a:schemeClr val="accent1">
                    <a:shade val="79000"/>
                  </a:schemeClr>
                </a:solidFill>
                <a:round/>
              </a:ln>
              <a:effectLst/>
            </c:spPr>
            <c:extLst>
              <c:ext xmlns:c16="http://schemas.microsoft.com/office/drawing/2014/chart" uri="{C3380CC4-5D6E-409C-BE32-E72D297353CC}">
                <c16:uniqueId val="{00000015-ECF8-4859-B049-4DE848546E7C}"/>
              </c:ext>
            </c:extLst>
          </c:dPt>
          <c:dPt>
            <c:idx val="11"/>
            <c:marker>
              <c:symbol val="none"/>
            </c:marker>
            <c:bubble3D val="0"/>
            <c:spPr>
              <a:ln w="15875" cap="rnd">
                <a:solidFill>
                  <a:schemeClr val="accent1">
                    <a:shade val="84000"/>
                  </a:schemeClr>
                </a:solidFill>
                <a:round/>
              </a:ln>
              <a:effectLst/>
            </c:spPr>
            <c:extLst>
              <c:ext xmlns:c16="http://schemas.microsoft.com/office/drawing/2014/chart" uri="{C3380CC4-5D6E-409C-BE32-E72D297353CC}">
                <c16:uniqueId val="{00000017-ECF8-4859-B049-4DE848546E7C}"/>
              </c:ext>
            </c:extLst>
          </c:dPt>
          <c:dPt>
            <c:idx val="12"/>
            <c:marker>
              <c:symbol val="none"/>
            </c:marker>
            <c:bubble3D val="0"/>
            <c:spPr>
              <a:ln w="15875" cap="rnd">
                <a:solidFill>
                  <a:schemeClr val="accent1">
                    <a:shade val="88000"/>
                  </a:schemeClr>
                </a:solidFill>
                <a:round/>
              </a:ln>
              <a:effectLst/>
            </c:spPr>
            <c:extLst>
              <c:ext xmlns:c16="http://schemas.microsoft.com/office/drawing/2014/chart" uri="{C3380CC4-5D6E-409C-BE32-E72D297353CC}">
                <c16:uniqueId val="{00000019-ECF8-4859-B049-4DE848546E7C}"/>
              </c:ext>
            </c:extLst>
          </c:dPt>
          <c:dPt>
            <c:idx val="13"/>
            <c:marker>
              <c:symbol val="none"/>
            </c:marker>
            <c:bubble3D val="0"/>
            <c:spPr>
              <a:ln w="15875" cap="rnd">
                <a:solidFill>
                  <a:schemeClr val="accent1">
                    <a:shade val="93000"/>
                  </a:schemeClr>
                </a:solidFill>
                <a:round/>
              </a:ln>
              <a:effectLst/>
            </c:spPr>
            <c:extLst>
              <c:ext xmlns:c16="http://schemas.microsoft.com/office/drawing/2014/chart" uri="{C3380CC4-5D6E-409C-BE32-E72D297353CC}">
                <c16:uniqueId val="{0000001B-ECF8-4859-B049-4DE848546E7C}"/>
              </c:ext>
            </c:extLst>
          </c:dPt>
          <c:dPt>
            <c:idx val="14"/>
            <c:marker>
              <c:symbol val="none"/>
            </c:marker>
            <c:bubble3D val="0"/>
            <c:spPr>
              <a:ln w="15875" cap="rnd">
                <a:solidFill>
                  <a:schemeClr val="accent1">
                    <a:shade val="97000"/>
                  </a:schemeClr>
                </a:solidFill>
                <a:round/>
              </a:ln>
              <a:effectLst/>
            </c:spPr>
            <c:extLst>
              <c:ext xmlns:c16="http://schemas.microsoft.com/office/drawing/2014/chart" uri="{C3380CC4-5D6E-409C-BE32-E72D297353CC}">
                <c16:uniqueId val="{0000001D-ECF8-4859-B049-4DE848546E7C}"/>
              </c:ext>
            </c:extLst>
          </c:dPt>
          <c:dPt>
            <c:idx val="15"/>
            <c:marker>
              <c:symbol val="none"/>
            </c:marker>
            <c:bubble3D val="0"/>
            <c:spPr>
              <a:ln w="15875" cap="rnd">
                <a:solidFill>
                  <a:schemeClr val="accent1">
                    <a:tint val="98000"/>
                  </a:schemeClr>
                </a:solidFill>
                <a:round/>
              </a:ln>
              <a:effectLst/>
            </c:spPr>
            <c:extLst>
              <c:ext xmlns:c16="http://schemas.microsoft.com/office/drawing/2014/chart" uri="{C3380CC4-5D6E-409C-BE32-E72D297353CC}">
                <c16:uniqueId val="{0000001F-ECF8-4859-B049-4DE848546E7C}"/>
              </c:ext>
            </c:extLst>
          </c:dPt>
          <c:dPt>
            <c:idx val="16"/>
            <c:marker>
              <c:symbol val="none"/>
            </c:marker>
            <c:bubble3D val="0"/>
            <c:spPr>
              <a:ln w="15875" cap="rnd">
                <a:solidFill>
                  <a:schemeClr val="accent1">
                    <a:tint val="94000"/>
                  </a:schemeClr>
                </a:solidFill>
                <a:round/>
              </a:ln>
              <a:effectLst/>
            </c:spPr>
            <c:extLst>
              <c:ext xmlns:c16="http://schemas.microsoft.com/office/drawing/2014/chart" uri="{C3380CC4-5D6E-409C-BE32-E72D297353CC}">
                <c16:uniqueId val="{00000021-ECF8-4859-B049-4DE848546E7C}"/>
              </c:ext>
            </c:extLst>
          </c:dPt>
          <c:dPt>
            <c:idx val="17"/>
            <c:marker>
              <c:symbol val="none"/>
            </c:marker>
            <c:bubble3D val="0"/>
            <c:spPr>
              <a:ln w="15875" cap="rnd">
                <a:solidFill>
                  <a:schemeClr val="accent1">
                    <a:tint val="89000"/>
                  </a:schemeClr>
                </a:solidFill>
                <a:round/>
              </a:ln>
              <a:effectLst/>
            </c:spPr>
            <c:extLst>
              <c:ext xmlns:c16="http://schemas.microsoft.com/office/drawing/2014/chart" uri="{C3380CC4-5D6E-409C-BE32-E72D297353CC}">
                <c16:uniqueId val="{00000023-ECF8-4859-B049-4DE848546E7C}"/>
              </c:ext>
            </c:extLst>
          </c:dPt>
          <c:dPt>
            <c:idx val="18"/>
            <c:marker>
              <c:symbol val="none"/>
            </c:marker>
            <c:bubble3D val="0"/>
            <c:spPr>
              <a:ln w="15875" cap="rnd">
                <a:solidFill>
                  <a:schemeClr val="accent1">
                    <a:tint val="85000"/>
                  </a:schemeClr>
                </a:solidFill>
                <a:round/>
              </a:ln>
              <a:effectLst/>
            </c:spPr>
            <c:extLst>
              <c:ext xmlns:c16="http://schemas.microsoft.com/office/drawing/2014/chart" uri="{C3380CC4-5D6E-409C-BE32-E72D297353CC}">
                <c16:uniqueId val="{00000025-ECF8-4859-B049-4DE848546E7C}"/>
              </c:ext>
            </c:extLst>
          </c:dPt>
          <c:dPt>
            <c:idx val="19"/>
            <c:marker>
              <c:symbol val="none"/>
            </c:marker>
            <c:bubble3D val="0"/>
            <c:spPr>
              <a:ln w="15875" cap="rnd">
                <a:solidFill>
                  <a:schemeClr val="accent1">
                    <a:tint val="80000"/>
                  </a:schemeClr>
                </a:solidFill>
                <a:round/>
              </a:ln>
              <a:effectLst/>
            </c:spPr>
            <c:extLst>
              <c:ext xmlns:c16="http://schemas.microsoft.com/office/drawing/2014/chart" uri="{C3380CC4-5D6E-409C-BE32-E72D297353CC}">
                <c16:uniqueId val="{00000027-ECF8-4859-B049-4DE848546E7C}"/>
              </c:ext>
            </c:extLst>
          </c:dPt>
          <c:dPt>
            <c:idx val="20"/>
            <c:marker>
              <c:symbol val="none"/>
            </c:marker>
            <c:bubble3D val="0"/>
            <c:spPr>
              <a:ln w="15875" cap="rnd">
                <a:solidFill>
                  <a:schemeClr val="accent1">
                    <a:tint val="76000"/>
                  </a:schemeClr>
                </a:solidFill>
                <a:round/>
              </a:ln>
              <a:effectLst/>
            </c:spPr>
            <c:extLst>
              <c:ext xmlns:c16="http://schemas.microsoft.com/office/drawing/2014/chart" uri="{C3380CC4-5D6E-409C-BE32-E72D297353CC}">
                <c16:uniqueId val="{00000029-ECF8-4859-B049-4DE848546E7C}"/>
              </c:ext>
            </c:extLst>
          </c:dPt>
          <c:dPt>
            <c:idx val="21"/>
            <c:marker>
              <c:symbol val="none"/>
            </c:marker>
            <c:bubble3D val="0"/>
            <c:spPr>
              <a:ln w="15875" cap="rnd">
                <a:solidFill>
                  <a:schemeClr val="accent1">
                    <a:tint val="71000"/>
                  </a:schemeClr>
                </a:solidFill>
                <a:round/>
              </a:ln>
              <a:effectLst/>
            </c:spPr>
            <c:extLst>
              <c:ext xmlns:c16="http://schemas.microsoft.com/office/drawing/2014/chart" uri="{C3380CC4-5D6E-409C-BE32-E72D297353CC}">
                <c16:uniqueId val="{0000002B-ECF8-4859-B049-4DE848546E7C}"/>
              </c:ext>
            </c:extLst>
          </c:dPt>
          <c:dPt>
            <c:idx val="22"/>
            <c:marker>
              <c:symbol val="none"/>
            </c:marker>
            <c:bubble3D val="0"/>
            <c:spPr>
              <a:ln w="15875" cap="rnd">
                <a:solidFill>
                  <a:schemeClr val="accent1">
                    <a:tint val="67000"/>
                  </a:schemeClr>
                </a:solidFill>
                <a:round/>
              </a:ln>
              <a:effectLst/>
            </c:spPr>
            <c:extLst>
              <c:ext xmlns:c16="http://schemas.microsoft.com/office/drawing/2014/chart" uri="{C3380CC4-5D6E-409C-BE32-E72D297353CC}">
                <c16:uniqueId val="{0000002D-ECF8-4859-B049-4DE848546E7C}"/>
              </c:ext>
            </c:extLst>
          </c:dPt>
          <c:dPt>
            <c:idx val="23"/>
            <c:marker>
              <c:symbol val="none"/>
            </c:marker>
            <c:bubble3D val="0"/>
            <c:spPr>
              <a:ln w="15875" cap="rnd">
                <a:solidFill>
                  <a:schemeClr val="accent1">
                    <a:tint val="62000"/>
                  </a:schemeClr>
                </a:solidFill>
                <a:round/>
              </a:ln>
              <a:effectLst/>
            </c:spPr>
            <c:extLst>
              <c:ext xmlns:c16="http://schemas.microsoft.com/office/drawing/2014/chart" uri="{C3380CC4-5D6E-409C-BE32-E72D297353CC}">
                <c16:uniqueId val="{0000002F-ECF8-4859-B049-4DE848546E7C}"/>
              </c:ext>
            </c:extLst>
          </c:dPt>
          <c:dPt>
            <c:idx val="24"/>
            <c:marker>
              <c:symbol val="none"/>
            </c:marker>
            <c:bubble3D val="0"/>
            <c:spPr>
              <a:ln w="15875" cap="rnd">
                <a:solidFill>
                  <a:schemeClr val="accent1">
                    <a:tint val="58000"/>
                  </a:schemeClr>
                </a:solidFill>
                <a:round/>
              </a:ln>
              <a:effectLst/>
            </c:spPr>
            <c:extLst>
              <c:ext xmlns:c16="http://schemas.microsoft.com/office/drawing/2014/chart" uri="{C3380CC4-5D6E-409C-BE32-E72D297353CC}">
                <c16:uniqueId val="{00000031-ECF8-4859-B049-4DE848546E7C}"/>
              </c:ext>
            </c:extLst>
          </c:dPt>
          <c:dPt>
            <c:idx val="25"/>
            <c:marker>
              <c:symbol val="none"/>
            </c:marker>
            <c:bubble3D val="0"/>
            <c:spPr>
              <a:ln w="15875" cap="rnd">
                <a:solidFill>
                  <a:schemeClr val="accent1">
                    <a:tint val="53000"/>
                  </a:schemeClr>
                </a:solidFill>
                <a:round/>
              </a:ln>
              <a:effectLst/>
            </c:spPr>
            <c:extLst>
              <c:ext xmlns:c16="http://schemas.microsoft.com/office/drawing/2014/chart" uri="{C3380CC4-5D6E-409C-BE32-E72D297353CC}">
                <c16:uniqueId val="{00000033-ECF8-4859-B049-4DE848546E7C}"/>
              </c:ext>
            </c:extLst>
          </c:dPt>
          <c:dPt>
            <c:idx val="26"/>
            <c:marker>
              <c:symbol val="none"/>
            </c:marker>
            <c:bubble3D val="0"/>
            <c:spPr>
              <a:ln w="15875" cap="rnd">
                <a:solidFill>
                  <a:schemeClr val="accent1">
                    <a:tint val="49000"/>
                  </a:schemeClr>
                </a:solidFill>
                <a:round/>
              </a:ln>
              <a:effectLst/>
            </c:spPr>
            <c:extLst>
              <c:ext xmlns:c16="http://schemas.microsoft.com/office/drawing/2014/chart" uri="{C3380CC4-5D6E-409C-BE32-E72D297353CC}">
                <c16:uniqueId val="{00000035-ECF8-4859-B049-4DE848546E7C}"/>
              </c:ext>
            </c:extLst>
          </c:dPt>
          <c:dPt>
            <c:idx val="27"/>
            <c:marker>
              <c:symbol val="none"/>
            </c:marker>
            <c:bubble3D val="0"/>
            <c:spPr>
              <a:ln w="15875" cap="rnd">
                <a:solidFill>
                  <a:schemeClr val="accent1">
                    <a:tint val="44000"/>
                  </a:schemeClr>
                </a:solidFill>
                <a:round/>
              </a:ln>
              <a:effectLst/>
            </c:spPr>
            <c:extLst>
              <c:ext xmlns:c16="http://schemas.microsoft.com/office/drawing/2014/chart" uri="{C3380CC4-5D6E-409C-BE32-E72D297353CC}">
                <c16:uniqueId val="{00000037-ECF8-4859-B049-4DE848546E7C}"/>
              </c:ext>
            </c:extLst>
          </c:dPt>
          <c:dPt>
            <c:idx val="28"/>
            <c:marker>
              <c:symbol val="none"/>
            </c:marker>
            <c:bubble3D val="0"/>
            <c:spPr>
              <a:ln w="15875" cap="rnd">
                <a:solidFill>
                  <a:schemeClr val="accent1">
                    <a:tint val="44000"/>
                  </a:schemeClr>
                </a:solidFill>
                <a:round/>
              </a:ln>
              <a:effectLst/>
            </c:spPr>
            <c:extLst>
              <c:ext xmlns:c16="http://schemas.microsoft.com/office/drawing/2014/chart" uri="{C3380CC4-5D6E-409C-BE32-E72D297353CC}">
                <c16:uniqueId val="{00000039-ECF8-4859-B049-4DE848546E7C}"/>
              </c:ext>
            </c:extLst>
          </c:dPt>
          <c:dPt>
            <c:idx val="29"/>
            <c:marker>
              <c:symbol val="none"/>
            </c:marker>
            <c:bubble3D val="0"/>
            <c:spPr>
              <a:ln w="15875" cap="rnd">
                <a:solidFill>
                  <a:schemeClr val="accent1">
                    <a:tint val="35000"/>
                  </a:schemeClr>
                </a:solidFill>
                <a:round/>
              </a:ln>
              <a:effectLst/>
            </c:spPr>
            <c:extLst>
              <c:ext xmlns:c16="http://schemas.microsoft.com/office/drawing/2014/chart" uri="{C3380CC4-5D6E-409C-BE32-E72D297353CC}">
                <c16:uniqueId val="{0000003B-ECF8-4859-B049-4DE848546E7C}"/>
              </c:ext>
            </c:extLst>
          </c:dPt>
          <c:dPt>
            <c:idx val="30"/>
            <c:marker>
              <c:symbol val="none"/>
            </c:marker>
            <c:bubble3D val="0"/>
            <c:spPr>
              <a:ln w="15875" cap="rnd">
                <a:solidFill>
                  <a:schemeClr val="accent1">
                    <a:tint val="35000"/>
                  </a:schemeClr>
                </a:solidFill>
                <a:round/>
              </a:ln>
              <a:effectLst/>
            </c:spPr>
            <c:extLst>
              <c:ext xmlns:c16="http://schemas.microsoft.com/office/drawing/2014/chart" uri="{C3380CC4-5D6E-409C-BE32-E72D297353CC}">
                <c16:uniqueId val="{0000003D-64DB-4C3B-AEEC-F4E9EE640B87}"/>
              </c:ext>
            </c:extLst>
          </c:dPt>
          <c:dPt>
            <c:idx val="31"/>
            <c:marker>
              <c:symbol val="none"/>
            </c:marker>
            <c:bubble3D val="0"/>
            <c:spPr>
              <a:ln w="15875" cap="rnd">
                <a:solidFill>
                  <a:schemeClr val="accent1">
                    <a:tint val="53000"/>
                  </a:schemeClr>
                </a:solidFill>
                <a:round/>
              </a:ln>
              <a:effectLst/>
            </c:spPr>
            <c:extLst>
              <c:ext xmlns:c16="http://schemas.microsoft.com/office/drawing/2014/chart" uri="{C3380CC4-5D6E-409C-BE32-E72D297353CC}">
                <c16:uniqueId val="{0000003F-951D-40AC-BFCB-365ADC3AD79C}"/>
              </c:ext>
            </c:extLst>
          </c:dPt>
          <c:dPt>
            <c:idx val="32"/>
            <c:marker>
              <c:symbol val="none"/>
            </c:marker>
            <c:bubble3D val="0"/>
            <c:spPr>
              <a:ln w="15875" cap="rnd">
                <a:solidFill>
                  <a:schemeClr val="accent1">
                    <a:tint val="49000"/>
                  </a:schemeClr>
                </a:solidFill>
                <a:round/>
              </a:ln>
              <a:effectLst/>
            </c:spPr>
            <c:extLst>
              <c:ext xmlns:c16="http://schemas.microsoft.com/office/drawing/2014/chart" uri="{C3380CC4-5D6E-409C-BE32-E72D297353CC}">
                <c16:uniqueId val="{00000041-951D-40AC-BFCB-365ADC3AD79C}"/>
              </c:ext>
            </c:extLst>
          </c:dPt>
          <c:dPt>
            <c:idx val="33"/>
            <c:marker>
              <c:symbol val="none"/>
            </c:marker>
            <c:bubble3D val="0"/>
            <c:spPr>
              <a:ln w="15875" cap="rnd">
                <a:solidFill>
                  <a:schemeClr val="accent1">
                    <a:tint val="45000"/>
                  </a:schemeClr>
                </a:solidFill>
                <a:round/>
              </a:ln>
              <a:effectLst/>
            </c:spPr>
            <c:extLst>
              <c:ext xmlns:c16="http://schemas.microsoft.com/office/drawing/2014/chart" uri="{C3380CC4-5D6E-409C-BE32-E72D297353CC}">
                <c16:uniqueId val="{00000043-951D-40AC-BFCB-365ADC3AD79C}"/>
              </c:ext>
            </c:extLst>
          </c:dPt>
          <c:dPt>
            <c:idx val="34"/>
            <c:marker>
              <c:symbol val="none"/>
            </c:marker>
            <c:bubble3D val="0"/>
            <c:spPr>
              <a:ln w="15875" cap="rnd">
                <a:solidFill>
                  <a:schemeClr val="accent1">
                    <a:tint val="42000"/>
                  </a:schemeClr>
                </a:solidFill>
                <a:round/>
              </a:ln>
              <a:effectLst/>
            </c:spPr>
            <c:extLst>
              <c:ext xmlns:c16="http://schemas.microsoft.com/office/drawing/2014/chart" uri="{C3380CC4-5D6E-409C-BE32-E72D297353CC}">
                <c16:uniqueId val="{00000045-951D-40AC-BFCB-365ADC3AD79C}"/>
              </c:ext>
            </c:extLst>
          </c:dPt>
          <c:dPt>
            <c:idx val="35"/>
            <c:marker>
              <c:symbol val="none"/>
            </c:marker>
            <c:bubble3D val="0"/>
            <c:spPr>
              <a:ln w="15875" cap="rnd">
                <a:solidFill>
                  <a:schemeClr val="accent1">
                    <a:tint val="38000"/>
                  </a:schemeClr>
                </a:solidFill>
                <a:round/>
              </a:ln>
              <a:effectLst/>
            </c:spPr>
            <c:extLst>
              <c:ext xmlns:c16="http://schemas.microsoft.com/office/drawing/2014/chart" uri="{C3380CC4-5D6E-409C-BE32-E72D297353CC}">
                <c16:uniqueId val="{00000047-951D-40AC-BFCB-365ADC3AD79C}"/>
              </c:ext>
            </c:extLst>
          </c:dPt>
          <c:dPt>
            <c:idx val="36"/>
            <c:marker>
              <c:symbol val="none"/>
            </c:marker>
            <c:bubble3D val="0"/>
            <c:spPr>
              <a:ln w="15875" cap="rnd">
                <a:solidFill>
                  <a:schemeClr val="accent1">
                    <a:tint val="34000"/>
                  </a:schemeClr>
                </a:solidFill>
                <a:round/>
              </a:ln>
              <a:effectLst/>
            </c:spPr>
            <c:extLst>
              <c:ext xmlns:c16="http://schemas.microsoft.com/office/drawing/2014/chart" uri="{C3380CC4-5D6E-409C-BE32-E72D297353CC}">
                <c16:uniqueId val="{00000049-951D-40AC-BFCB-365ADC3AD79C}"/>
              </c:ext>
            </c:extLst>
          </c:dPt>
          <c:dPt>
            <c:idx val="37"/>
            <c:marker>
              <c:symbol val="none"/>
            </c:marker>
            <c:bubble3D val="0"/>
            <c:spPr>
              <a:ln w="15875" cap="rnd">
                <a:solidFill>
                  <a:schemeClr val="accent1">
                    <a:tint val="34000"/>
                  </a:schemeClr>
                </a:solidFill>
                <a:round/>
              </a:ln>
              <a:effectLst/>
            </c:spPr>
            <c:extLst>
              <c:ext xmlns:c16="http://schemas.microsoft.com/office/drawing/2014/chart" uri="{C3380CC4-5D6E-409C-BE32-E72D297353CC}">
                <c16:uniqueId val="{0000004B-0206-4B89-B713-D93060591FAB}"/>
              </c:ext>
            </c:extLst>
          </c:dPt>
          <c:val>
            <c:numRef>
              <c:f>'BASE DA MATRIZ DE RISCOS'!$H$78:$H$106</c:f>
              <c:numCache>
                <c:formatCode>General</c:formatCode>
                <c:ptCount val="29"/>
                <c:pt idx="0">
                  <c:v>2</c:v>
                </c:pt>
                <c:pt idx="1">
                  <c:v>1</c:v>
                </c:pt>
                <c:pt idx="2">
                  <c:v>1</c:v>
                </c:pt>
                <c:pt idx="3">
                  <c:v>1</c:v>
                </c:pt>
                <c:pt idx="4">
                  <c:v>1</c:v>
                </c:pt>
                <c:pt idx="5">
                  <c:v>1</c:v>
                </c:pt>
                <c:pt idx="6">
                  <c:v>1</c:v>
                </c:pt>
                <c:pt idx="7">
                  <c:v>4</c:v>
                </c:pt>
                <c:pt idx="8">
                  <c:v>4</c:v>
                </c:pt>
                <c:pt idx="9">
                  <c:v>4</c:v>
                </c:pt>
                <c:pt idx="10">
                  <c:v>5</c:v>
                </c:pt>
                <c:pt idx="11">
                  <c:v>4</c:v>
                </c:pt>
                <c:pt idx="12">
                  <c:v>3</c:v>
                </c:pt>
                <c:pt idx="13">
                  <c:v>4</c:v>
                </c:pt>
                <c:pt idx="14">
                  <c:v>3</c:v>
                </c:pt>
                <c:pt idx="15">
                  <c:v>4</c:v>
                </c:pt>
                <c:pt idx="16">
                  <c:v>2</c:v>
                </c:pt>
                <c:pt idx="17">
                  <c:v>3</c:v>
                </c:pt>
                <c:pt idx="18">
                  <c:v>3</c:v>
                </c:pt>
                <c:pt idx="19">
                  <c:v>1</c:v>
                </c:pt>
                <c:pt idx="20">
                  <c:v>4</c:v>
                </c:pt>
                <c:pt idx="21">
                  <c:v>2</c:v>
                </c:pt>
                <c:pt idx="22">
                  <c:v>4</c:v>
                </c:pt>
                <c:pt idx="23">
                  <c:v>3</c:v>
                </c:pt>
                <c:pt idx="24">
                  <c:v>4</c:v>
                </c:pt>
                <c:pt idx="25">
                  <c:v>5</c:v>
                </c:pt>
                <c:pt idx="26">
                  <c:v>4</c:v>
                </c:pt>
                <c:pt idx="27">
                  <c:v>4</c:v>
                </c:pt>
                <c:pt idx="28">
                  <c:v>5</c:v>
                </c:pt>
              </c:numCache>
            </c:numRef>
          </c:val>
          <c:extLst>
            <c:ext xmlns:c16="http://schemas.microsoft.com/office/drawing/2014/chart" uri="{C3380CC4-5D6E-409C-BE32-E72D297353CC}">
              <c16:uniqueId val="{00000000-D1CF-464B-9404-E67938B8EA12}"/>
            </c:ext>
          </c:extLst>
        </c:ser>
        <c:dLbls>
          <c:showLegendKey val="0"/>
          <c:showVal val="0"/>
          <c:showCatName val="0"/>
          <c:showSerName val="0"/>
          <c:showPercent val="0"/>
          <c:showBubbleSize val="0"/>
        </c:dLbls>
        <c:axId val="67284634"/>
        <c:axId val="719479761"/>
      </c:radarChart>
      <c:catAx>
        <c:axId val="6728463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19479761"/>
        <c:crosses val="autoZero"/>
        <c:auto val="1"/>
        <c:lblAlgn val="ctr"/>
        <c:lblOffset val="100"/>
        <c:noMultiLvlLbl val="1"/>
      </c:catAx>
      <c:valAx>
        <c:axId val="71947976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284634"/>
        <c:crosses val="autoZero"/>
        <c:crossBetween val="between"/>
      </c:valAx>
      <c:spPr>
        <a:noFill/>
        <a:ln>
          <a:noFill/>
        </a:ln>
        <a:effectLst/>
      </c:spPr>
    </c:plotArea>
    <c:plotVisOnly val="1"/>
    <c:dispBlanksAs val="zero"/>
    <c:showDLblsOverMax val="1"/>
  </c:chart>
  <c:spPr>
    <a:no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26517059564128148"/>
          <c:y val="0.16530590580914287"/>
          <c:w val="0.47215210773093497"/>
          <c:h val="0.69563211528677216"/>
        </c:manualLayout>
      </c:layout>
      <c:radarChart>
        <c:radarStyle val="marker"/>
        <c:varyColors val="1"/>
        <c:ser>
          <c:idx val="0"/>
          <c:order val="0"/>
          <c:tx>
            <c:strRef>
              <c:f>'BASE DA MATRIZ DE RISCOS'!$I$77</c:f>
              <c:strCache>
                <c:ptCount val="1"/>
                <c:pt idx="0">
                  <c:v>Exposição</c:v>
                </c:pt>
              </c:strCache>
            </c:strRef>
          </c:tx>
          <c:marker>
            <c:symbol val="none"/>
          </c:marker>
          <c:dPt>
            <c:idx val="0"/>
            <c:marker>
              <c:symbol val="none"/>
            </c:marker>
            <c:bubble3D val="0"/>
            <c:spPr>
              <a:ln w="15875" cap="rnd">
                <a:solidFill>
                  <a:schemeClr val="accent1">
                    <a:shade val="34000"/>
                  </a:schemeClr>
                </a:solidFill>
                <a:round/>
              </a:ln>
              <a:effectLst/>
            </c:spPr>
            <c:extLst>
              <c:ext xmlns:c16="http://schemas.microsoft.com/office/drawing/2014/chart" uri="{C3380CC4-5D6E-409C-BE32-E72D297353CC}">
                <c16:uniqueId val="{00000001-D285-41B3-9464-614A9A106855}"/>
              </c:ext>
            </c:extLst>
          </c:dPt>
          <c:dPt>
            <c:idx val="1"/>
            <c:marker>
              <c:symbol val="none"/>
            </c:marker>
            <c:bubble3D val="0"/>
            <c:spPr>
              <a:ln w="15875" cap="rnd">
                <a:solidFill>
                  <a:schemeClr val="accent1">
                    <a:shade val="39000"/>
                  </a:schemeClr>
                </a:solidFill>
                <a:round/>
              </a:ln>
              <a:effectLst/>
            </c:spPr>
            <c:extLst>
              <c:ext xmlns:c16="http://schemas.microsoft.com/office/drawing/2014/chart" uri="{C3380CC4-5D6E-409C-BE32-E72D297353CC}">
                <c16:uniqueId val="{00000003-D285-41B3-9464-614A9A106855}"/>
              </c:ext>
            </c:extLst>
          </c:dPt>
          <c:dPt>
            <c:idx val="2"/>
            <c:marker>
              <c:symbol val="none"/>
            </c:marker>
            <c:bubble3D val="0"/>
            <c:spPr>
              <a:ln w="15875" cap="rnd">
                <a:solidFill>
                  <a:schemeClr val="accent1">
                    <a:shade val="43000"/>
                  </a:schemeClr>
                </a:solidFill>
                <a:round/>
              </a:ln>
              <a:effectLst/>
            </c:spPr>
            <c:extLst>
              <c:ext xmlns:c16="http://schemas.microsoft.com/office/drawing/2014/chart" uri="{C3380CC4-5D6E-409C-BE32-E72D297353CC}">
                <c16:uniqueId val="{00000005-D285-41B3-9464-614A9A106855}"/>
              </c:ext>
            </c:extLst>
          </c:dPt>
          <c:dPt>
            <c:idx val="3"/>
            <c:marker>
              <c:symbol val="none"/>
            </c:marker>
            <c:bubble3D val="0"/>
            <c:spPr>
              <a:ln w="15875" cap="rnd">
                <a:solidFill>
                  <a:schemeClr val="accent1">
                    <a:shade val="48000"/>
                  </a:schemeClr>
                </a:solidFill>
                <a:round/>
              </a:ln>
              <a:effectLst/>
            </c:spPr>
            <c:extLst>
              <c:ext xmlns:c16="http://schemas.microsoft.com/office/drawing/2014/chart" uri="{C3380CC4-5D6E-409C-BE32-E72D297353CC}">
                <c16:uniqueId val="{00000007-D285-41B3-9464-614A9A106855}"/>
              </c:ext>
            </c:extLst>
          </c:dPt>
          <c:dPt>
            <c:idx val="4"/>
            <c:marker>
              <c:symbol val="none"/>
            </c:marker>
            <c:bubble3D val="0"/>
            <c:spPr>
              <a:ln w="15875" cap="rnd">
                <a:solidFill>
                  <a:schemeClr val="accent1">
                    <a:shade val="52000"/>
                  </a:schemeClr>
                </a:solidFill>
                <a:round/>
              </a:ln>
              <a:effectLst/>
            </c:spPr>
            <c:extLst>
              <c:ext xmlns:c16="http://schemas.microsoft.com/office/drawing/2014/chart" uri="{C3380CC4-5D6E-409C-BE32-E72D297353CC}">
                <c16:uniqueId val="{00000009-D285-41B3-9464-614A9A106855}"/>
              </c:ext>
            </c:extLst>
          </c:dPt>
          <c:dPt>
            <c:idx val="5"/>
            <c:marker>
              <c:symbol val="none"/>
            </c:marker>
            <c:bubble3D val="0"/>
            <c:spPr>
              <a:ln w="15875" cap="rnd">
                <a:solidFill>
                  <a:schemeClr val="accent1">
                    <a:shade val="57000"/>
                  </a:schemeClr>
                </a:solidFill>
                <a:round/>
              </a:ln>
              <a:effectLst/>
            </c:spPr>
            <c:extLst>
              <c:ext xmlns:c16="http://schemas.microsoft.com/office/drawing/2014/chart" uri="{C3380CC4-5D6E-409C-BE32-E72D297353CC}">
                <c16:uniqueId val="{0000000B-D285-41B3-9464-614A9A106855}"/>
              </c:ext>
            </c:extLst>
          </c:dPt>
          <c:dPt>
            <c:idx val="6"/>
            <c:marker>
              <c:symbol val="none"/>
            </c:marker>
            <c:bubble3D val="0"/>
            <c:spPr>
              <a:ln w="15875" cap="rnd">
                <a:solidFill>
                  <a:schemeClr val="accent1">
                    <a:shade val="61000"/>
                  </a:schemeClr>
                </a:solidFill>
                <a:round/>
              </a:ln>
              <a:effectLst/>
            </c:spPr>
            <c:extLst>
              <c:ext xmlns:c16="http://schemas.microsoft.com/office/drawing/2014/chart" uri="{C3380CC4-5D6E-409C-BE32-E72D297353CC}">
                <c16:uniqueId val="{0000000D-D285-41B3-9464-614A9A106855}"/>
              </c:ext>
            </c:extLst>
          </c:dPt>
          <c:dPt>
            <c:idx val="7"/>
            <c:marker>
              <c:symbol val="none"/>
            </c:marker>
            <c:bubble3D val="0"/>
            <c:spPr>
              <a:ln w="15875" cap="rnd">
                <a:solidFill>
                  <a:schemeClr val="accent1">
                    <a:shade val="66000"/>
                  </a:schemeClr>
                </a:solidFill>
                <a:round/>
              </a:ln>
              <a:effectLst/>
            </c:spPr>
            <c:extLst>
              <c:ext xmlns:c16="http://schemas.microsoft.com/office/drawing/2014/chart" uri="{C3380CC4-5D6E-409C-BE32-E72D297353CC}">
                <c16:uniqueId val="{0000000F-D285-41B3-9464-614A9A106855}"/>
              </c:ext>
            </c:extLst>
          </c:dPt>
          <c:dPt>
            <c:idx val="8"/>
            <c:marker>
              <c:symbol val="none"/>
            </c:marker>
            <c:bubble3D val="0"/>
            <c:spPr>
              <a:ln w="15875" cap="rnd">
                <a:solidFill>
                  <a:schemeClr val="accent1">
                    <a:shade val="70000"/>
                  </a:schemeClr>
                </a:solidFill>
                <a:round/>
              </a:ln>
              <a:effectLst/>
            </c:spPr>
            <c:extLst>
              <c:ext xmlns:c16="http://schemas.microsoft.com/office/drawing/2014/chart" uri="{C3380CC4-5D6E-409C-BE32-E72D297353CC}">
                <c16:uniqueId val="{00000011-D285-41B3-9464-614A9A106855}"/>
              </c:ext>
            </c:extLst>
          </c:dPt>
          <c:dPt>
            <c:idx val="9"/>
            <c:marker>
              <c:symbol val="none"/>
            </c:marker>
            <c:bubble3D val="0"/>
            <c:spPr>
              <a:ln w="15875" cap="rnd">
                <a:solidFill>
                  <a:schemeClr val="accent1">
                    <a:shade val="75000"/>
                  </a:schemeClr>
                </a:solidFill>
                <a:round/>
              </a:ln>
              <a:effectLst/>
            </c:spPr>
            <c:extLst>
              <c:ext xmlns:c16="http://schemas.microsoft.com/office/drawing/2014/chart" uri="{C3380CC4-5D6E-409C-BE32-E72D297353CC}">
                <c16:uniqueId val="{00000013-D285-41B3-9464-614A9A106855}"/>
              </c:ext>
            </c:extLst>
          </c:dPt>
          <c:dPt>
            <c:idx val="10"/>
            <c:marker>
              <c:symbol val="none"/>
            </c:marker>
            <c:bubble3D val="0"/>
            <c:spPr>
              <a:ln w="15875" cap="rnd">
                <a:solidFill>
                  <a:schemeClr val="accent1">
                    <a:shade val="79000"/>
                  </a:schemeClr>
                </a:solidFill>
                <a:round/>
              </a:ln>
              <a:effectLst/>
            </c:spPr>
            <c:extLst>
              <c:ext xmlns:c16="http://schemas.microsoft.com/office/drawing/2014/chart" uri="{C3380CC4-5D6E-409C-BE32-E72D297353CC}">
                <c16:uniqueId val="{00000015-D285-41B3-9464-614A9A106855}"/>
              </c:ext>
            </c:extLst>
          </c:dPt>
          <c:dPt>
            <c:idx val="11"/>
            <c:marker>
              <c:symbol val="none"/>
            </c:marker>
            <c:bubble3D val="0"/>
            <c:spPr>
              <a:ln w="15875" cap="rnd">
                <a:solidFill>
                  <a:schemeClr val="accent1">
                    <a:shade val="84000"/>
                  </a:schemeClr>
                </a:solidFill>
                <a:round/>
              </a:ln>
              <a:effectLst/>
            </c:spPr>
            <c:extLst>
              <c:ext xmlns:c16="http://schemas.microsoft.com/office/drawing/2014/chart" uri="{C3380CC4-5D6E-409C-BE32-E72D297353CC}">
                <c16:uniqueId val="{00000017-D285-41B3-9464-614A9A106855}"/>
              </c:ext>
            </c:extLst>
          </c:dPt>
          <c:dPt>
            <c:idx val="12"/>
            <c:marker>
              <c:symbol val="none"/>
            </c:marker>
            <c:bubble3D val="0"/>
            <c:spPr>
              <a:ln w="15875" cap="rnd">
                <a:solidFill>
                  <a:schemeClr val="accent1">
                    <a:shade val="88000"/>
                  </a:schemeClr>
                </a:solidFill>
                <a:round/>
              </a:ln>
              <a:effectLst/>
            </c:spPr>
            <c:extLst>
              <c:ext xmlns:c16="http://schemas.microsoft.com/office/drawing/2014/chart" uri="{C3380CC4-5D6E-409C-BE32-E72D297353CC}">
                <c16:uniqueId val="{00000019-D285-41B3-9464-614A9A106855}"/>
              </c:ext>
            </c:extLst>
          </c:dPt>
          <c:dPt>
            <c:idx val="13"/>
            <c:marker>
              <c:symbol val="none"/>
            </c:marker>
            <c:bubble3D val="0"/>
            <c:spPr>
              <a:ln w="15875" cap="rnd">
                <a:solidFill>
                  <a:schemeClr val="accent1">
                    <a:shade val="93000"/>
                  </a:schemeClr>
                </a:solidFill>
                <a:round/>
              </a:ln>
              <a:effectLst/>
            </c:spPr>
            <c:extLst>
              <c:ext xmlns:c16="http://schemas.microsoft.com/office/drawing/2014/chart" uri="{C3380CC4-5D6E-409C-BE32-E72D297353CC}">
                <c16:uniqueId val="{0000001B-D285-41B3-9464-614A9A106855}"/>
              </c:ext>
            </c:extLst>
          </c:dPt>
          <c:dPt>
            <c:idx val="14"/>
            <c:marker>
              <c:symbol val="none"/>
            </c:marker>
            <c:bubble3D val="0"/>
            <c:spPr>
              <a:ln w="15875" cap="rnd">
                <a:solidFill>
                  <a:schemeClr val="accent1">
                    <a:shade val="97000"/>
                  </a:schemeClr>
                </a:solidFill>
                <a:round/>
              </a:ln>
              <a:effectLst/>
            </c:spPr>
            <c:extLst>
              <c:ext xmlns:c16="http://schemas.microsoft.com/office/drawing/2014/chart" uri="{C3380CC4-5D6E-409C-BE32-E72D297353CC}">
                <c16:uniqueId val="{0000001D-D285-41B3-9464-614A9A106855}"/>
              </c:ext>
            </c:extLst>
          </c:dPt>
          <c:dPt>
            <c:idx val="15"/>
            <c:marker>
              <c:symbol val="none"/>
            </c:marker>
            <c:bubble3D val="0"/>
            <c:spPr>
              <a:ln w="15875" cap="rnd">
                <a:solidFill>
                  <a:schemeClr val="accent1">
                    <a:tint val="98000"/>
                  </a:schemeClr>
                </a:solidFill>
                <a:round/>
              </a:ln>
              <a:effectLst/>
            </c:spPr>
            <c:extLst>
              <c:ext xmlns:c16="http://schemas.microsoft.com/office/drawing/2014/chart" uri="{C3380CC4-5D6E-409C-BE32-E72D297353CC}">
                <c16:uniqueId val="{0000001F-D285-41B3-9464-614A9A106855}"/>
              </c:ext>
            </c:extLst>
          </c:dPt>
          <c:dPt>
            <c:idx val="16"/>
            <c:marker>
              <c:symbol val="none"/>
            </c:marker>
            <c:bubble3D val="0"/>
            <c:spPr>
              <a:ln w="15875" cap="rnd">
                <a:solidFill>
                  <a:schemeClr val="accent1">
                    <a:tint val="94000"/>
                  </a:schemeClr>
                </a:solidFill>
                <a:round/>
              </a:ln>
              <a:effectLst/>
            </c:spPr>
            <c:extLst>
              <c:ext xmlns:c16="http://schemas.microsoft.com/office/drawing/2014/chart" uri="{C3380CC4-5D6E-409C-BE32-E72D297353CC}">
                <c16:uniqueId val="{00000021-D285-41B3-9464-614A9A106855}"/>
              </c:ext>
            </c:extLst>
          </c:dPt>
          <c:dPt>
            <c:idx val="17"/>
            <c:marker>
              <c:symbol val="none"/>
            </c:marker>
            <c:bubble3D val="0"/>
            <c:spPr>
              <a:ln w="15875" cap="rnd">
                <a:solidFill>
                  <a:schemeClr val="accent1">
                    <a:tint val="89000"/>
                  </a:schemeClr>
                </a:solidFill>
                <a:round/>
              </a:ln>
              <a:effectLst/>
            </c:spPr>
            <c:extLst>
              <c:ext xmlns:c16="http://schemas.microsoft.com/office/drawing/2014/chart" uri="{C3380CC4-5D6E-409C-BE32-E72D297353CC}">
                <c16:uniqueId val="{00000023-D285-41B3-9464-614A9A106855}"/>
              </c:ext>
            </c:extLst>
          </c:dPt>
          <c:dPt>
            <c:idx val="18"/>
            <c:marker>
              <c:symbol val="none"/>
            </c:marker>
            <c:bubble3D val="0"/>
            <c:spPr>
              <a:ln w="15875" cap="rnd">
                <a:solidFill>
                  <a:schemeClr val="accent1">
                    <a:tint val="85000"/>
                  </a:schemeClr>
                </a:solidFill>
                <a:round/>
              </a:ln>
              <a:effectLst/>
            </c:spPr>
            <c:extLst>
              <c:ext xmlns:c16="http://schemas.microsoft.com/office/drawing/2014/chart" uri="{C3380CC4-5D6E-409C-BE32-E72D297353CC}">
                <c16:uniqueId val="{00000025-D285-41B3-9464-614A9A106855}"/>
              </c:ext>
            </c:extLst>
          </c:dPt>
          <c:dPt>
            <c:idx val="19"/>
            <c:marker>
              <c:symbol val="none"/>
            </c:marker>
            <c:bubble3D val="0"/>
            <c:spPr>
              <a:ln w="15875" cap="rnd">
                <a:solidFill>
                  <a:schemeClr val="accent1">
                    <a:tint val="80000"/>
                  </a:schemeClr>
                </a:solidFill>
                <a:round/>
              </a:ln>
              <a:effectLst/>
            </c:spPr>
            <c:extLst>
              <c:ext xmlns:c16="http://schemas.microsoft.com/office/drawing/2014/chart" uri="{C3380CC4-5D6E-409C-BE32-E72D297353CC}">
                <c16:uniqueId val="{00000027-D285-41B3-9464-614A9A106855}"/>
              </c:ext>
            </c:extLst>
          </c:dPt>
          <c:dPt>
            <c:idx val="20"/>
            <c:marker>
              <c:symbol val="none"/>
            </c:marker>
            <c:bubble3D val="0"/>
            <c:spPr>
              <a:ln w="15875" cap="rnd">
                <a:solidFill>
                  <a:schemeClr val="accent1">
                    <a:tint val="76000"/>
                  </a:schemeClr>
                </a:solidFill>
                <a:round/>
              </a:ln>
              <a:effectLst/>
            </c:spPr>
            <c:extLst>
              <c:ext xmlns:c16="http://schemas.microsoft.com/office/drawing/2014/chart" uri="{C3380CC4-5D6E-409C-BE32-E72D297353CC}">
                <c16:uniqueId val="{00000029-D285-41B3-9464-614A9A106855}"/>
              </c:ext>
            </c:extLst>
          </c:dPt>
          <c:dPt>
            <c:idx val="21"/>
            <c:marker>
              <c:symbol val="none"/>
            </c:marker>
            <c:bubble3D val="0"/>
            <c:spPr>
              <a:ln w="15875" cap="rnd">
                <a:solidFill>
                  <a:schemeClr val="accent1">
                    <a:tint val="71000"/>
                  </a:schemeClr>
                </a:solidFill>
                <a:round/>
              </a:ln>
              <a:effectLst/>
            </c:spPr>
            <c:extLst>
              <c:ext xmlns:c16="http://schemas.microsoft.com/office/drawing/2014/chart" uri="{C3380CC4-5D6E-409C-BE32-E72D297353CC}">
                <c16:uniqueId val="{0000002B-D285-41B3-9464-614A9A106855}"/>
              </c:ext>
            </c:extLst>
          </c:dPt>
          <c:dPt>
            <c:idx val="22"/>
            <c:marker>
              <c:symbol val="none"/>
            </c:marker>
            <c:bubble3D val="0"/>
            <c:spPr>
              <a:ln w="15875" cap="rnd">
                <a:solidFill>
                  <a:schemeClr val="accent1">
                    <a:tint val="67000"/>
                  </a:schemeClr>
                </a:solidFill>
                <a:round/>
              </a:ln>
              <a:effectLst/>
            </c:spPr>
            <c:extLst>
              <c:ext xmlns:c16="http://schemas.microsoft.com/office/drawing/2014/chart" uri="{C3380CC4-5D6E-409C-BE32-E72D297353CC}">
                <c16:uniqueId val="{0000002D-D285-41B3-9464-614A9A106855}"/>
              </c:ext>
            </c:extLst>
          </c:dPt>
          <c:dPt>
            <c:idx val="23"/>
            <c:marker>
              <c:symbol val="none"/>
            </c:marker>
            <c:bubble3D val="0"/>
            <c:spPr>
              <a:ln w="15875" cap="rnd">
                <a:solidFill>
                  <a:schemeClr val="accent1">
                    <a:tint val="62000"/>
                  </a:schemeClr>
                </a:solidFill>
                <a:round/>
              </a:ln>
              <a:effectLst/>
            </c:spPr>
            <c:extLst>
              <c:ext xmlns:c16="http://schemas.microsoft.com/office/drawing/2014/chart" uri="{C3380CC4-5D6E-409C-BE32-E72D297353CC}">
                <c16:uniqueId val="{0000002F-D285-41B3-9464-614A9A106855}"/>
              </c:ext>
            </c:extLst>
          </c:dPt>
          <c:dPt>
            <c:idx val="24"/>
            <c:marker>
              <c:symbol val="none"/>
            </c:marker>
            <c:bubble3D val="0"/>
            <c:spPr>
              <a:ln w="15875" cap="rnd">
                <a:solidFill>
                  <a:schemeClr val="accent1">
                    <a:tint val="58000"/>
                  </a:schemeClr>
                </a:solidFill>
                <a:round/>
              </a:ln>
              <a:effectLst/>
            </c:spPr>
            <c:extLst>
              <c:ext xmlns:c16="http://schemas.microsoft.com/office/drawing/2014/chart" uri="{C3380CC4-5D6E-409C-BE32-E72D297353CC}">
                <c16:uniqueId val="{00000031-D285-41B3-9464-614A9A106855}"/>
              </c:ext>
            </c:extLst>
          </c:dPt>
          <c:dPt>
            <c:idx val="25"/>
            <c:marker>
              <c:symbol val="none"/>
            </c:marker>
            <c:bubble3D val="0"/>
            <c:spPr>
              <a:ln w="15875" cap="rnd">
                <a:solidFill>
                  <a:schemeClr val="accent1">
                    <a:tint val="53000"/>
                  </a:schemeClr>
                </a:solidFill>
                <a:round/>
              </a:ln>
              <a:effectLst/>
            </c:spPr>
            <c:extLst>
              <c:ext xmlns:c16="http://schemas.microsoft.com/office/drawing/2014/chart" uri="{C3380CC4-5D6E-409C-BE32-E72D297353CC}">
                <c16:uniqueId val="{00000033-D285-41B3-9464-614A9A106855}"/>
              </c:ext>
            </c:extLst>
          </c:dPt>
          <c:dPt>
            <c:idx val="26"/>
            <c:marker>
              <c:symbol val="none"/>
            </c:marker>
            <c:bubble3D val="0"/>
            <c:spPr>
              <a:ln w="15875" cap="rnd">
                <a:solidFill>
                  <a:schemeClr val="accent1">
                    <a:tint val="49000"/>
                  </a:schemeClr>
                </a:solidFill>
                <a:round/>
              </a:ln>
              <a:effectLst/>
            </c:spPr>
            <c:extLst>
              <c:ext xmlns:c16="http://schemas.microsoft.com/office/drawing/2014/chart" uri="{C3380CC4-5D6E-409C-BE32-E72D297353CC}">
                <c16:uniqueId val="{00000035-D285-41B3-9464-614A9A106855}"/>
              </c:ext>
            </c:extLst>
          </c:dPt>
          <c:dPt>
            <c:idx val="27"/>
            <c:marker>
              <c:symbol val="none"/>
            </c:marker>
            <c:bubble3D val="0"/>
            <c:spPr>
              <a:ln w="15875" cap="rnd">
                <a:solidFill>
                  <a:schemeClr val="accent1">
                    <a:tint val="44000"/>
                  </a:schemeClr>
                </a:solidFill>
                <a:round/>
              </a:ln>
              <a:effectLst/>
            </c:spPr>
            <c:extLst>
              <c:ext xmlns:c16="http://schemas.microsoft.com/office/drawing/2014/chart" uri="{C3380CC4-5D6E-409C-BE32-E72D297353CC}">
                <c16:uniqueId val="{00000037-D285-41B3-9464-614A9A106855}"/>
              </c:ext>
            </c:extLst>
          </c:dPt>
          <c:dPt>
            <c:idx val="28"/>
            <c:marker>
              <c:symbol val="none"/>
            </c:marker>
            <c:bubble3D val="0"/>
            <c:spPr>
              <a:ln w="15875" cap="rnd">
                <a:solidFill>
                  <a:schemeClr val="accent1">
                    <a:tint val="44000"/>
                  </a:schemeClr>
                </a:solidFill>
                <a:round/>
              </a:ln>
              <a:effectLst/>
            </c:spPr>
            <c:extLst>
              <c:ext xmlns:c16="http://schemas.microsoft.com/office/drawing/2014/chart" uri="{C3380CC4-5D6E-409C-BE32-E72D297353CC}">
                <c16:uniqueId val="{00000039-D285-41B3-9464-614A9A106855}"/>
              </c:ext>
            </c:extLst>
          </c:dPt>
          <c:dPt>
            <c:idx val="29"/>
            <c:marker>
              <c:symbol val="none"/>
            </c:marker>
            <c:bubble3D val="0"/>
            <c:spPr>
              <a:ln w="15875" cap="rnd">
                <a:solidFill>
                  <a:schemeClr val="accent1">
                    <a:tint val="35000"/>
                  </a:schemeClr>
                </a:solidFill>
                <a:round/>
              </a:ln>
              <a:effectLst/>
            </c:spPr>
            <c:extLst>
              <c:ext xmlns:c16="http://schemas.microsoft.com/office/drawing/2014/chart" uri="{C3380CC4-5D6E-409C-BE32-E72D297353CC}">
                <c16:uniqueId val="{0000003B-D285-41B3-9464-614A9A106855}"/>
              </c:ext>
            </c:extLst>
          </c:dPt>
          <c:dPt>
            <c:idx val="30"/>
            <c:marker>
              <c:symbol val="none"/>
            </c:marker>
            <c:bubble3D val="0"/>
            <c:spPr>
              <a:ln w="15875" cap="rnd">
                <a:solidFill>
                  <a:schemeClr val="accent1">
                    <a:tint val="35000"/>
                  </a:schemeClr>
                </a:solidFill>
                <a:round/>
              </a:ln>
              <a:effectLst/>
            </c:spPr>
            <c:extLst>
              <c:ext xmlns:c16="http://schemas.microsoft.com/office/drawing/2014/chart" uri="{C3380CC4-5D6E-409C-BE32-E72D297353CC}">
                <c16:uniqueId val="{0000003D-812A-4A80-8406-CFB2CCFD439A}"/>
              </c:ext>
            </c:extLst>
          </c:dPt>
          <c:dPt>
            <c:idx val="31"/>
            <c:marker>
              <c:symbol val="none"/>
            </c:marker>
            <c:bubble3D val="0"/>
            <c:spPr>
              <a:ln w="15875" cap="rnd">
                <a:solidFill>
                  <a:schemeClr val="accent1">
                    <a:tint val="53000"/>
                  </a:schemeClr>
                </a:solidFill>
                <a:round/>
              </a:ln>
              <a:effectLst/>
            </c:spPr>
            <c:extLst>
              <c:ext xmlns:c16="http://schemas.microsoft.com/office/drawing/2014/chart" uri="{C3380CC4-5D6E-409C-BE32-E72D297353CC}">
                <c16:uniqueId val="{0000003F-AD9B-45C4-991C-9BEE2568BE44}"/>
              </c:ext>
            </c:extLst>
          </c:dPt>
          <c:dPt>
            <c:idx val="32"/>
            <c:marker>
              <c:symbol val="none"/>
            </c:marker>
            <c:bubble3D val="0"/>
            <c:spPr>
              <a:ln w="15875" cap="rnd">
                <a:solidFill>
                  <a:schemeClr val="accent1">
                    <a:tint val="49000"/>
                  </a:schemeClr>
                </a:solidFill>
                <a:round/>
              </a:ln>
              <a:effectLst/>
            </c:spPr>
            <c:extLst>
              <c:ext xmlns:c16="http://schemas.microsoft.com/office/drawing/2014/chart" uri="{C3380CC4-5D6E-409C-BE32-E72D297353CC}">
                <c16:uniqueId val="{00000041-AD9B-45C4-991C-9BEE2568BE44}"/>
              </c:ext>
            </c:extLst>
          </c:dPt>
          <c:dPt>
            <c:idx val="33"/>
            <c:marker>
              <c:symbol val="none"/>
            </c:marker>
            <c:bubble3D val="0"/>
            <c:spPr>
              <a:ln w="15875" cap="rnd">
                <a:solidFill>
                  <a:schemeClr val="accent1">
                    <a:tint val="45000"/>
                  </a:schemeClr>
                </a:solidFill>
                <a:round/>
              </a:ln>
              <a:effectLst/>
            </c:spPr>
            <c:extLst>
              <c:ext xmlns:c16="http://schemas.microsoft.com/office/drawing/2014/chart" uri="{C3380CC4-5D6E-409C-BE32-E72D297353CC}">
                <c16:uniqueId val="{00000043-AD9B-45C4-991C-9BEE2568BE44}"/>
              </c:ext>
            </c:extLst>
          </c:dPt>
          <c:dPt>
            <c:idx val="34"/>
            <c:marker>
              <c:symbol val="none"/>
            </c:marker>
            <c:bubble3D val="0"/>
            <c:spPr>
              <a:ln w="15875" cap="rnd">
                <a:solidFill>
                  <a:schemeClr val="accent1">
                    <a:tint val="42000"/>
                  </a:schemeClr>
                </a:solidFill>
                <a:round/>
              </a:ln>
              <a:effectLst/>
            </c:spPr>
            <c:extLst>
              <c:ext xmlns:c16="http://schemas.microsoft.com/office/drawing/2014/chart" uri="{C3380CC4-5D6E-409C-BE32-E72D297353CC}">
                <c16:uniqueId val="{00000045-AD9B-45C4-991C-9BEE2568BE44}"/>
              </c:ext>
            </c:extLst>
          </c:dPt>
          <c:dPt>
            <c:idx val="35"/>
            <c:marker>
              <c:symbol val="none"/>
            </c:marker>
            <c:bubble3D val="0"/>
            <c:spPr>
              <a:ln w="15875" cap="rnd">
                <a:solidFill>
                  <a:schemeClr val="accent1">
                    <a:tint val="38000"/>
                  </a:schemeClr>
                </a:solidFill>
                <a:round/>
              </a:ln>
              <a:effectLst/>
            </c:spPr>
            <c:extLst>
              <c:ext xmlns:c16="http://schemas.microsoft.com/office/drawing/2014/chart" uri="{C3380CC4-5D6E-409C-BE32-E72D297353CC}">
                <c16:uniqueId val="{00000047-AD9B-45C4-991C-9BEE2568BE44}"/>
              </c:ext>
            </c:extLst>
          </c:dPt>
          <c:dPt>
            <c:idx val="36"/>
            <c:marker>
              <c:symbol val="none"/>
            </c:marker>
            <c:bubble3D val="0"/>
            <c:spPr>
              <a:ln w="15875" cap="rnd">
                <a:solidFill>
                  <a:schemeClr val="accent1">
                    <a:tint val="34000"/>
                  </a:schemeClr>
                </a:solidFill>
                <a:round/>
              </a:ln>
              <a:effectLst/>
            </c:spPr>
            <c:extLst>
              <c:ext xmlns:c16="http://schemas.microsoft.com/office/drawing/2014/chart" uri="{C3380CC4-5D6E-409C-BE32-E72D297353CC}">
                <c16:uniqueId val="{00000049-AD9B-45C4-991C-9BEE2568BE44}"/>
              </c:ext>
            </c:extLst>
          </c:dPt>
          <c:dPt>
            <c:idx val="37"/>
            <c:marker>
              <c:symbol val="none"/>
            </c:marker>
            <c:bubble3D val="0"/>
            <c:spPr>
              <a:ln w="15875" cap="rnd">
                <a:solidFill>
                  <a:schemeClr val="accent1">
                    <a:tint val="34000"/>
                  </a:schemeClr>
                </a:solidFill>
                <a:round/>
              </a:ln>
              <a:effectLst/>
            </c:spPr>
            <c:extLst>
              <c:ext xmlns:c16="http://schemas.microsoft.com/office/drawing/2014/chart" uri="{C3380CC4-5D6E-409C-BE32-E72D297353CC}">
                <c16:uniqueId val="{0000004B-D2B4-4EE4-8E5C-5929F5A654E6}"/>
              </c:ext>
            </c:extLst>
          </c:dPt>
          <c:val>
            <c:numRef>
              <c:f>'BASE DA MATRIZ DE RISCOS'!$I$78:$I$106</c:f>
              <c:numCache>
                <c:formatCode>General</c:formatCode>
                <c:ptCount val="29"/>
                <c:pt idx="0">
                  <c:v>48</c:v>
                </c:pt>
                <c:pt idx="1">
                  <c:v>45</c:v>
                </c:pt>
                <c:pt idx="2">
                  <c:v>24</c:v>
                </c:pt>
                <c:pt idx="3">
                  <c:v>40</c:v>
                </c:pt>
                <c:pt idx="4">
                  <c:v>12</c:v>
                </c:pt>
                <c:pt idx="5">
                  <c:v>20</c:v>
                </c:pt>
                <c:pt idx="6">
                  <c:v>125</c:v>
                </c:pt>
                <c:pt idx="7">
                  <c:v>60</c:v>
                </c:pt>
                <c:pt idx="8">
                  <c:v>45</c:v>
                </c:pt>
                <c:pt idx="9">
                  <c:v>125</c:v>
                </c:pt>
                <c:pt idx="10">
                  <c:v>100</c:v>
                </c:pt>
                <c:pt idx="11">
                  <c:v>64</c:v>
                </c:pt>
                <c:pt idx="12">
                  <c:v>36</c:v>
                </c:pt>
                <c:pt idx="13">
                  <c:v>48</c:v>
                </c:pt>
                <c:pt idx="14">
                  <c:v>36</c:v>
                </c:pt>
                <c:pt idx="15">
                  <c:v>125</c:v>
                </c:pt>
                <c:pt idx="16">
                  <c:v>125</c:v>
                </c:pt>
                <c:pt idx="17">
                  <c:v>60</c:v>
                </c:pt>
                <c:pt idx="18">
                  <c:v>60</c:v>
                </c:pt>
                <c:pt idx="19">
                  <c:v>15</c:v>
                </c:pt>
                <c:pt idx="20">
                  <c:v>60</c:v>
                </c:pt>
                <c:pt idx="21">
                  <c:v>40</c:v>
                </c:pt>
                <c:pt idx="22">
                  <c:v>48</c:v>
                </c:pt>
                <c:pt idx="23">
                  <c:v>36</c:v>
                </c:pt>
                <c:pt idx="24">
                  <c:v>60</c:v>
                </c:pt>
                <c:pt idx="25">
                  <c:v>60</c:v>
                </c:pt>
                <c:pt idx="26">
                  <c:v>100</c:v>
                </c:pt>
                <c:pt idx="27">
                  <c:v>36</c:v>
                </c:pt>
                <c:pt idx="28">
                  <c:v>75</c:v>
                </c:pt>
              </c:numCache>
            </c:numRef>
          </c:val>
          <c:extLst>
            <c:ext xmlns:c16="http://schemas.microsoft.com/office/drawing/2014/chart" uri="{C3380CC4-5D6E-409C-BE32-E72D297353CC}">
              <c16:uniqueId val="{00000000-2CB7-4844-AABB-AF0B3D007E36}"/>
            </c:ext>
          </c:extLst>
        </c:ser>
        <c:dLbls>
          <c:showLegendKey val="0"/>
          <c:showVal val="0"/>
          <c:showCatName val="0"/>
          <c:showSerName val="0"/>
          <c:showPercent val="0"/>
          <c:showBubbleSize val="0"/>
        </c:dLbls>
        <c:axId val="203026759"/>
        <c:axId val="1416952617"/>
      </c:radarChart>
      <c:catAx>
        <c:axId val="20302675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16952617"/>
        <c:crosses val="autoZero"/>
        <c:auto val="1"/>
        <c:lblAlgn val="ctr"/>
        <c:lblOffset val="100"/>
        <c:noMultiLvlLbl val="1"/>
      </c:catAx>
      <c:valAx>
        <c:axId val="141695261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3026759"/>
        <c:crosses val="autoZero"/>
        <c:crossBetween val="between"/>
      </c:valAx>
      <c:spPr>
        <a:noFill/>
        <a:ln>
          <a:noFill/>
        </a:ln>
        <a:effectLst/>
      </c:spPr>
    </c:plotArea>
    <c:plotVisOnly val="1"/>
    <c:dispBlanksAs val="zero"/>
    <c:showDLblsOverMax val="1"/>
  </c:chart>
  <c:spPr>
    <a:no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Grafico por Tipo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 Grafico</c:v>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5A4B-4644-945F-E1C9203398D0}"/>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5A4B-4644-945F-E1C9203398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4B-4644-945F-E1C9203398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4B-4644-945F-E1C9203398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4B-4644-945F-E1C9203398D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A4B-4644-945F-E1C9203398D0}"/>
              </c:ext>
            </c:extLst>
          </c:dPt>
          <c:dLbls>
            <c:dLbl>
              <c:idx val="0"/>
              <c:layout>
                <c:manualLayout>
                  <c:x val="8.2342525230393523E-2"/>
                  <c:y val="-4.5336485071831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4B-4644-945F-E1C9203398D0}"/>
                </c:ext>
              </c:extLst>
            </c:dLbl>
            <c:dLbl>
              <c:idx val="1"/>
              <c:layout>
                <c:manualLayout>
                  <c:x val="8.802132007386905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4B-4644-945F-E1C9203398D0}"/>
                </c:ext>
              </c:extLst>
            </c:dLbl>
            <c:dLbl>
              <c:idx val="2"/>
              <c:layout>
                <c:manualLayout>
                  <c:x val="-0.11641529429124615"/>
                  <c:y val="2.26682425359159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4B-4644-945F-E1C9203398D0}"/>
                </c:ext>
              </c:extLst>
            </c:dLbl>
            <c:dLbl>
              <c:idx val="3"/>
              <c:layout>
                <c:manualLayout>
                  <c:x val="-1.9875781952163926E-2"/>
                  <c:y val="-7.93388488757057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A4B-4644-945F-E1C9203398D0}"/>
                </c:ext>
              </c:extLst>
            </c:dLbl>
            <c:dLbl>
              <c:idx val="4"/>
              <c:delete val="1"/>
              <c:extLst>
                <c:ext xmlns:c15="http://schemas.microsoft.com/office/drawing/2012/chart" uri="{CE6537A1-D6FC-4f65-9D91-7224C49458BB}"/>
                <c:ext xmlns:c16="http://schemas.microsoft.com/office/drawing/2014/chart" uri="{C3380CC4-5D6E-409C-BE32-E72D297353CC}">
                  <c16:uniqueId val="{00000009-5A4B-4644-945F-E1C9203398D0}"/>
                </c:ext>
              </c:extLst>
            </c:dLbl>
            <c:dLbl>
              <c:idx val="5"/>
              <c:delete val="1"/>
              <c:extLst>
                <c:ext xmlns:c15="http://schemas.microsoft.com/office/drawing/2012/chart" uri="{CE6537A1-D6FC-4f65-9D91-7224C49458BB}"/>
                <c:ext xmlns:c16="http://schemas.microsoft.com/office/drawing/2014/chart" uri="{C3380CC4-5D6E-409C-BE32-E72D297353CC}">
                  <c16:uniqueId val="{0000000B-5A4B-4644-945F-E1C9203398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'BASE DA MATRIZ DE RISCOS'!$G$30:$G$35</c:f>
              <c:strCache>
                <c:ptCount val="6"/>
                <c:pt idx="0">
                  <c:v>Estratégico</c:v>
                </c:pt>
                <c:pt idx="1">
                  <c:v>Financeiro</c:v>
                </c:pt>
                <c:pt idx="2">
                  <c:v>Operacional</c:v>
                </c:pt>
                <c:pt idx="3">
                  <c:v>Legal</c:v>
                </c:pt>
                <c:pt idx="4">
                  <c:v>Tecnologia</c:v>
                </c:pt>
                <c:pt idx="5">
                  <c:v>Imagem</c:v>
                </c:pt>
              </c:strCache>
            </c:strRef>
          </c:cat>
          <c:val>
            <c:numRef>
              <c:f>'BASE DA MATRIZ DE RISCOS'!$H$30:$H$35</c:f>
              <c:numCache>
                <c:formatCode>0%</c:formatCode>
                <c:ptCount val="6"/>
                <c:pt idx="0">
                  <c:v>6.8965517241379309E-2</c:v>
                </c:pt>
                <c:pt idx="1">
                  <c:v>0.48275862068965519</c:v>
                </c:pt>
                <c:pt idx="2">
                  <c:v>0.10344827586206896</c:v>
                </c:pt>
                <c:pt idx="3">
                  <c:v>0.34482758620689657</c:v>
                </c:pt>
                <c:pt idx="4">
                  <c:v>0</c:v>
                </c:pt>
                <c:pt idx="5">
                  <c:v>0</c:v>
                </c:pt>
              </c:numCache>
            </c:numRef>
          </c:val>
          <c:extLst>
            <c:ext xmlns:c16="http://schemas.microsoft.com/office/drawing/2014/chart" uri="{C3380CC4-5D6E-409C-BE32-E72D297353CC}">
              <c16:uniqueId val="{0000000C-5A4B-4644-945F-E1C9203398D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1"/>
  </c:chart>
  <c:spPr>
    <a:no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Matriz</a:t>
            </a:r>
            <a:r>
              <a:rPr lang="pt-BR" baseline="0"/>
              <a:t> de Exposição ao Risco</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6141954682030825E-2"/>
          <c:y val="0.11656857405103654"/>
          <c:w val="0.93993518648635022"/>
          <c:h val="0.8105225829138939"/>
        </c:manualLayout>
      </c:layout>
      <c:bubbleChart>
        <c:varyColors val="0"/>
        <c:ser>
          <c:idx val="0"/>
          <c:order val="0"/>
          <c:tx>
            <c:strRef>
              <c:f>GRÁFICOS!$K$106</c:f>
              <c:strCache>
                <c:ptCount val="1"/>
                <c:pt idx="0">
                  <c:v>Matriz de Exposição ao Risco</c:v>
                </c:pt>
              </c:strCache>
            </c:strRef>
          </c:tx>
          <c:spPr>
            <a:solidFill>
              <a:schemeClr val="accent1">
                <a:alpha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GRÁFICOS!$K$107:$K$187</c:f>
              <c:strCache>
                <c:ptCount val="81"/>
                <c:pt idx="0">
                  <c:v>[P1]</c:v>
                </c:pt>
                <c:pt idx="1">
                  <c:v>[P2]</c:v>
                </c:pt>
                <c:pt idx="2">
                  <c:v>[P3]</c:v>
                </c:pt>
                <c:pt idx="3">
                  <c:v>[P4]</c:v>
                </c:pt>
                <c:pt idx="4">
                  <c:v>[P5]</c:v>
                </c:pt>
                <c:pt idx="5">
                  <c:v>[P6]</c:v>
                </c:pt>
                <c:pt idx="6">
                  <c:v>[P7]</c:v>
                </c:pt>
                <c:pt idx="7">
                  <c:v>[P8]</c:v>
                </c:pt>
                <c:pt idx="8">
                  <c:v>[P9]</c:v>
                </c:pt>
                <c:pt idx="9">
                  <c:v>[P10]</c:v>
                </c:pt>
                <c:pt idx="10">
                  <c:v>[P11]</c:v>
                </c:pt>
                <c:pt idx="11">
                  <c:v>[P12]</c:v>
                </c:pt>
                <c:pt idx="12">
                  <c:v>[P13]</c:v>
                </c:pt>
                <c:pt idx="13">
                  <c:v>[P14]</c:v>
                </c:pt>
                <c:pt idx="14">
                  <c:v>[P15]</c:v>
                </c:pt>
                <c:pt idx="15">
                  <c:v>[P16]</c:v>
                </c:pt>
                <c:pt idx="16">
                  <c:v>[P17]</c:v>
                </c:pt>
                <c:pt idx="17">
                  <c:v>[P18]</c:v>
                </c:pt>
                <c:pt idx="18">
                  <c:v>[P19]</c:v>
                </c:pt>
                <c:pt idx="19">
                  <c:v>[P20]</c:v>
                </c:pt>
                <c:pt idx="20">
                  <c:v>[P21]</c:v>
                </c:pt>
                <c:pt idx="21">
                  <c:v>[P22]</c:v>
                </c:pt>
                <c:pt idx="22">
                  <c:v>[P23]</c:v>
                </c:pt>
                <c:pt idx="23">
                  <c:v>[P24]</c:v>
                </c:pt>
                <c:pt idx="24">
                  <c:v>[P25]</c:v>
                </c:pt>
                <c:pt idx="25">
                  <c:v>[P26]</c:v>
                </c:pt>
                <c:pt idx="26">
                  <c:v>[P27]</c:v>
                </c:pt>
                <c:pt idx="27">
                  <c:v>[P28]</c:v>
                </c:pt>
                <c:pt idx="28">
                  <c:v>[P29]</c:v>
                </c:pt>
                <c:pt idx="29">
                  <c:v>0</c:v>
                </c:pt>
                <c:pt idx="30">
                  <c:v>0</c:v>
                </c:pt>
                <c:pt idx="31">
                  <c:v>0</c:v>
                </c:pt>
                <c:pt idx="32">
                  <c:v>0</c:v>
                </c:pt>
                <c:pt idx="33">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strCache>
            </c:strRef>
          </c:xVal>
          <c:yVal>
            <c:numRef>
              <c:f>GRÁFICOS!$L$107:$L$187</c:f>
              <c:numCache>
                <c:formatCode>General</c:formatCode>
                <c:ptCount val="81"/>
                <c:pt idx="0">
                  <c:v>48</c:v>
                </c:pt>
                <c:pt idx="1">
                  <c:v>45</c:v>
                </c:pt>
                <c:pt idx="2">
                  <c:v>24</c:v>
                </c:pt>
                <c:pt idx="3">
                  <c:v>40</c:v>
                </c:pt>
                <c:pt idx="4">
                  <c:v>12</c:v>
                </c:pt>
                <c:pt idx="5">
                  <c:v>20</c:v>
                </c:pt>
                <c:pt idx="6">
                  <c:v>125</c:v>
                </c:pt>
                <c:pt idx="7">
                  <c:v>60</c:v>
                </c:pt>
                <c:pt idx="8">
                  <c:v>45</c:v>
                </c:pt>
                <c:pt idx="9">
                  <c:v>125</c:v>
                </c:pt>
                <c:pt idx="10">
                  <c:v>100</c:v>
                </c:pt>
                <c:pt idx="11">
                  <c:v>64</c:v>
                </c:pt>
                <c:pt idx="12">
                  <c:v>36</c:v>
                </c:pt>
                <c:pt idx="13">
                  <c:v>48</c:v>
                </c:pt>
                <c:pt idx="14">
                  <c:v>36</c:v>
                </c:pt>
                <c:pt idx="15">
                  <c:v>125</c:v>
                </c:pt>
                <c:pt idx="16">
                  <c:v>125</c:v>
                </c:pt>
                <c:pt idx="17">
                  <c:v>60</c:v>
                </c:pt>
                <c:pt idx="18">
                  <c:v>60</c:v>
                </c:pt>
                <c:pt idx="19">
                  <c:v>15</c:v>
                </c:pt>
                <c:pt idx="20">
                  <c:v>60</c:v>
                </c:pt>
                <c:pt idx="21">
                  <c:v>40</c:v>
                </c:pt>
                <c:pt idx="22">
                  <c:v>48</c:v>
                </c:pt>
                <c:pt idx="23">
                  <c:v>36</c:v>
                </c:pt>
                <c:pt idx="24">
                  <c:v>60</c:v>
                </c:pt>
                <c:pt idx="25">
                  <c:v>60</c:v>
                </c:pt>
                <c:pt idx="26">
                  <c:v>100</c:v>
                </c:pt>
                <c:pt idx="27">
                  <c:v>36</c:v>
                </c:pt>
                <c:pt idx="28">
                  <c:v>75</c:v>
                </c:pt>
                <c:pt idx="29">
                  <c:v>0</c:v>
                </c:pt>
                <c:pt idx="30">
                  <c:v>0</c:v>
                </c:pt>
                <c:pt idx="31">
                  <c:v>0</c:v>
                </c:pt>
                <c:pt idx="32">
                  <c:v>0</c:v>
                </c:pt>
                <c:pt idx="33">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numCache>
            </c:numRef>
          </c:yVal>
          <c:bubbleSize>
            <c:numRef>
              <c:f>GRÁFICOS!$M$107:$M$187</c:f>
              <c:numCache>
                <c:formatCode>0%</c:formatCode>
                <c:ptCount val="81"/>
                <c:pt idx="0">
                  <c:v>2.7777777777777776E-2</c:v>
                </c:pt>
                <c:pt idx="1">
                  <c:v>2.6041666666666668E-2</c:v>
                </c:pt>
                <c:pt idx="2">
                  <c:v>1.3888888888888888E-2</c:v>
                </c:pt>
                <c:pt idx="3">
                  <c:v>2.3148148148148147E-2</c:v>
                </c:pt>
                <c:pt idx="4">
                  <c:v>6.9444444444444441E-3</c:v>
                </c:pt>
                <c:pt idx="5">
                  <c:v>1.1574074074074073E-2</c:v>
                </c:pt>
                <c:pt idx="6">
                  <c:v>7.2337962962962965E-2</c:v>
                </c:pt>
                <c:pt idx="7">
                  <c:v>3.4722222222222224E-2</c:v>
                </c:pt>
                <c:pt idx="8">
                  <c:v>2.6041666666666668E-2</c:v>
                </c:pt>
                <c:pt idx="9">
                  <c:v>7.2337962962962965E-2</c:v>
                </c:pt>
                <c:pt idx="10">
                  <c:v>5.7870370370370371E-2</c:v>
                </c:pt>
                <c:pt idx="11">
                  <c:v>3.7037037037037035E-2</c:v>
                </c:pt>
                <c:pt idx="12">
                  <c:v>2.0833333333333332E-2</c:v>
                </c:pt>
                <c:pt idx="13">
                  <c:v>2.7777777777777776E-2</c:v>
                </c:pt>
                <c:pt idx="14">
                  <c:v>2.0833333333333332E-2</c:v>
                </c:pt>
                <c:pt idx="15">
                  <c:v>7.2337962962962965E-2</c:v>
                </c:pt>
                <c:pt idx="16">
                  <c:v>7.2337962962962965E-2</c:v>
                </c:pt>
                <c:pt idx="17">
                  <c:v>3.4722222222222224E-2</c:v>
                </c:pt>
                <c:pt idx="18">
                  <c:v>3.4722222222222224E-2</c:v>
                </c:pt>
                <c:pt idx="19">
                  <c:v>8.6805555555555559E-3</c:v>
                </c:pt>
                <c:pt idx="20">
                  <c:v>3.4722222222222224E-2</c:v>
                </c:pt>
                <c:pt idx="21">
                  <c:v>2.3148148148148147E-2</c:v>
                </c:pt>
                <c:pt idx="22">
                  <c:v>2.7777777777777776E-2</c:v>
                </c:pt>
                <c:pt idx="23">
                  <c:v>2.0833333333333332E-2</c:v>
                </c:pt>
                <c:pt idx="24">
                  <c:v>3.4722222222222224E-2</c:v>
                </c:pt>
                <c:pt idx="25">
                  <c:v>3.4722222222222224E-2</c:v>
                </c:pt>
                <c:pt idx="26">
                  <c:v>5.7870370370370371E-2</c:v>
                </c:pt>
                <c:pt idx="27">
                  <c:v>2.0833333333333332E-2</c:v>
                </c:pt>
                <c:pt idx="28">
                  <c:v>4.3402777777777776E-2</c:v>
                </c:pt>
                <c:pt idx="29">
                  <c:v>0</c:v>
                </c:pt>
                <c:pt idx="30">
                  <c:v>0</c:v>
                </c:pt>
                <c:pt idx="31">
                  <c:v>0</c:v>
                </c:pt>
                <c:pt idx="32">
                  <c:v>0</c:v>
                </c:pt>
                <c:pt idx="33">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numCache>
            </c:numRef>
          </c:bubbleSize>
          <c:bubble3D val="1"/>
          <c:extLst>
            <c:ext xmlns:c16="http://schemas.microsoft.com/office/drawing/2014/chart" uri="{C3380CC4-5D6E-409C-BE32-E72D297353CC}">
              <c16:uniqueId val="{00000000-BD58-4834-8DA3-BCE785327EF6}"/>
            </c:ext>
          </c:extLst>
        </c:ser>
        <c:dLbls>
          <c:dLblPos val="ctr"/>
          <c:showLegendKey val="0"/>
          <c:showVal val="1"/>
          <c:showCatName val="0"/>
          <c:showSerName val="0"/>
          <c:showPercent val="0"/>
          <c:showBubbleSize val="0"/>
        </c:dLbls>
        <c:bubbleScale val="100"/>
        <c:showNegBubbles val="0"/>
        <c:axId val="327395872"/>
        <c:axId val="327394208"/>
      </c:bubbleChart>
      <c:valAx>
        <c:axId val="327395872"/>
        <c:scaling>
          <c:orientation val="minMax"/>
          <c:max val="31"/>
          <c:min val="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394208"/>
        <c:crosses val="autoZero"/>
        <c:crossBetween val="midCat"/>
        <c:majorUnit val="1"/>
        <c:minorUnit val="0.1"/>
      </c:valAx>
      <c:valAx>
        <c:axId val="32739420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395872"/>
        <c:crossesAt val="0"/>
        <c:crossBetween val="midCat"/>
        <c:majorUnit val="10"/>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Matriz</a:t>
            </a:r>
            <a:r>
              <a:rPr lang="pt-BR" baseline="0"/>
              <a:t> de Exposição ao Risco</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6141954682030825E-2"/>
          <c:y val="0.11656857405103654"/>
          <c:w val="0.93993518648635022"/>
          <c:h val="0.8105225829138939"/>
        </c:manualLayout>
      </c:layout>
      <c:bubbleChart>
        <c:varyColors val="0"/>
        <c:ser>
          <c:idx val="0"/>
          <c:order val="0"/>
          <c:tx>
            <c:strRef>
              <c:f>GRÁFICOS!$V$137</c:f>
              <c:strCache>
                <c:ptCount val="1"/>
                <c:pt idx="0">
                  <c:v>Baixo</c:v>
                </c:pt>
              </c:strCache>
            </c:strRef>
          </c:tx>
          <c:spPr>
            <a:solidFill>
              <a:srgbClr val="92D050"/>
            </a:solidFill>
            <a:ln>
              <a:solidFill>
                <a:srgbClr val="92D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GRÁFICOS!$U$138:$U$167</c:f>
              <c:strCache>
                <c:ptCount val="29"/>
                <c:pt idx="0">
                  <c:v>[P1]</c:v>
                </c:pt>
                <c:pt idx="1">
                  <c:v>[P2]</c:v>
                </c:pt>
                <c:pt idx="2">
                  <c:v>[P3]</c:v>
                </c:pt>
                <c:pt idx="3">
                  <c:v>[P4]</c:v>
                </c:pt>
                <c:pt idx="4">
                  <c:v>[P5]</c:v>
                </c:pt>
                <c:pt idx="5">
                  <c:v>[P6]</c:v>
                </c:pt>
                <c:pt idx="6">
                  <c:v>[P7]</c:v>
                </c:pt>
                <c:pt idx="7">
                  <c:v>[P8]</c:v>
                </c:pt>
                <c:pt idx="8">
                  <c:v>[P9]</c:v>
                </c:pt>
                <c:pt idx="9">
                  <c:v>[P10]</c:v>
                </c:pt>
                <c:pt idx="10">
                  <c:v>[P11]</c:v>
                </c:pt>
                <c:pt idx="11">
                  <c:v>[P12]</c:v>
                </c:pt>
                <c:pt idx="12">
                  <c:v>[P13]</c:v>
                </c:pt>
                <c:pt idx="13">
                  <c:v>[P14]</c:v>
                </c:pt>
                <c:pt idx="14">
                  <c:v>[P15]</c:v>
                </c:pt>
                <c:pt idx="15">
                  <c:v>[P16]</c:v>
                </c:pt>
                <c:pt idx="16">
                  <c:v>[P17]</c:v>
                </c:pt>
                <c:pt idx="17">
                  <c:v>[P18]</c:v>
                </c:pt>
                <c:pt idx="18">
                  <c:v>[P19]</c:v>
                </c:pt>
                <c:pt idx="19">
                  <c:v>[P20]</c:v>
                </c:pt>
                <c:pt idx="20">
                  <c:v>[P21]</c:v>
                </c:pt>
                <c:pt idx="21">
                  <c:v>[P22]</c:v>
                </c:pt>
                <c:pt idx="22">
                  <c:v>[P23]</c:v>
                </c:pt>
                <c:pt idx="23">
                  <c:v>[P24]</c:v>
                </c:pt>
                <c:pt idx="24">
                  <c:v>[P25]</c:v>
                </c:pt>
                <c:pt idx="25">
                  <c:v>[P26]</c:v>
                </c:pt>
                <c:pt idx="26">
                  <c:v>[P27]</c:v>
                </c:pt>
                <c:pt idx="27">
                  <c:v>[P28]</c:v>
                </c:pt>
                <c:pt idx="28">
                  <c:v>[P29]</c:v>
                </c:pt>
              </c:strCache>
            </c:strRef>
          </c:xVal>
          <c:yVal>
            <c:numRef>
              <c:f>GRÁFICOS!$R$138:$R$167</c:f>
              <c:numCache>
                <c:formatCode>General</c:formatCode>
                <c:ptCount val="30"/>
                <c:pt idx="0">
                  <c:v>16</c:v>
                </c:pt>
                <c:pt idx="1">
                  <c:v>20</c:v>
                </c:pt>
                <c:pt idx="2">
                  <c:v>16</c:v>
                </c:pt>
                <c:pt idx="3">
                  <c:v>16</c:v>
                </c:pt>
                <c:pt idx="4">
                  <c:v>9</c:v>
                </c:pt>
                <c:pt idx="5">
                  <c:v>30</c:v>
                </c:pt>
                <c:pt idx="6">
                  <c:v>3</c:v>
                </c:pt>
                <c:pt idx="7">
                  <c:v>32</c:v>
                </c:pt>
                <c:pt idx="8">
                  <c:v>125</c:v>
                </c:pt>
                <c:pt idx="9">
                  <c:v>40</c:v>
                </c:pt>
                <c:pt idx="10">
                  <c:v>30</c:v>
                </c:pt>
                <c:pt idx="11">
                  <c:v>40</c:v>
                </c:pt>
                <c:pt idx="12">
                  <c:v>40</c:v>
                </c:pt>
                <c:pt idx="13">
                  <c:v>12</c:v>
                </c:pt>
                <c:pt idx="14">
                  <c:v>16</c:v>
                </c:pt>
                <c:pt idx="15">
                  <c:v>48</c:v>
                </c:pt>
                <c:pt idx="16">
                  <c:v>60</c:v>
                </c:pt>
                <c:pt idx="17">
                  <c:v>36</c:v>
                </c:pt>
                <c:pt idx="18">
                  <c:v>48</c:v>
                </c:pt>
                <c:pt idx="19">
                  <c:v>40</c:v>
                </c:pt>
                <c:pt idx="20">
                  <c:v>40</c:v>
                </c:pt>
                <c:pt idx="21">
                  <c:v>100</c:v>
                </c:pt>
                <c:pt idx="22">
                  <c:v>100</c:v>
                </c:pt>
                <c:pt idx="23">
                  <c:v>40</c:v>
                </c:pt>
                <c:pt idx="24">
                  <c:v>24</c:v>
                </c:pt>
                <c:pt idx="25">
                  <c:v>60</c:v>
                </c:pt>
                <c:pt idx="26">
                  <c:v>100</c:v>
                </c:pt>
                <c:pt idx="27">
                  <c:v>12</c:v>
                </c:pt>
                <c:pt idx="28">
                  <c:v>100</c:v>
                </c:pt>
              </c:numCache>
            </c:numRef>
          </c:yVal>
          <c:bubbleSize>
            <c:numRef>
              <c:f>GRÁFICOS!$V$138:$V$167</c:f>
              <c:numCache>
                <c:formatCode>0%</c:formatCode>
                <c:ptCount val="30"/>
                <c:pt idx="0">
                  <c:v>1.2769353551476457E-2</c:v>
                </c:pt>
                <c:pt idx="1">
                  <c:v>1.596169193934557E-2</c:v>
                </c:pt>
                <c:pt idx="2">
                  <c:v>1.2769353551476457E-2</c:v>
                </c:pt>
                <c:pt idx="3">
                  <c:v>1.2769353551476457E-2</c:v>
                </c:pt>
                <c:pt idx="4">
                  <c:v>7.1827613727055064E-3</c:v>
                </c:pt>
                <c:pt idx="5">
                  <c:v>2.3942537909018357E-2</c:v>
                </c:pt>
                <c:pt idx="6">
                  <c:v>2.3942537909018356E-3</c:v>
                </c:pt>
                <c:pt idx="7">
                  <c:v>2.5538707102952914E-2</c:v>
                </c:pt>
                <c:pt idx="8">
                  <c:v>0</c:v>
                </c:pt>
                <c:pt idx="9">
                  <c:v>3.192338387869114E-2</c:v>
                </c:pt>
                <c:pt idx="10">
                  <c:v>2.3942537909018357E-2</c:v>
                </c:pt>
                <c:pt idx="11">
                  <c:v>3.192338387869114E-2</c:v>
                </c:pt>
                <c:pt idx="12">
                  <c:v>3.192338387869114E-2</c:v>
                </c:pt>
                <c:pt idx="13">
                  <c:v>9.5770151636073424E-3</c:v>
                </c:pt>
                <c:pt idx="14">
                  <c:v>1.2769353551476457E-2</c:v>
                </c:pt>
                <c:pt idx="15">
                  <c:v>3.830806065442937E-2</c:v>
                </c:pt>
                <c:pt idx="16">
                  <c:v>0</c:v>
                </c:pt>
                <c:pt idx="17">
                  <c:v>2.8731045490822026E-2</c:v>
                </c:pt>
                <c:pt idx="18">
                  <c:v>3.830806065442937E-2</c:v>
                </c:pt>
                <c:pt idx="19">
                  <c:v>3.192338387869114E-2</c:v>
                </c:pt>
                <c:pt idx="20">
                  <c:v>3.192338387869114E-2</c:v>
                </c:pt>
                <c:pt idx="21">
                  <c:v>0</c:v>
                </c:pt>
                <c:pt idx="22">
                  <c:v>0</c:v>
                </c:pt>
                <c:pt idx="23">
                  <c:v>3.192338387869114E-2</c:v>
                </c:pt>
                <c:pt idx="24">
                  <c:v>1.9154030327214685E-2</c:v>
                </c:pt>
                <c:pt idx="25">
                  <c:v>0</c:v>
                </c:pt>
                <c:pt idx="26">
                  <c:v>0</c:v>
                </c:pt>
                <c:pt idx="27">
                  <c:v>9.5770151636073424E-3</c:v>
                </c:pt>
                <c:pt idx="28">
                  <c:v>0</c:v>
                </c:pt>
              </c:numCache>
            </c:numRef>
          </c:bubbleSize>
          <c:bubble3D val="1"/>
          <c:extLst>
            <c:ext xmlns:c16="http://schemas.microsoft.com/office/drawing/2014/chart" uri="{C3380CC4-5D6E-409C-BE32-E72D297353CC}">
              <c16:uniqueId val="{00000000-EB4B-499E-8F0D-C3AE9F3044EB}"/>
            </c:ext>
          </c:extLst>
        </c:ser>
        <c:ser>
          <c:idx val="1"/>
          <c:order val="1"/>
          <c:tx>
            <c:strRef>
              <c:f>GRÁFICOS!$W$137</c:f>
              <c:strCache>
                <c:ptCount val="1"/>
                <c:pt idx="0">
                  <c:v>Médio</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GRÁFICOS!$U$138:$U$168</c:f>
              <c:strCache>
                <c:ptCount val="29"/>
                <c:pt idx="0">
                  <c:v>[P1]</c:v>
                </c:pt>
                <c:pt idx="1">
                  <c:v>[P2]</c:v>
                </c:pt>
                <c:pt idx="2">
                  <c:v>[P3]</c:v>
                </c:pt>
                <c:pt idx="3">
                  <c:v>[P4]</c:v>
                </c:pt>
                <c:pt idx="4">
                  <c:v>[P5]</c:v>
                </c:pt>
                <c:pt idx="5">
                  <c:v>[P6]</c:v>
                </c:pt>
                <c:pt idx="6">
                  <c:v>[P7]</c:v>
                </c:pt>
                <c:pt idx="7">
                  <c:v>[P8]</c:v>
                </c:pt>
                <c:pt idx="8">
                  <c:v>[P9]</c:v>
                </c:pt>
                <c:pt idx="9">
                  <c:v>[P10]</c:v>
                </c:pt>
                <c:pt idx="10">
                  <c:v>[P11]</c:v>
                </c:pt>
                <c:pt idx="11">
                  <c:v>[P12]</c:v>
                </c:pt>
                <c:pt idx="12">
                  <c:v>[P13]</c:v>
                </c:pt>
                <c:pt idx="13">
                  <c:v>[P14]</c:v>
                </c:pt>
                <c:pt idx="14">
                  <c:v>[P15]</c:v>
                </c:pt>
                <c:pt idx="15">
                  <c:v>[P16]</c:v>
                </c:pt>
                <c:pt idx="16">
                  <c:v>[P17]</c:v>
                </c:pt>
                <c:pt idx="17">
                  <c:v>[P18]</c:v>
                </c:pt>
                <c:pt idx="18">
                  <c:v>[P19]</c:v>
                </c:pt>
                <c:pt idx="19">
                  <c:v>[P20]</c:v>
                </c:pt>
                <c:pt idx="20">
                  <c:v>[P21]</c:v>
                </c:pt>
                <c:pt idx="21">
                  <c:v>[P22]</c:v>
                </c:pt>
                <c:pt idx="22">
                  <c:v>[P23]</c:v>
                </c:pt>
                <c:pt idx="23">
                  <c:v>[P24]</c:v>
                </c:pt>
                <c:pt idx="24">
                  <c:v>[P25]</c:v>
                </c:pt>
                <c:pt idx="25">
                  <c:v>[P26]</c:v>
                </c:pt>
                <c:pt idx="26">
                  <c:v>[P27]</c:v>
                </c:pt>
                <c:pt idx="27">
                  <c:v>[P28]</c:v>
                </c:pt>
                <c:pt idx="28">
                  <c:v>[P29]</c:v>
                </c:pt>
              </c:strCache>
            </c:strRef>
          </c:xVal>
          <c:yVal>
            <c:numRef>
              <c:f>GRÁFICOS!$R$138:$R$168</c:f>
              <c:numCache>
                <c:formatCode>General</c:formatCode>
                <c:ptCount val="31"/>
                <c:pt idx="0">
                  <c:v>16</c:v>
                </c:pt>
                <c:pt idx="1">
                  <c:v>20</c:v>
                </c:pt>
                <c:pt idx="2">
                  <c:v>16</c:v>
                </c:pt>
                <c:pt idx="3">
                  <c:v>16</c:v>
                </c:pt>
                <c:pt idx="4">
                  <c:v>9</c:v>
                </c:pt>
                <c:pt idx="5">
                  <c:v>30</c:v>
                </c:pt>
                <c:pt idx="6">
                  <c:v>3</c:v>
                </c:pt>
                <c:pt idx="7">
                  <c:v>32</c:v>
                </c:pt>
                <c:pt idx="8">
                  <c:v>125</c:v>
                </c:pt>
                <c:pt idx="9">
                  <c:v>40</c:v>
                </c:pt>
                <c:pt idx="10">
                  <c:v>30</c:v>
                </c:pt>
                <c:pt idx="11">
                  <c:v>40</c:v>
                </c:pt>
                <c:pt idx="12">
                  <c:v>40</c:v>
                </c:pt>
                <c:pt idx="13">
                  <c:v>12</c:v>
                </c:pt>
                <c:pt idx="14">
                  <c:v>16</c:v>
                </c:pt>
                <c:pt idx="15">
                  <c:v>48</c:v>
                </c:pt>
                <c:pt idx="16">
                  <c:v>60</c:v>
                </c:pt>
                <c:pt idx="17">
                  <c:v>36</c:v>
                </c:pt>
                <c:pt idx="18">
                  <c:v>48</c:v>
                </c:pt>
                <c:pt idx="19">
                  <c:v>40</c:v>
                </c:pt>
                <c:pt idx="20">
                  <c:v>40</c:v>
                </c:pt>
                <c:pt idx="21">
                  <c:v>100</c:v>
                </c:pt>
                <c:pt idx="22">
                  <c:v>100</c:v>
                </c:pt>
                <c:pt idx="23">
                  <c:v>40</c:v>
                </c:pt>
                <c:pt idx="24">
                  <c:v>24</c:v>
                </c:pt>
                <c:pt idx="25">
                  <c:v>60</c:v>
                </c:pt>
                <c:pt idx="26">
                  <c:v>100</c:v>
                </c:pt>
                <c:pt idx="27">
                  <c:v>12</c:v>
                </c:pt>
                <c:pt idx="28">
                  <c:v>100</c:v>
                </c:pt>
              </c:numCache>
            </c:numRef>
          </c:yVal>
          <c:bubbleSize>
            <c:numRef>
              <c:f>GRÁFICOS!$W$138:$W$168</c:f>
              <c:numCache>
                <c:formatCode>0%</c:formatCode>
                <c:ptCount val="31"/>
                <c:pt idx="0">
                  <c:v>0</c:v>
                </c:pt>
                <c:pt idx="1">
                  <c:v>0</c:v>
                </c:pt>
                <c:pt idx="2">
                  <c:v>0</c:v>
                </c:pt>
                <c:pt idx="11">
                  <c:v>0</c:v>
                </c:pt>
                <c:pt idx="12">
                  <c:v>0</c:v>
                </c:pt>
                <c:pt idx="13">
                  <c:v>0</c:v>
                </c:pt>
                <c:pt idx="14">
                  <c:v>0</c:v>
                </c:pt>
                <c:pt idx="15">
                  <c:v>0</c:v>
                </c:pt>
                <c:pt idx="16">
                  <c:v>4.7885075818036714E-2</c:v>
                </c:pt>
                <c:pt idx="17">
                  <c:v>0</c:v>
                </c:pt>
                <c:pt idx="18">
                  <c:v>0</c:v>
                </c:pt>
                <c:pt idx="19">
                  <c:v>0</c:v>
                </c:pt>
                <c:pt idx="20">
                  <c:v>0</c:v>
                </c:pt>
                <c:pt idx="21">
                  <c:v>0</c:v>
                </c:pt>
                <c:pt idx="22">
                  <c:v>0</c:v>
                </c:pt>
                <c:pt idx="23">
                  <c:v>0</c:v>
                </c:pt>
                <c:pt idx="24">
                  <c:v>0</c:v>
                </c:pt>
                <c:pt idx="25">
                  <c:v>4.7885075818036714E-2</c:v>
                </c:pt>
                <c:pt idx="26">
                  <c:v>0</c:v>
                </c:pt>
                <c:pt idx="27">
                  <c:v>0</c:v>
                </c:pt>
                <c:pt idx="28">
                  <c:v>0</c:v>
                </c:pt>
              </c:numCache>
            </c:numRef>
          </c:bubbleSize>
          <c:bubble3D val="1"/>
          <c:extLst>
            <c:ext xmlns:c16="http://schemas.microsoft.com/office/drawing/2014/chart" uri="{C3380CC4-5D6E-409C-BE32-E72D297353CC}">
              <c16:uniqueId val="{00000001-EB4B-499E-8F0D-C3AE9F3044EB}"/>
            </c:ext>
          </c:extLst>
        </c:ser>
        <c:ser>
          <c:idx val="2"/>
          <c:order val="2"/>
          <c:tx>
            <c:strRef>
              <c:f>GRÁFICOS!$X$137</c:f>
              <c:strCache>
                <c:ptCount val="1"/>
                <c:pt idx="0">
                  <c:v>Alto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GRÁFICOS!$U$138:$U$168</c:f>
              <c:strCache>
                <c:ptCount val="29"/>
                <c:pt idx="0">
                  <c:v>[P1]</c:v>
                </c:pt>
                <c:pt idx="1">
                  <c:v>[P2]</c:v>
                </c:pt>
                <c:pt idx="2">
                  <c:v>[P3]</c:v>
                </c:pt>
                <c:pt idx="3">
                  <c:v>[P4]</c:v>
                </c:pt>
                <c:pt idx="4">
                  <c:v>[P5]</c:v>
                </c:pt>
                <c:pt idx="5">
                  <c:v>[P6]</c:v>
                </c:pt>
                <c:pt idx="6">
                  <c:v>[P7]</c:v>
                </c:pt>
                <c:pt idx="7">
                  <c:v>[P8]</c:v>
                </c:pt>
                <c:pt idx="8">
                  <c:v>[P9]</c:v>
                </c:pt>
                <c:pt idx="9">
                  <c:v>[P10]</c:v>
                </c:pt>
                <c:pt idx="10">
                  <c:v>[P11]</c:v>
                </c:pt>
                <c:pt idx="11">
                  <c:v>[P12]</c:v>
                </c:pt>
                <c:pt idx="12">
                  <c:v>[P13]</c:v>
                </c:pt>
                <c:pt idx="13">
                  <c:v>[P14]</c:v>
                </c:pt>
                <c:pt idx="14">
                  <c:v>[P15]</c:v>
                </c:pt>
                <c:pt idx="15">
                  <c:v>[P16]</c:v>
                </c:pt>
                <c:pt idx="16">
                  <c:v>[P17]</c:v>
                </c:pt>
                <c:pt idx="17">
                  <c:v>[P18]</c:v>
                </c:pt>
                <c:pt idx="18">
                  <c:v>[P19]</c:v>
                </c:pt>
                <c:pt idx="19">
                  <c:v>[P20]</c:v>
                </c:pt>
                <c:pt idx="20">
                  <c:v>[P21]</c:v>
                </c:pt>
                <c:pt idx="21">
                  <c:v>[P22]</c:v>
                </c:pt>
                <c:pt idx="22">
                  <c:v>[P23]</c:v>
                </c:pt>
                <c:pt idx="23">
                  <c:v>[P24]</c:v>
                </c:pt>
                <c:pt idx="24">
                  <c:v>[P25]</c:v>
                </c:pt>
                <c:pt idx="25">
                  <c:v>[P26]</c:v>
                </c:pt>
                <c:pt idx="26">
                  <c:v>[P27]</c:v>
                </c:pt>
                <c:pt idx="27">
                  <c:v>[P28]</c:v>
                </c:pt>
                <c:pt idx="28">
                  <c:v>[P29]</c:v>
                </c:pt>
              </c:strCache>
            </c:strRef>
          </c:xVal>
          <c:yVal>
            <c:numRef>
              <c:f>GRÁFICOS!$R$138:$R$168</c:f>
              <c:numCache>
                <c:formatCode>General</c:formatCode>
                <c:ptCount val="31"/>
                <c:pt idx="0">
                  <c:v>16</c:v>
                </c:pt>
                <c:pt idx="1">
                  <c:v>20</c:v>
                </c:pt>
                <c:pt idx="2">
                  <c:v>16</c:v>
                </c:pt>
                <c:pt idx="3">
                  <c:v>16</c:v>
                </c:pt>
                <c:pt idx="4">
                  <c:v>9</c:v>
                </c:pt>
                <c:pt idx="5">
                  <c:v>30</c:v>
                </c:pt>
                <c:pt idx="6">
                  <c:v>3</c:v>
                </c:pt>
                <c:pt idx="7">
                  <c:v>32</c:v>
                </c:pt>
                <c:pt idx="8">
                  <c:v>125</c:v>
                </c:pt>
                <c:pt idx="9">
                  <c:v>40</c:v>
                </c:pt>
                <c:pt idx="10">
                  <c:v>30</c:v>
                </c:pt>
                <c:pt idx="11">
                  <c:v>40</c:v>
                </c:pt>
                <c:pt idx="12">
                  <c:v>40</c:v>
                </c:pt>
                <c:pt idx="13">
                  <c:v>12</c:v>
                </c:pt>
                <c:pt idx="14">
                  <c:v>16</c:v>
                </c:pt>
                <c:pt idx="15">
                  <c:v>48</c:v>
                </c:pt>
                <c:pt idx="16">
                  <c:v>60</c:v>
                </c:pt>
                <c:pt idx="17">
                  <c:v>36</c:v>
                </c:pt>
                <c:pt idx="18">
                  <c:v>48</c:v>
                </c:pt>
                <c:pt idx="19">
                  <c:v>40</c:v>
                </c:pt>
                <c:pt idx="20">
                  <c:v>40</c:v>
                </c:pt>
                <c:pt idx="21">
                  <c:v>100</c:v>
                </c:pt>
                <c:pt idx="22">
                  <c:v>100</c:v>
                </c:pt>
                <c:pt idx="23">
                  <c:v>40</c:v>
                </c:pt>
                <c:pt idx="24">
                  <c:v>24</c:v>
                </c:pt>
                <c:pt idx="25">
                  <c:v>60</c:v>
                </c:pt>
                <c:pt idx="26">
                  <c:v>100</c:v>
                </c:pt>
                <c:pt idx="27">
                  <c:v>12</c:v>
                </c:pt>
                <c:pt idx="28">
                  <c:v>100</c:v>
                </c:pt>
              </c:numCache>
            </c:numRef>
          </c:yVal>
          <c:bubbleSize>
            <c:numRef>
              <c:f>GRÁFICOS!$X$138:$X$168</c:f>
              <c:numCache>
                <c:formatCode>0%</c:formatCode>
                <c:ptCount val="31"/>
                <c:pt idx="0">
                  <c:v>0</c:v>
                </c:pt>
                <c:pt idx="1">
                  <c:v>0</c:v>
                </c:pt>
                <c:pt idx="2">
                  <c:v>0</c:v>
                </c:pt>
                <c:pt idx="11">
                  <c:v>0</c:v>
                </c:pt>
                <c:pt idx="12">
                  <c:v>0</c:v>
                </c:pt>
                <c:pt idx="13">
                  <c:v>0</c:v>
                </c:pt>
                <c:pt idx="14">
                  <c:v>0</c:v>
                </c:pt>
                <c:pt idx="15">
                  <c:v>0</c:v>
                </c:pt>
                <c:pt idx="16">
                  <c:v>0</c:v>
                </c:pt>
                <c:pt idx="17">
                  <c:v>0</c:v>
                </c:pt>
                <c:pt idx="18">
                  <c:v>0</c:v>
                </c:pt>
                <c:pt idx="19">
                  <c:v>0</c:v>
                </c:pt>
                <c:pt idx="20">
                  <c:v>0</c:v>
                </c:pt>
                <c:pt idx="21">
                  <c:v>7.9808459696727854E-2</c:v>
                </c:pt>
                <c:pt idx="22">
                  <c:v>7.9808459696727854E-2</c:v>
                </c:pt>
                <c:pt idx="23">
                  <c:v>0</c:v>
                </c:pt>
                <c:pt idx="24">
                  <c:v>0</c:v>
                </c:pt>
                <c:pt idx="25">
                  <c:v>0</c:v>
                </c:pt>
                <c:pt idx="26">
                  <c:v>7.9808459696727854E-2</c:v>
                </c:pt>
                <c:pt idx="27">
                  <c:v>0</c:v>
                </c:pt>
                <c:pt idx="28">
                  <c:v>7.9808459696727854E-2</c:v>
                </c:pt>
                <c:pt idx="29">
                  <c:v>0</c:v>
                </c:pt>
                <c:pt idx="30">
                  <c:v>0</c:v>
                </c:pt>
              </c:numCache>
            </c:numRef>
          </c:bubbleSize>
          <c:bubble3D val="1"/>
          <c:extLst>
            <c:ext xmlns:c16="http://schemas.microsoft.com/office/drawing/2014/chart" uri="{C3380CC4-5D6E-409C-BE32-E72D297353CC}">
              <c16:uniqueId val="{00000002-EB4B-499E-8F0D-C3AE9F3044EB}"/>
            </c:ext>
          </c:extLst>
        </c:ser>
        <c:dLbls>
          <c:dLblPos val="ctr"/>
          <c:showLegendKey val="0"/>
          <c:showVal val="1"/>
          <c:showCatName val="0"/>
          <c:showSerName val="0"/>
          <c:showPercent val="0"/>
          <c:showBubbleSize val="0"/>
        </c:dLbls>
        <c:bubbleScale val="100"/>
        <c:showNegBubbles val="0"/>
        <c:axId val="327395872"/>
        <c:axId val="327394208"/>
      </c:bubbleChart>
      <c:valAx>
        <c:axId val="327395872"/>
        <c:scaling>
          <c:orientation val="minMax"/>
          <c:max val="3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394208"/>
        <c:crosses val="autoZero"/>
        <c:crossBetween val="midCat"/>
        <c:majorUnit val="1"/>
        <c:minorUnit val="0.1"/>
      </c:valAx>
      <c:valAx>
        <c:axId val="32739420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395872"/>
        <c:crossesAt val="0"/>
        <c:crossBetween val="midCat"/>
        <c:majorUnit val="10"/>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9.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0.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1.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2.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3.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4.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5.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6.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7.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8.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9.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0.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1.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2.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3.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4.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5.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6.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7.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8.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9.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0.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1.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2.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3.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4.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5.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6.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7.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8.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9.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40.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41.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42.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43.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44.xml.rels><?xml version="1.0" encoding="UTF-8" standalone="yes"?>
<Relationships xmlns="http://schemas.openxmlformats.org/package/2006/relationships"><Relationship Id="rId1" Type="http://schemas.openxmlformats.org/officeDocument/2006/relationships/hyperlink" Target="#'BASE DA MATRIZ DE RISCOS'!_Toc54348655"/></Relationships>
</file>

<file path=xl/drawings/_rels/drawing45.xml.rels><?xml version="1.0" encoding="UTF-8" standalone="yes"?>
<Relationships xmlns="http://schemas.openxmlformats.org/package/2006/relationships"><Relationship Id="rId1" Type="http://schemas.openxmlformats.org/officeDocument/2006/relationships/hyperlink" Target="#'BASE DA MATRIZ DE RISCOS'!_Toc54348655"/></Relationships>
</file>

<file path=xl/drawings/drawing1.xml><?xml version="1.0" encoding="utf-8"?>
<xdr:wsDr xmlns:xdr="http://schemas.openxmlformats.org/drawingml/2006/spreadsheetDrawing" xmlns:a="http://schemas.openxmlformats.org/drawingml/2006/main">
  <xdr:twoCellAnchor editAs="oneCell">
    <xdr:from>
      <xdr:col>0</xdr:col>
      <xdr:colOff>296334</xdr:colOff>
      <xdr:row>0</xdr:row>
      <xdr:rowOff>74084</xdr:rowOff>
    </xdr:from>
    <xdr:to>
      <xdr:col>1</xdr:col>
      <xdr:colOff>1193294</xdr:colOff>
      <xdr:row>1</xdr:row>
      <xdr:rowOff>48718</xdr:rowOff>
    </xdr:to>
    <xdr:pic>
      <xdr:nvPicPr>
        <xdr:cNvPr id="4" name="Imagem 3">
          <a:extLst>
            <a:ext uri="{FF2B5EF4-FFF2-40B4-BE49-F238E27FC236}">
              <a16:creationId xmlns:a16="http://schemas.microsoft.com/office/drawing/2014/main" id="{1FF6119B-56E0-44E8-9F4D-5E09BEB817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6334" y="74084"/>
          <a:ext cx="1203877" cy="535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298450</xdr:colOff>
      <xdr:row>24</xdr:row>
      <xdr:rowOff>34925</xdr:rowOff>
    </xdr:from>
    <xdr:ext cx="3857625" cy="2647950"/>
    <xdr:graphicFrame macro="">
      <xdr:nvGraphicFramePr>
        <xdr:cNvPr id="559018003" name="Chart 1">
          <a:extLst>
            <a:ext uri="{FF2B5EF4-FFF2-40B4-BE49-F238E27FC236}">
              <a16:creationId xmlns:a16="http://schemas.microsoft.com/office/drawing/2014/main" id="{00000000-0008-0000-0100-000013F05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187325</xdr:colOff>
      <xdr:row>18</xdr:row>
      <xdr:rowOff>9525</xdr:rowOff>
    </xdr:from>
    <xdr:ext cx="3181350" cy="1066800"/>
    <xdr:graphicFrame macro="">
      <xdr:nvGraphicFramePr>
        <xdr:cNvPr id="1297371501" name="Chart 2">
          <a:extLst>
            <a:ext uri="{FF2B5EF4-FFF2-40B4-BE49-F238E27FC236}">
              <a16:creationId xmlns:a16="http://schemas.microsoft.com/office/drawing/2014/main" id="{00000000-0008-0000-0100-00006D515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174625</xdr:colOff>
      <xdr:row>0</xdr:row>
      <xdr:rowOff>95250</xdr:rowOff>
    </xdr:from>
    <xdr:to>
      <xdr:col>2</xdr:col>
      <xdr:colOff>629806</xdr:colOff>
      <xdr:row>1</xdr:row>
      <xdr:rowOff>105111</xdr:rowOff>
    </xdr:to>
    <xdr:pic>
      <xdr:nvPicPr>
        <xdr:cNvPr id="2" name="Imagem 1">
          <a:extLst>
            <a:ext uri="{FF2B5EF4-FFF2-40B4-BE49-F238E27FC236}">
              <a16:creationId xmlns:a16="http://schemas.microsoft.com/office/drawing/2014/main" id="{6160A29E-D5B6-46DF-8974-016C473733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2125" y="95250"/>
          <a:ext cx="1217181" cy="5178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2</xdr:col>
      <xdr:colOff>525031</xdr:colOff>
      <xdr:row>1</xdr:row>
      <xdr:rowOff>92411</xdr:rowOff>
    </xdr:to>
    <xdr:pic>
      <xdr:nvPicPr>
        <xdr:cNvPr id="3" name="Imagem 2">
          <a:extLst>
            <a:ext uri="{FF2B5EF4-FFF2-40B4-BE49-F238E27FC236}">
              <a16:creationId xmlns:a16="http://schemas.microsoft.com/office/drawing/2014/main" id="{B0BF3733-31F0-43E8-8520-E1C972DB81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0" y="95250"/>
          <a:ext cx="1207656" cy="5210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359833</xdr:colOff>
      <xdr:row>21</xdr:row>
      <xdr:rowOff>19049</xdr:rowOff>
    </xdr:from>
    <xdr:to>
      <xdr:col>9</xdr:col>
      <xdr:colOff>254000</xdr:colOff>
      <xdr:row>44</xdr:row>
      <xdr:rowOff>95249</xdr:rowOff>
    </xdr:to>
    <xdr:graphicFrame macro="">
      <xdr:nvGraphicFramePr>
        <xdr:cNvPr id="6" name="Gráfico 5">
          <a:extLst>
            <a:ext uri="{FF2B5EF4-FFF2-40B4-BE49-F238E27FC236}">
              <a16:creationId xmlns:a16="http://schemas.microsoft.com/office/drawing/2014/main" id="{E8EEEB9F-F37C-4277-BBA7-21CDF5A0C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115357</xdr:colOff>
      <xdr:row>44</xdr:row>
      <xdr:rowOff>147109</xdr:rowOff>
    </xdr:from>
    <xdr:to>
      <xdr:col>31</xdr:col>
      <xdr:colOff>645582</xdr:colOff>
      <xdr:row>71</xdr:row>
      <xdr:rowOff>127000</xdr:rowOff>
    </xdr:to>
    <xdr:graphicFrame macro="">
      <xdr:nvGraphicFramePr>
        <xdr:cNvPr id="7" name="Gráfico 6">
          <a:extLst>
            <a:ext uri="{FF2B5EF4-FFF2-40B4-BE49-F238E27FC236}">
              <a16:creationId xmlns:a16="http://schemas.microsoft.com/office/drawing/2014/main" id="{A0C87FAE-A123-4E04-81C7-506E20922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269874</xdr:colOff>
      <xdr:row>2</xdr:row>
      <xdr:rowOff>153987</xdr:rowOff>
    </xdr:from>
    <xdr:to>
      <xdr:col>7</xdr:col>
      <xdr:colOff>447675</xdr:colOff>
      <xdr:row>18</xdr:row>
      <xdr:rowOff>173037</xdr:rowOff>
    </xdr:to>
    <xdr:graphicFrame macro="">
      <xdr:nvGraphicFramePr>
        <xdr:cNvPr id="14" name="Gráfico 13">
          <a:extLst>
            <a:ext uri="{FF2B5EF4-FFF2-40B4-BE49-F238E27FC236}">
              <a16:creationId xmlns:a16="http://schemas.microsoft.com/office/drawing/2014/main" id="{30CE1A94-35EB-42E7-BB4F-EE9BF9E0D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531133</xdr:colOff>
      <xdr:row>77</xdr:row>
      <xdr:rowOff>80056</xdr:rowOff>
    </xdr:from>
    <xdr:to>
      <xdr:col>31</xdr:col>
      <xdr:colOff>178480</xdr:colOff>
      <xdr:row>101</xdr:row>
      <xdr:rowOff>171904</xdr:rowOff>
    </xdr:to>
    <xdr:graphicFrame macro="">
      <xdr:nvGraphicFramePr>
        <xdr:cNvPr id="15" name="Gráfico 14">
          <a:extLst>
            <a:ext uri="{FF2B5EF4-FFF2-40B4-BE49-F238E27FC236}">
              <a16:creationId xmlns:a16="http://schemas.microsoft.com/office/drawing/2014/main" id="{7A6E76A7-C6FC-4E3D-A7D4-A578A07D8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586847</xdr:colOff>
      <xdr:row>0</xdr:row>
      <xdr:rowOff>153837</xdr:rowOff>
    </xdr:from>
    <xdr:to>
      <xdr:col>22</xdr:col>
      <xdr:colOff>126131</xdr:colOff>
      <xdr:row>40</xdr:row>
      <xdr:rowOff>56282</xdr:rowOff>
    </xdr:to>
    <xdr:grpSp>
      <xdr:nvGrpSpPr>
        <xdr:cNvPr id="2" name="Agrupar 1">
          <a:extLst>
            <a:ext uri="{FF2B5EF4-FFF2-40B4-BE49-F238E27FC236}">
              <a16:creationId xmlns:a16="http://schemas.microsoft.com/office/drawing/2014/main" id="{5654C2EE-9588-0F4E-AE4C-6309F3613556}"/>
            </a:ext>
          </a:extLst>
        </xdr:cNvPr>
        <xdr:cNvGrpSpPr/>
      </xdr:nvGrpSpPr>
      <xdr:grpSpPr>
        <a:xfrm>
          <a:off x="6797147" y="153837"/>
          <a:ext cx="9788184" cy="6760445"/>
          <a:chOff x="6655633" y="153837"/>
          <a:chExt cx="8692355" cy="7159588"/>
        </a:xfrm>
      </xdr:grpSpPr>
      <xdr:graphicFrame macro="">
        <xdr:nvGraphicFramePr>
          <xdr:cNvPr id="9" name="Chart 5">
            <a:extLst>
              <a:ext uri="{FF2B5EF4-FFF2-40B4-BE49-F238E27FC236}">
                <a16:creationId xmlns:a16="http://schemas.microsoft.com/office/drawing/2014/main" id="{C9CD6792-CF37-467B-BF52-A77D0331BDD4}"/>
              </a:ext>
            </a:extLst>
          </xdr:cNvPr>
          <xdr:cNvGraphicFramePr>
            <a:graphicFrameLocks/>
          </xdr:cNvGraphicFramePr>
        </xdr:nvGraphicFramePr>
        <xdr:xfrm>
          <a:off x="10906957" y="4082825"/>
          <a:ext cx="4441031" cy="310753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 name="Chart 6">
            <a:extLst>
              <a:ext uri="{FF2B5EF4-FFF2-40B4-BE49-F238E27FC236}">
                <a16:creationId xmlns:a16="http://schemas.microsoft.com/office/drawing/2014/main" id="{142F9006-0944-4C0A-AF65-73BA74C1979A}"/>
              </a:ext>
            </a:extLst>
          </xdr:cNvPr>
          <xdr:cNvGraphicFramePr>
            <a:graphicFrameLocks/>
          </xdr:cNvGraphicFramePr>
        </xdr:nvGraphicFramePr>
        <xdr:xfrm>
          <a:off x="7068079" y="3755572"/>
          <a:ext cx="4266672" cy="355785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1" name="Chart 3">
            <a:extLst>
              <a:ext uri="{FF2B5EF4-FFF2-40B4-BE49-F238E27FC236}">
                <a16:creationId xmlns:a16="http://schemas.microsoft.com/office/drawing/2014/main" id="{AE0D7E54-25ED-4A15-BBF4-FB3D92CABC20}"/>
              </a:ext>
            </a:extLst>
          </xdr:cNvPr>
          <xdr:cNvGraphicFramePr>
            <a:graphicFrameLocks/>
          </xdr:cNvGraphicFramePr>
        </xdr:nvGraphicFramePr>
        <xdr:xfrm>
          <a:off x="9742335" y="153837"/>
          <a:ext cx="5292090" cy="3457257"/>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3" name="Chart 7">
            <a:extLst>
              <a:ext uri="{FF2B5EF4-FFF2-40B4-BE49-F238E27FC236}">
                <a16:creationId xmlns:a16="http://schemas.microsoft.com/office/drawing/2014/main" id="{2D8EE712-A0A4-3815-A259-3064FF63CFDD}"/>
              </a:ext>
            </a:extLst>
          </xdr:cNvPr>
          <xdr:cNvGraphicFramePr>
            <a:graphicFrameLocks/>
          </xdr:cNvGraphicFramePr>
        </xdr:nvGraphicFramePr>
        <xdr:xfrm>
          <a:off x="6655633" y="213635"/>
          <a:ext cx="4472780" cy="3361531"/>
        </xdr:xfrm>
        <a:graphic>
          <a:graphicData uri="http://schemas.openxmlformats.org/drawingml/2006/chart">
            <c:chart xmlns:c="http://schemas.openxmlformats.org/drawingml/2006/chart" xmlns:r="http://schemas.openxmlformats.org/officeDocument/2006/relationships" r:id="rId8"/>
          </a:graphicData>
        </a:graphic>
      </xdr:graphicFrame>
    </xdr:grpSp>
    <xdr:clientData fLocksWithSheet="0"/>
  </xdr:twoCellAnchor>
  <xdr:twoCellAnchor>
    <xdr:from>
      <xdr:col>14</xdr:col>
      <xdr:colOff>190500</xdr:colOff>
      <xdr:row>103</xdr:row>
      <xdr:rowOff>9070</xdr:rowOff>
    </xdr:from>
    <xdr:to>
      <xdr:col>31</xdr:col>
      <xdr:colOff>108857</xdr:colOff>
      <xdr:row>128</xdr:row>
      <xdr:rowOff>145143</xdr:rowOff>
    </xdr:to>
    <xdr:graphicFrame macro="">
      <xdr:nvGraphicFramePr>
        <xdr:cNvPr id="3" name="Gráfico 2">
          <a:extLst>
            <a:ext uri="{FF2B5EF4-FFF2-40B4-BE49-F238E27FC236}">
              <a16:creationId xmlns:a16="http://schemas.microsoft.com/office/drawing/2014/main" id="{DC317FA2-D704-437B-859C-53A3A413F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390070</xdr:colOff>
      <xdr:row>127</xdr:row>
      <xdr:rowOff>111125</xdr:rowOff>
    </xdr:from>
    <xdr:to>
      <xdr:col>47</xdr:col>
      <xdr:colOff>492124</xdr:colOff>
      <xdr:row>165</xdr:row>
      <xdr:rowOff>138340</xdr:rowOff>
    </xdr:to>
    <xdr:graphicFrame macro="">
      <xdr:nvGraphicFramePr>
        <xdr:cNvPr id="4" name="Gráfico 3">
          <a:extLst>
            <a:ext uri="{FF2B5EF4-FFF2-40B4-BE49-F238E27FC236}">
              <a16:creationId xmlns:a16="http://schemas.microsoft.com/office/drawing/2014/main" id="{B501B509-0ACB-4555-98CF-A09E3FCD2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0.02319</cdr:x>
      <cdr:y>0.52314</cdr:y>
    </cdr:from>
    <cdr:to>
      <cdr:x>0.98735</cdr:x>
      <cdr:y>0.52595</cdr:y>
    </cdr:to>
    <cdr:cxnSp macro="">
      <cdr:nvCxnSpPr>
        <cdr:cNvPr id="5" name="Conector reto 4">
          <a:extLst xmlns:a="http://schemas.openxmlformats.org/drawingml/2006/main">
            <a:ext uri="{FF2B5EF4-FFF2-40B4-BE49-F238E27FC236}">
              <a16:creationId xmlns:a16="http://schemas.microsoft.com/office/drawing/2014/main" id="{C2889440-178C-C8CE-F8F6-1B8A9159B7D0}"/>
            </a:ext>
          </a:extLst>
        </cdr:cNvPr>
        <cdr:cNvCxnSpPr/>
      </cdr:nvCxnSpPr>
      <cdr:spPr>
        <a:xfrm xmlns:a="http://schemas.openxmlformats.org/drawingml/2006/main" flipV="1">
          <a:off x="359229" y="2030186"/>
          <a:ext cx="14935200" cy="10886"/>
        </a:xfrm>
        <a:prstGeom xmlns:a="http://schemas.openxmlformats.org/drawingml/2006/main" prst="line">
          <a:avLst/>
        </a:prstGeom>
        <a:ln xmlns:a="http://schemas.openxmlformats.org/drawingml/2006/main" w="9525" cap="flat" cmpd="sng" algn="ctr">
          <a:solidFill>
            <a:schemeClr val="accent6"/>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0.02366</cdr:x>
      <cdr:y>0.64984</cdr:y>
    </cdr:from>
    <cdr:to>
      <cdr:x>0.98782</cdr:x>
      <cdr:y>0.65264</cdr:y>
    </cdr:to>
    <cdr:cxnSp macro="">
      <cdr:nvCxnSpPr>
        <cdr:cNvPr id="6" name="Conector reto 5">
          <a:extLst xmlns:a="http://schemas.openxmlformats.org/drawingml/2006/main">
            <a:ext uri="{FF2B5EF4-FFF2-40B4-BE49-F238E27FC236}">
              <a16:creationId xmlns:a16="http://schemas.microsoft.com/office/drawing/2014/main" id="{C37917F2-F4F0-49DE-1651-4D3816E9CA2B}"/>
            </a:ext>
          </a:extLst>
        </cdr:cNvPr>
        <cdr:cNvCxnSpPr/>
      </cdr:nvCxnSpPr>
      <cdr:spPr>
        <a:xfrm xmlns:a="http://schemas.openxmlformats.org/drawingml/2006/main" flipV="1">
          <a:off x="366486" y="2521857"/>
          <a:ext cx="14935200" cy="10886"/>
        </a:xfrm>
        <a:prstGeom xmlns:a="http://schemas.openxmlformats.org/drawingml/2006/main" prst="line">
          <a:avLst/>
        </a:prstGeom>
        <a:ln xmlns:a="http://schemas.openxmlformats.org/drawingml/2006/main" w="9525" cap="flat" cmpd="sng" algn="ctr">
          <a:solidFill>
            <a:schemeClr val="accent5"/>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7.xml><?xml version="1.0" encoding="utf-8"?>
<c:userShapes xmlns:c="http://schemas.openxmlformats.org/drawingml/2006/chart">
  <cdr:relSizeAnchor xmlns:cdr="http://schemas.openxmlformats.org/drawingml/2006/chartDrawing">
    <cdr:from>
      <cdr:x>0.03584</cdr:x>
      <cdr:y>0.41635</cdr:y>
    </cdr:from>
    <cdr:to>
      <cdr:x>1</cdr:x>
      <cdr:y>0.41916</cdr:y>
    </cdr:to>
    <cdr:cxnSp macro="">
      <cdr:nvCxnSpPr>
        <cdr:cNvPr id="5" name="Conector reto 4">
          <a:extLst xmlns:a="http://schemas.openxmlformats.org/drawingml/2006/main">
            <a:ext uri="{FF2B5EF4-FFF2-40B4-BE49-F238E27FC236}">
              <a16:creationId xmlns:a16="http://schemas.microsoft.com/office/drawing/2014/main" id="{C2889440-178C-C8CE-F8F6-1B8A9159B7D0}"/>
            </a:ext>
          </a:extLst>
        </cdr:cNvPr>
        <cdr:cNvCxnSpPr/>
      </cdr:nvCxnSpPr>
      <cdr:spPr>
        <a:xfrm xmlns:a="http://schemas.openxmlformats.org/drawingml/2006/main" flipV="1">
          <a:off x="427208" y="1945078"/>
          <a:ext cx="11492649" cy="13128"/>
        </a:xfrm>
        <a:prstGeom xmlns:a="http://schemas.openxmlformats.org/drawingml/2006/main" prst="line">
          <a:avLst/>
        </a:prstGeom>
        <a:ln xmlns:a="http://schemas.openxmlformats.org/drawingml/2006/main" w="9525" cap="flat" cmpd="sng" algn="ctr">
          <a:solidFill>
            <a:schemeClr val="accent6"/>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0.03584</cdr:x>
      <cdr:y>0.57218</cdr:y>
    </cdr:from>
    <cdr:to>
      <cdr:x>1</cdr:x>
      <cdr:y>0.57498</cdr:y>
    </cdr:to>
    <cdr:cxnSp macro="">
      <cdr:nvCxnSpPr>
        <cdr:cNvPr id="6" name="Conector reto 5">
          <a:extLst xmlns:a="http://schemas.openxmlformats.org/drawingml/2006/main">
            <a:ext uri="{FF2B5EF4-FFF2-40B4-BE49-F238E27FC236}">
              <a16:creationId xmlns:a16="http://schemas.microsoft.com/office/drawing/2014/main" id="{C37917F2-F4F0-49DE-1651-4D3816E9CA2B}"/>
            </a:ext>
          </a:extLst>
        </cdr:cNvPr>
        <cdr:cNvCxnSpPr/>
      </cdr:nvCxnSpPr>
      <cdr:spPr>
        <a:xfrm xmlns:a="http://schemas.openxmlformats.org/drawingml/2006/main" flipV="1">
          <a:off x="427208" y="2673081"/>
          <a:ext cx="11492649" cy="13081"/>
        </a:xfrm>
        <a:prstGeom xmlns:a="http://schemas.openxmlformats.org/drawingml/2006/main" prst="line">
          <a:avLst/>
        </a:prstGeom>
        <a:ln xmlns:a="http://schemas.openxmlformats.org/drawingml/2006/main" w="9525" cap="flat" cmpd="sng" algn="ctr">
          <a:solidFill>
            <a:schemeClr val="accent5"/>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8.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4736400" y="3479963"/>
          <a:ext cx="1219200" cy="600075"/>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3BDA6B16-748F-4CE8-98F4-F71029B6A5AE}"/>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CD3795AB-B476-42B5-9F99-1E0C98CA4C53}"/>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31917633-CCD6-4102-AE9A-1B3E1F74A909}"/>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94B9EEFC-984A-434A-84D0-47140DF65F6C}"/>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7AF78E1A-EE4B-4F3C-9BEF-18CB688F40FC}"/>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3DC30911-8014-4375-A24C-5D9ADBCCB4C2}"/>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D8B3F364-B5AD-410F-8547-6B8F5123A6F2}"/>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E319D0EB-CD76-4BFE-8EAB-9DB08CC6D578}"/>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B4FBCCA4-9C8F-4E2E-8396-080E7DC90676}"/>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8.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040B7FE1-1283-4BB2-A2B6-524F9EC87B74}"/>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9.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610193BF-548A-4DBB-8540-9A21CC354700}"/>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0.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A6548957-4575-4866-B3CB-EDC04B974A48}"/>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1.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28D9793C-139B-408E-B923-98E0A162F10B}"/>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2.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60CE962A-822B-4F1D-9E00-2221B9B7D0E6}"/>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3.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A6BE9A2C-2134-4E36-9997-AA3BE6E88F5E}"/>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4.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D78E908C-00C1-4474-B3C2-0B536ADA0E83}"/>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5.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FE146A59-F285-4956-9A2B-11EE89FAC215}"/>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6.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889682F0-2040-4660-878F-E2F8C4F6748A}"/>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7.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46464543-4D0A-43FA-A509-0257A31CFFB8}"/>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8.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5E3872FC-0E40-4355-8B04-7A2B336E5239}"/>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9.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5651AFB4-5B31-4395-8D3C-3CF334CF9E02}"/>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0.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78E2A162-9A79-46DD-8DFD-8E6CF735F289}"/>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1.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1283FB88-1555-48F1-9C8F-C28715334EE3}"/>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2.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06977E5F-2B9F-4026-893C-174B798C18EF}"/>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3.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DCD51721-C957-40E7-8126-B4E5BFB6FD50}"/>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4.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65FF1F81-5D79-4943-9631-36AD7EA50294}"/>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5.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E5BEBB2A-6744-4707-BA12-F0FC3A7766A2}"/>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6.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5DA0181D-C59D-40C1-9641-BD9385CDB6B0}"/>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7.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6C275DC5-5418-46D9-9C3D-1DAB1744095D}"/>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8.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1BBE40CC-523A-42FB-80B6-BC7056F8D51E}"/>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9.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42345BDE-1B42-495A-B5A4-01A057330F95}"/>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40.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73F41090-4F28-4307-9879-C251B057EFC1}"/>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41.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A26C073D-5BEF-4903-97C6-60134ACBE415}"/>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42.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6B1A6055-CD57-4893-B07A-78BB18140C78}"/>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43.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34CFD396-27FC-4B0A-8802-276F8CB639C4}"/>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44.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5F517036-C990-4012-B18B-58B5204BC9D3}"/>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45.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1E18D559-7EF9-4A91-BDBC-230568EAFB34}"/>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Mario/Desktop/Vorcon/Enersolar/WP/Enersolar_-_WP_Tabula&#231;&#227;o_10.10.2019_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Lançamentos"/>
      <sheetName val="2. Veículos e Máquinas"/>
      <sheetName val="3. Receitas Operacionais"/>
      <sheetName val="Fluxo Flávio"/>
      <sheetName val="FC"/>
      <sheetName val="Extratos"/>
      <sheetName val="Listas"/>
      <sheetName val="Pontos de Controle_1"/>
      <sheetName val="Pontos de Controle_2"/>
      <sheetName val="Pontos de Controle_3"/>
      <sheetName val="Assertivas"/>
      <sheetName val="Progressão"/>
      <sheetName val="Questionamentos"/>
      <sheetName val="Ticks"/>
      <sheetName val="Enersolar_-_WP_Tabulação_10.10"/>
      <sheetName val="Voucher "/>
      <sheetName val="resumo de pon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02DF01-0959-4725-A18F-F15AF42E0D7C}" name="Tabela1" displayName="Tabela1" ref="B6:N54" totalsRowShown="0" headerRowDxfId="189" dataDxfId="188" headerRowCellStyle="Normal 4 2" dataCellStyle="Normal 4 2">
  <autoFilter ref="B6:N54" xr:uid="{ABA35257-5BDB-4470-86C2-0D39048471C6}"/>
  <tableColumns count="13">
    <tableColumn id="1" xr3:uid="{2610C0EA-9EEF-42FB-8099-3008F9754525}" name="Etapas" dataDxfId="187" dataCellStyle="Normal 4 2"/>
    <tableColumn id="2" xr3:uid="{EFEC2637-0214-4E93-961E-85BBB45D0B9C}" name="Análise do Contrato   - Auditoria conforme a NBC TA 800" dataDxfId="186" dataCellStyle="Normal 4 2"/>
    <tableColumn id="3" xr3:uid="{544C1B23-85B2-483C-9A17-C8C4E833C32C}" name="Responsável" dataDxfId="185" dataCellStyle="Normal 4 2"/>
    <tableColumn id="4" xr3:uid="{3A5006B7-8457-48F7-8B6B-1804D76C9F38}" name="Código Vorcon" dataDxfId="184" dataCellStyle="Normal 4 2"/>
    <tableColumn id="5" xr3:uid="{A3868146-85A5-4DE8-92D3-A742F40DB829}" name="Cliente " dataDxfId="183" dataCellStyle="Normal 4 2"/>
    <tableColumn id="6" xr3:uid="{C924A038-1D74-4D53-8813-5ACB2E153460}" name="Testes e Procedimentos de Auditoria realizados" dataDxfId="182" dataCellStyle="Normal 4 2"/>
    <tableColumn id="7" xr3:uid="{BC34489E-6FB0-42F4-932D-DE6187646CBA}" name="Código do Teste" dataDxfId="181" dataCellStyle="Normal 4 2"/>
    <tableColumn id="8" xr3:uid="{F308BAB0-CF2C-4BDD-94F1-C97D5F7DDDB8}" name="Status testes" dataDxfId="180" dataCellStyle="Normal 4 2"/>
    <tableColumn id="9" xr3:uid="{4D88C4D3-8304-49F7-BFE4-CEF248D27187}" name="Responsável " dataDxfId="179" dataCellStyle="Normal 4 2"/>
    <tableColumn id="10" xr3:uid="{8BC78411-2021-4AFD-B2B5-8E80D1EF34AF}" name="Pedido de análise" dataDxfId="178" dataCellStyle="Normal 4 2"/>
    <tableColumn id="11" xr3:uid="{C2C51B73-2836-47C3-AD70-5445481C5294}" name="Descrição no Pedido de Análise" dataDxfId="177" dataCellStyle="Normal 4 2"/>
    <tableColumn id="12" xr3:uid="{F463E3C4-C37F-4BF5-B2B0-AC61E2895E2D}" name="Status pedido de análise" dataDxfId="176" dataCellStyle="Normal 5"/>
    <tableColumn id="13" xr3:uid="{BACD6B6E-09AF-4DAA-8BCB-A8E8106DD992}" name="Observações" dataDxfId="175" dataCellStyle="Normal 4 2"/>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F3AD1E-08B9-4EEC-B8F5-32C0D9E744AA}" name="Tabela2" displayName="Tabela2" ref="P6:R10" totalsRowShown="0" headerRowDxfId="174" dataDxfId="173" tableBorderDxfId="172" headerRowCellStyle="Normal 4 2">
  <tableColumns count="3">
    <tableColumn id="1" xr3:uid="{9E2D929A-2D90-48A5-A5D2-36C2CFE1898D}" name="Simbolo" dataDxfId="171"/>
    <tableColumn id="2" xr3:uid="{C7662C2E-5A9D-416B-9909-CC77A66DE6C5}" name="Tipo" dataDxfId="170"/>
    <tableColumn id="3" xr3:uid="{CF0B1434-14B9-41FD-9A0B-998658824658}" name="Conclusão" dataDxfId="169"/>
  </tableColumns>
  <tableStyleInfo name="TableStyleLight3" showFirstColumn="0" showLastColumn="0" showRowStripes="1" showColumnStripes="0"/>
</table>
</file>

<file path=xl/theme/theme1.xml><?xml version="1.0" encoding="utf-8"?>
<a:theme xmlns:a="http://schemas.openxmlformats.org/drawingml/2006/main" name="Sheets">
  <a:themeElements>
    <a:clrScheme name="Personalizada 7">
      <a:dk1>
        <a:srgbClr val="000000"/>
      </a:dk1>
      <a:lt1>
        <a:sysClr val="window" lastClr="FFFFFF"/>
      </a:lt1>
      <a:dk2>
        <a:srgbClr val="5E5E5E"/>
      </a:dk2>
      <a:lt2>
        <a:srgbClr val="DDDDDD"/>
      </a:lt2>
      <a:accent1>
        <a:srgbClr val="418AB3"/>
      </a:accent1>
      <a:accent2>
        <a:srgbClr val="A5A5A5"/>
      </a:accent2>
      <a:accent3>
        <a:srgbClr val="418AB3"/>
      </a:accent3>
      <a:accent4>
        <a:srgbClr val="FFC65F"/>
      </a:accent4>
      <a:accent5>
        <a:srgbClr val="FEC306"/>
      </a:accent5>
      <a:accent6>
        <a:srgbClr val="DF5327"/>
      </a:accent6>
      <a:hlink>
        <a:srgbClr val="F59E00"/>
      </a:hlink>
      <a:folHlink>
        <a:srgbClr val="B2B2B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E6551-62C7-4341-8BDE-6D1B51DAABE5}">
  <sheetPr>
    <tabColor rgb="FF273A77"/>
  </sheetPr>
  <dimension ref="B1:R65"/>
  <sheetViews>
    <sheetView showGridLines="0" zoomScale="60" zoomScaleNormal="60" workbookViewId="0">
      <selection activeCell="H7" sqref="H7"/>
    </sheetView>
  </sheetViews>
  <sheetFormatPr defaultColWidth="9" defaultRowHeight="14.45" outlineLevelCol="2"/>
  <cols>
    <col min="1" max="1" width="4.125" style="76" customWidth="1"/>
    <col min="2" max="2" width="21.625" style="76" bestFit="1" customWidth="1"/>
    <col min="3" max="3" width="46.625" style="76" hidden="1" customWidth="1"/>
    <col min="4" max="4" width="18.25" style="76" hidden="1" customWidth="1"/>
    <col min="5" max="5" width="10.75" style="76" customWidth="1"/>
    <col min="6" max="6" width="8.5" style="78" customWidth="1"/>
    <col min="7" max="7" width="49.375" style="76" customWidth="1"/>
    <col min="8" max="8" width="41.75" style="78" customWidth="1"/>
    <col min="9" max="9" width="14.875" style="78" bestFit="1" customWidth="1" outlineLevel="2"/>
    <col min="10" max="10" width="13.25" style="81" customWidth="1" outlineLevel="2"/>
    <col min="11" max="11" width="25.875" style="191" customWidth="1"/>
    <col min="12" max="12" width="41.5" style="76" hidden="1" customWidth="1"/>
    <col min="13" max="13" width="13.75" style="77" customWidth="1" outlineLevel="1"/>
    <col min="14" max="14" width="31.125" style="77" customWidth="1"/>
    <col min="15" max="15" width="6.5" style="76" customWidth="1"/>
    <col min="16" max="16" width="9.75" style="76" customWidth="1"/>
    <col min="17" max="17" width="14" style="76" customWidth="1"/>
    <col min="18" max="18" width="11.25" style="76" bestFit="1" customWidth="1"/>
    <col min="19" max="16384" width="9" style="76"/>
  </cols>
  <sheetData>
    <row r="1" spans="2:18" ht="44.65" customHeight="1">
      <c r="M1" s="76"/>
      <c r="N1" s="76"/>
    </row>
    <row r="2" spans="2:18">
      <c r="B2" s="182" t="s">
        <v>0</v>
      </c>
      <c r="M2" s="76"/>
      <c r="N2" s="76"/>
    </row>
    <row r="3" spans="2:18">
      <c r="B3" s="183" t="s">
        <v>1</v>
      </c>
      <c r="M3" s="76"/>
      <c r="N3" s="76"/>
    </row>
    <row r="4" spans="2:18">
      <c r="B4" s="184" t="s">
        <v>2</v>
      </c>
      <c r="M4" s="76"/>
      <c r="N4" s="76"/>
    </row>
    <row r="5" spans="2:18">
      <c r="M5" s="76"/>
      <c r="N5" s="76"/>
    </row>
    <row r="6" spans="2:18" ht="41.25" customHeight="1">
      <c r="B6" s="181" t="s">
        <v>3</v>
      </c>
      <c r="C6" s="181" t="s">
        <v>4</v>
      </c>
      <c r="D6" s="181" t="s">
        <v>5</v>
      </c>
      <c r="E6" s="181" t="s">
        <v>6</v>
      </c>
      <c r="F6" s="181" t="s">
        <v>7</v>
      </c>
      <c r="G6" s="181" t="s">
        <v>8</v>
      </c>
      <c r="H6" s="181" t="s">
        <v>9</v>
      </c>
      <c r="I6" s="181" t="s">
        <v>10</v>
      </c>
      <c r="J6" s="181" t="s">
        <v>11</v>
      </c>
      <c r="K6" s="192" t="s">
        <v>12</v>
      </c>
      <c r="L6" s="181" t="s">
        <v>13</v>
      </c>
      <c r="M6" s="181" t="s">
        <v>14</v>
      </c>
      <c r="N6" s="181" t="s">
        <v>15</v>
      </c>
      <c r="P6" s="181" t="s">
        <v>16</v>
      </c>
      <c r="Q6" s="181" t="s">
        <v>17</v>
      </c>
      <c r="R6" s="181" t="s">
        <v>18</v>
      </c>
    </row>
    <row r="7" spans="2:18" ht="41.25" customHeight="1">
      <c r="B7" s="108" t="s">
        <v>19</v>
      </c>
      <c r="C7" s="108"/>
      <c r="D7" s="108"/>
      <c r="E7" s="108" t="s">
        <v>20</v>
      </c>
      <c r="F7" s="185" t="s">
        <v>21</v>
      </c>
      <c r="G7" s="108" t="s">
        <v>22</v>
      </c>
      <c r="H7" s="109" t="s">
        <v>23</v>
      </c>
      <c r="I7" s="186"/>
      <c r="J7" s="187"/>
      <c r="K7" s="185"/>
      <c r="L7" s="108"/>
      <c r="M7" s="188" t="s">
        <v>24</v>
      </c>
      <c r="N7" s="108"/>
      <c r="P7" s="111" t="s">
        <v>25</v>
      </c>
      <c r="Q7" s="108" t="s">
        <v>26</v>
      </c>
      <c r="R7" s="112">
        <f>COUNTIFS(I7:I54,"a")/COUNTA(H7:H54)</f>
        <v>0</v>
      </c>
    </row>
    <row r="8" spans="2:18" ht="41.25" customHeight="1">
      <c r="B8" s="108" t="s">
        <v>19</v>
      </c>
      <c r="C8" s="108"/>
      <c r="D8" s="108"/>
      <c r="E8" s="108" t="s">
        <v>27</v>
      </c>
      <c r="F8" s="185" t="s">
        <v>21</v>
      </c>
      <c r="G8" s="108" t="s">
        <v>28</v>
      </c>
      <c r="H8" s="109" t="s">
        <v>29</v>
      </c>
      <c r="I8" s="186"/>
      <c r="J8" s="187"/>
      <c r="K8" s="193"/>
      <c r="L8" s="109"/>
      <c r="M8" s="188" t="s">
        <v>24</v>
      </c>
      <c r="N8" s="109"/>
      <c r="P8" s="111" t="s">
        <v>24</v>
      </c>
      <c r="Q8" s="108" t="s">
        <v>30</v>
      </c>
      <c r="R8" s="112">
        <f>COUNTIFS(I7:I54,"x")/COUNTA(H7:H54)</f>
        <v>0</v>
      </c>
    </row>
    <row r="9" spans="2:18" ht="41.25" customHeight="1">
      <c r="B9" s="108" t="s">
        <v>19</v>
      </c>
      <c r="C9" s="108"/>
      <c r="D9" s="108"/>
      <c r="E9" s="108" t="s">
        <v>31</v>
      </c>
      <c r="F9" s="185" t="s">
        <v>21</v>
      </c>
      <c r="G9" s="108" t="s">
        <v>32</v>
      </c>
      <c r="H9" s="109" t="s">
        <v>33</v>
      </c>
      <c r="I9" s="186"/>
      <c r="J9" s="187"/>
      <c r="K9" s="185"/>
      <c r="L9" s="108"/>
      <c r="M9" s="188" t="s">
        <v>24</v>
      </c>
      <c r="N9" s="108"/>
      <c r="P9" s="111" t="s">
        <v>34</v>
      </c>
      <c r="Q9" s="108" t="s">
        <v>35</v>
      </c>
      <c r="R9" s="112">
        <f>COUNTIFS(I7:I54,"")/COUNTA(H7:H54)</f>
        <v>1</v>
      </c>
    </row>
    <row r="10" spans="2:18" ht="41.25" customHeight="1">
      <c r="B10" s="108" t="s">
        <v>19</v>
      </c>
      <c r="C10" s="108"/>
      <c r="D10" s="108"/>
      <c r="E10" s="108" t="s">
        <v>36</v>
      </c>
      <c r="F10" s="185" t="s">
        <v>21</v>
      </c>
      <c r="G10" s="108" t="s">
        <v>37</v>
      </c>
      <c r="H10" s="109" t="s">
        <v>38</v>
      </c>
      <c r="I10" s="186"/>
      <c r="J10" s="187"/>
      <c r="K10" s="185"/>
      <c r="L10" s="108"/>
      <c r="M10" s="188" t="s">
        <v>25</v>
      </c>
      <c r="N10" s="108"/>
      <c r="P10" s="111" t="s">
        <v>39</v>
      </c>
      <c r="Q10" s="108" t="s">
        <v>40</v>
      </c>
      <c r="R10" s="112">
        <f>COUNTIFS(I9:I56,"q")/COUNTA(H9:H56)</f>
        <v>0</v>
      </c>
    </row>
    <row r="11" spans="2:18" ht="41.25" customHeight="1">
      <c r="B11" s="108" t="s">
        <v>19</v>
      </c>
      <c r="C11" s="108"/>
      <c r="D11" s="108"/>
      <c r="E11" s="108" t="s">
        <v>41</v>
      </c>
      <c r="F11" s="185" t="s">
        <v>21</v>
      </c>
      <c r="G11" s="108" t="s">
        <v>42</v>
      </c>
      <c r="H11" s="109" t="s">
        <v>43</v>
      </c>
      <c r="I11" s="186"/>
      <c r="J11" s="187"/>
      <c r="K11" s="185"/>
      <c r="L11" s="108"/>
      <c r="M11" s="188" t="s">
        <v>25</v>
      </c>
      <c r="N11" s="108"/>
    </row>
    <row r="12" spans="2:18" ht="41.25" customHeight="1">
      <c r="B12" s="108" t="s">
        <v>44</v>
      </c>
      <c r="C12" s="108"/>
      <c r="D12" s="108"/>
      <c r="E12" s="108" t="s">
        <v>45</v>
      </c>
      <c r="F12" s="185" t="s">
        <v>21</v>
      </c>
      <c r="G12" s="108" t="s">
        <v>46</v>
      </c>
      <c r="H12" s="109" t="s">
        <v>47</v>
      </c>
      <c r="I12" s="186"/>
      <c r="J12" s="187"/>
      <c r="K12" s="185"/>
      <c r="L12" s="108"/>
      <c r="M12" s="188" t="s">
        <v>25</v>
      </c>
      <c r="N12" s="108"/>
    </row>
    <row r="13" spans="2:18" ht="41.25" customHeight="1">
      <c r="B13" s="108" t="s">
        <v>44</v>
      </c>
      <c r="C13" s="108"/>
      <c r="D13" s="108"/>
      <c r="E13" s="108" t="s">
        <v>48</v>
      </c>
      <c r="F13" s="185" t="s">
        <v>21</v>
      </c>
      <c r="G13" s="108" t="s">
        <v>49</v>
      </c>
      <c r="H13" s="109" t="s">
        <v>50</v>
      </c>
      <c r="I13" s="186"/>
      <c r="J13" s="187"/>
      <c r="K13" s="185"/>
      <c r="L13" s="108"/>
      <c r="M13" s="188" t="s">
        <v>25</v>
      </c>
      <c r="N13" s="108"/>
    </row>
    <row r="14" spans="2:18" ht="41.25" customHeight="1">
      <c r="B14" s="108" t="s">
        <v>44</v>
      </c>
      <c r="C14" s="108"/>
      <c r="D14" s="108"/>
      <c r="E14" s="108" t="s">
        <v>51</v>
      </c>
      <c r="F14" s="185" t="s">
        <v>21</v>
      </c>
      <c r="G14" s="108" t="s">
        <v>52</v>
      </c>
      <c r="H14" s="109" t="s">
        <v>53</v>
      </c>
      <c r="I14" s="186"/>
      <c r="J14" s="187"/>
      <c r="K14" s="185"/>
      <c r="L14" s="108"/>
      <c r="M14" s="188" t="s">
        <v>25</v>
      </c>
      <c r="N14" s="108"/>
    </row>
    <row r="15" spans="2:18" ht="41.25" customHeight="1">
      <c r="B15" s="108" t="s">
        <v>44</v>
      </c>
      <c r="C15" s="108"/>
      <c r="D15" s="108"/>
      <c r="E15" s="108" t="s">
        <v>54</v>
      </c>
      <c r="F15" s="108" t="s">
        <v>21</v>
      </c>
      <c r="G15" s="108" t="s">
        <v>55</v>
      </c>
      <c r="H15" s="109" t="s">
        <v>56</v>
      </c>
      <c r="I15" s="186"/>
      <c r="J15" s="187"/>
      <c r="K15" s="185"/>
      <c r="L15" s="108"/>
      <c r="M15" s="188" t="s">
        <v>25</v>
      </c>
      <c r="N15" s="108"/>
    </row>
    <row r="16" spans="2:18" ht="41.25" customHeight="1">
      <c r="B16" s="108" t="s">
        <v>44</v>
      </c>
      <c r="C16" s="108"/>
      <c r="D16" s="108"/>
      <c r="E16" s="108" t="s">
        <v>57</v>
      </c>
      <c r="F16" s="185" t="s">
        <v>21</v>
      </c>
      <c r="G16" s="108" t="s">
        <v>58</v>
      </c>
      <c r="H16" s="109" t="s">
        <v>59</v>
      </c>
      <c r="I16" s="186"/>
      <c r="J16" s="187"/>
      <c r="K16" s="185"/>
      <c r="L16" s="108"/>
      <c r="M16" s="188" t="s">
        <v>24</v>
      </c>
      <c r="N16" s="108"/>
    </row>
    <row r="17" spans="2:14" ht="41.25" customHeight="1">
      <c r="B17" s="108" t="s">
        <v>44</v>
      </c>
      <c r="C17" s="108"/>
      <c r="D17" s="108"/>
      <c r="E17" s="108" t="s">
        <v>60</v>
      </c>
      <c r="F17" s="185" t="s">
        <v>21</v>
      </c>
      <c r="G17" s="108" t="s">
        <v>61</v>
      </c>
      <c r="H17" s="109" t="s">
        <v>62</v>
      </c>
      <c r="I17" s="186"/>
      <c r="J17" s="187"/>
      <c r="K17" s="185"/>
      <c r="L17" s="108"/>
      <c r="M17" s="188" t="s">
        <v>24</v>
      </c>
      <c r="N17" s="108"/>
    </row>
    <row r="18" spans="2:14" ht="41.25" customHeight="1">
      <c r="B18" s="108" t="s">
        <v>44</v>
      </c>
      <c r="C18" s="108"/>
      <c r="D18" s="108"/>
      <c r="E18" s="108" t="s">
        <v>63</v>
      </c>
      <c r="F18" s="185" t="s">
        <v>21</v>
      </c>
      <c r="G18" s="108" t="s">
        <v>64</v>
      </c>
      <c r="H18" s="109" t="s">
        <v>65</v>
      </c>
      <c r="I18" s="186"/>
      <c r="J18" s="187"/>
      <c r="K18" s="185"/>
      <c r="L18" s="108"/>
      <c r="M18" s="188" t="s">
        <v>24</v>
      </c>
      <c r="N18" s="108"/>
    </row>
    <row r="19" spans="2:14" ht="41.25" customHeight="1">
      <c r="B19" s="108" t="s">
        <v>44</v>
      </c>
      <c r="C19" s="108"/>
      <c r="D19" s="108"/>
      <c r="E19" s="108" t="s">
        <v>66</v>
      </c>
      <c r="F19" s="185" t="s">
        <v>21</v>
      </c>
      <c r="G19" s="108" t="s">
        <v>67</v>
      </c>
      <c r="H19" s="109" t="s">
        <v>68</v>
      </c>
      <c r="I19" s="186"/>
      <c r="J19" s="187"/>
      <c r="K19" s="185"/>
      <c r="L19" s="108"/>
      <c r="M19" s="188" t="s">
        <v>25</v>
      </c>
      <c r="N19" s="108"/>
    </row>
    <row r="20" spans="2:14" ht="41.25" customHeight="1">
      <c r="B20" s="108" t="s">
        <v>44</v>
      </c>
      <c r="C20" s="108"/>
      <c r="D20" s="108"/>
      <c r="E20" s="108" t="s">
        <v>69</v>
      </c>
      <c r="F20" s="185" t="s">
        <v>21</v>
      </c>
      <c r="G20" s="108" t="s">
        <v>70</v>
      </c>
      <c r="H20" s="109" t="s">
        <v>71</v>
      </c>
      <c r="I20" s="186"/>
      <c r="J20" s="187"/>
      <c r="K20" s="185"/>
      <c r="L20" s="108"/>
      <c r="M20" s="188" t="s">
        <v>25</v>
      </c>
      <c r="N20" s="108"/>
    </row>
    <row r="21" spans="2:14" ht="28.9">
      <c r="B21" s="108" t="s">
        <v>44</v>
      </c>
      <c r="C21" s="108"/>
      <c r="D21" s="108"/>
      <c r="E21" s="108" t="s">
        <v>72</v>
      </c>
      <c r="F21" s="185" t="s">
        <v>21</v>
      </c>
      <c r="G21" s="108" t="s">
        <v>73</v>
      </c>
      <c r="H21" s="109" t="s">
        <v>74</v>
      </c>
      <c r="I21" s="186"/>
      <c r="J21" s="187"/>
      <c r="K21" s="185"/>
      <c r="L21" s="108"/>
      <c r="M21" s="188" t="s">
        <v>25</v>
      </c>
      <c r="N21" s="108"/>
    </row>
    <row r="22" spans="2:14" ht="41.25" customHeight="1">
      <c r="B22" s="108" t="s">
        <v>44</v>
      </c>
      <c r="C22" s="108"/>
      <c r="D22" s="108"/>
      <c r="E22" s="108" t="s">
        <v>75</v>
      </c>
      <c r="F22" s="185" t="s">
        <v>21</v>
      </c>
      <c r="G22" s="108" t="s">
        <v>76</v>
      </c>
      <c r="H22" s="109" t="s">
        <v>77</v>
      </c>
      <c r="I22" s="186"/>
      <c r="J22" s="187"/>
      <c r="K22" s="185"/>
      <c r="L22" s="108"/>
      <c r="M22" s="188" t="s">
        <v>25</v>
      </c>
      <c r="N22" s="108"/>
    </row>
    <row r="23" spans="2:14" ht="41.25" customHeight="1">
      <c r="B23" s="108" t="s">
        <v>78</v>
      </c>
      <c r="C23" s="108"/>
      <c r="D23" s="108"/>
      <c r="E23" s="108" t="s">
        <v>79</v>
      </c>
      <c r="F23" s="185" t="s">
        <v>21</v>
      </c>
      <c r="G23" s="108" t="s">
        <v>80</v>
      </c>
      <c r="H23" s="109" t="s">
        <v>81</v>
      </c>
      <c r="I23" s="186"/>
      <c r="J23" s="189"/>
      <c r="K23" s="185"/>
      <c r="L23" s="108"/>
      <c r="M23" s="188" t="s">
        <v>24</v>
      </c>
      <c r="N23" s="108"/>
    </row>
    <row r="24" spans="2:14" ht="41.25" customHeight="1">
      <c r="B24" s="108" t="s">
        <v>78</v>
      </c>
      <c r="C24" s="108"/>
      <c r="D24" s="108"/>
      <c r="E24" s="108" t="s">
        <v>82</v>
      </c>
      <c r="F24" s="185" t="s">
        <v>21</v>
      </c>
      <c r="G24" s="108" t="s">
        <v>83</v>
      </c>
      <c r="H24" s="109" t="s">
        <v>84</v>
      </c>
      <c r="I24" s="186"/>
      <c r="J24" s="187"/>
      <c r="K24" s="185"/>
      <c r="L24" s="108"/>
      <c r="M24" s="188" t="s">
        <v>25</v>
      </c>
      <c r="N24" s="108"/>
    </row>
    <row r="25" spans="2:14" ht="41.25" customHeight="1">
      <c r="B25" s="108" t="s">
        <v>78</v>
      </c>
      <c r="C25" s="108"/>
      <c r="D25" s="108"/>
      <c r="E25" s="108" t="s">
        <v>85</v>
      </c>
      <c r="F25" s="185" t="s">
        <v>21</v>
      </c>
      <c r="G25" s="108" t="s">
        <v>86</v>
      </c>
      <c r="H25" s="109" t="s">
        <v>87</v>
      </c>
      <c r="I25" s="186"/>
      <c r="J25" s="187"/>
      <c r="K25" s="185"/>
      <c r="L25" s="108"/>
      <c r="M25" s="188" t="s">
        <v>25</v>
      </c>
      <c r="N25" s="108"/>
    </row>
    <row r="26" spans="2:14" ht="41.25" customHeight="1">
      <c r="B26" s="108" t="s">
        <v>78</v>
      </c>
      <c r="C26" s="190"/>
      <c r="D26" s="108"/>
      <c r="E26" s="108" t="s">
        <v>88</v>
      </c>
      <c r="F26" s="185" t="s">
        <v>21</v>
      </c>
      <c r="G26" s="108" t="s">
        <v>89</v>
      </c>
      <c r="H26" s="109" t="s">
        <v>90</v>
      </c>
      <c r="I26" s="186"/>
      <c r="J26" s="187"/>
      <c r="K26" s="185"/>
      <c r="L26" s="108"/>
      <c r="M26" s="188" t="s">
        <v>25</v>
      </c>
      <c r="N26" s="108"/>
    </row>
    <row r="27" spans="2:14" ht="41.25" customHeight="1">
      <c r="B27" s="108" t="s">
        <v>78</v>
      </c>
      <c r="C27" s="108"/>
      <c r="D27" s="108"/>
      <c r="E27" s="108" t="s">
        <v>91</v>
      </c>
      <c r="F27" s="185" t="s">
        <v>21</v>
      </c>
      <c r="G27" s="108" t="s">
        <v>92</v>
      </c>
      <c r="H27" s="109" t="s">
        <v>93</v>
      </c>
      <c r="I27" s="186"/>
      <c r="J27" s="187"/>
      <c r="K27" s="185"/>
      <c r="L27" s="108"/>
      <c r="M27" s="188" t="s">
        <v>25</v>
      </c>
      <c r="N27" s="108"/>
    </row>
    <row r="28" spans="2:14" ht="41.25" customHeight="1">
      <c r="B28" s="108" t="s">
        <v>78</v>
      </c>
      <c r="C28" s="108"/>
      <c r="D28" s="108"/>
      <c r="E28" s="108" t="s">
        <v>94</v>
      </c>
      <c r="F28" s="185" t="s">
        <v>21</v>
      </c>
      <c r="G28" s="108" t="s">
        <v>95</v>
      </c>
      <c r="H28" s="109" t="s">
        <v>96</v>
      </c>
      <c r="I28" s="186"/>
      <c r="J28" s="187"/>
      <c r="K28" s="185"/>
      <c r="L28" s="108"/>
      <c r="M28" s="188" t="s">
        <v>24</v>
      </c>
      <c r="N28" s="108"/>
    </row>
    <row r="29" spans="2:14" ht="41.25" customHeight="1">
      <c r="B29" s="108" t="s">
        <v>78</v>
      </c>
      <c r="C29" s="108"/>
      <c r="D29" s="108"/>
      <c r="E29" s="108" t="s">
        <v>97</v>
      </c>
      <c r="F29" s="185" t="s">
        <v>21</v>
      </c>
      <c r="G29" s="108" t="s">
        <v>98</v>
      </c>
      <c r="H29" s="109" t="s">
        <v>99</v>
      </c>
      <c r="I29" s="186"/>
      <c r="J29" s="189"/>
      <c r="K29" s="193"/>
      <c r="L29" s="109"/>
      <c r="M29" s="188" t="s">
        <v>25</v>
      </c>
      <c r="N29" s="109"/>
    </row>
    <row r="30" spans="2:14" ht="41.25" customHeight="1">
      <c r="B30" s="108" t="s">
        <v>78</v>
      </c>
      <c r="C30" s="108"/>
      <c r="D30" s="108"/>
      <c r="E30" s="108" t="s">
        <v>100</v>
      </c>
      <c r="F30" s="185" t="s">
        <v>21</v>
      </c>
      <c r="G30" s="108" t="s">
        <v>101</v>
      </c>
      <c r="H30" s="109" t="s">
        <v>102</v>
      </c>
      <c r="I30" s="186"/>
      <c r="J30" s="189"/>
      <c r="K30" s="185"/>
      <c r="L30" s="108"/>
      <c r="M30" s="188" t="s">
        <v>25</v>
      </c>
      <c r="N30" s="108"/>
    </row>
    <row r="31" spans="2:14" ht="41.25" customHeight="1">
      <c r="B31" s="108" t="s">
        <v>78</v>
      </c>
      <c r="C31" s="108"/>
      <c r="D31" s="108"/>
      <c r="E31" s="108" t="s">
        <v>103</v>
      </c>
      <c r="F31" s="185" t="s">
        <v>21</v>
      </c>
      <c r="G31" s="108" t="s">
        <v>104</v>
      </c>
      <c r="H31" s="109" t="s">
        <v>105</v>
      </c>
      <c r="I31" s="186"/>
      <c r="J31" s="189"/>
      <c r="K31" s="185"/>
      <c r="L31" s="108"/>
      <c r="M31" s="188" t="s">
        <v>24</v>
      </c>
      <c r="N31" s="108"/>
    </row>
    <row r="32" spans="2:14" ht="41.25" customHeight="1">
      <c r="B32" s="108" t="s">
        <v>78</v>
      </c>
      <c r="C32" s="108"/>
      <c r="D32" s="108"/>
      <c r="E32" s="108" t="s">
        <v>106</v>
      </c>
      <c r="F32" s="185" t="s">
        <v>21</v>
      </c>
      <c r="G32" s="108" t="s">
        <v>107</v>
      </c>
      <c r="H32" s="109" t="s">
        <v>108</v>
      </c>
      <c r="I32" s="186"/>
      <c r="J32" s="189"/>
      <c r="K32" s="185"/>
      <c r="L32" s="108"/>
      <c r="M32" s="188" t="s">
        <v>24</v>
      </c>
      <c r="N32" s="108"/>
    </row>
    <row r="33" spans="2:14" ht="41.25" customHeight="1">
      <c r="B33" s="108" t="s">
        <v>78</v>
      </c>
      <c r="C33" s="108"/>
      <c r="D33" s="108"/>
      <c r="E33" s="108" t="s">
        <v>109</v>
      </c>
      <c r="F33" s="185" t="s">
        <v>21</v>
      </c>
      <c r="G33" s="108" t="s">
        <v>110</v>
      </c>
      <c r="H33" s="109" t="s">
        <v>111</v>
      </c>
      <c r="I33" s="186"/>
      <c r="J33" s="189"/>
      <c r="K33" s="185"/>
      <c r="L33" s="108"/>
      <c r="M33" s="188" t="s">
        <v>25</v>
      </c>
      <c r="N33" s="108"/>
    </row>
    <row r="34" spans="2:14" ht="41.25" customHeight="1">
      <c r="B34" s="108" t="s">
        <v>78</v>
      </c>
      <c r="C34" s="108"/>
      <c r="D34" s="108"/>
      <c r="E34" s="108" t="s">
        <v>112</v>
      </c>
      <c r="F34" s="185" t="s">
        <v>21</v>
      </c>
      <c r="G34" s="108" t="s">
        <v>113</v>
      </c>
      <c r="H34" s="109" t="s">
        <v>114</v>
      </c>
      <c r="I34" s="186"/>
      <c r="J34" s="189"/>
      <c r="K34" s="193"/>
      <c r="L34" s="109"/>
      <c r="M34" s="188" t="s">
        <v>25</v>
      </c>
      <c r="N34" s="108"/>
    </row>
    <row r="35" spans="2:14" ht="41.25" customHeight="1">
      <c r="B35" s="108" t="s">
        <v>78</v>
      </c>
      <c r="C35" s="108"/>
      <c r="D35" s="108"/>
      <c r="E35" s="108" t="s">
        <v>115</v>
      </c>
      <c r="F35" s="185" t="s">
        <v>21</v>
      </c>
      <c r="G35" s="108" t="s">
        <v>116</v>
      </c>
      <c r="H35" s="109" t="s">
        <v>117</v>
      </c>
      <c r="I35" s="186"/>
      <c r="J35" s="187"/>
      <c r="K35" s="185"/>
      <c r="L35" s="108"/>
      <c r="M35" s="188" t="s">
        <v>24</v>
      </c>
      <c r="N35" s="108"/>
    </row>
    <row r="36" spans="2:14" ht="41.25" customHeight="1">
      <c r="B36" s="108" t="s">
        <v>78</v>
      </c>
      <c r="C36" s="108"/>
      <c r="D36" s="108"/>
      <c r="E36" s="108" t="s">
        <v>118</v>
      </c>
      <c r="F36" s="185" t="s">
        <v>21</v>
      </c>
      <c r="G36" s="108" t="s">
        <v>119</v>
      </c>
      <c r="H36" s="109" t="s">
        <v>120</v>
      </c>
      <c r="I36" s="186"/>
      <c r="J36" s="189"/>
      <c r="K36" s="185"/>
      <c r="L36" s="108"/>
      <c r="M36" s="188" t="s">
        <v>25</v>
      </c>
      <c r="N36" s="108"/>
    </row>
    <row r="37" spans="2:14" ht="41.25" customHeight="1">
      <c r="B37" s="108" t="s">
        <v>78</v>
      </c>
      <c r="C37" s="108"/>
      <c r="D37" s="108"/>
      <c r="E37" s="108" t="s">
        <v>121</v>
      </c>
      <c r="F37" s="185" t="s">
        <v>21</v>
      </c>
      <c r="G37" s="108" t="s">
        <v>122</v>
      </c>
      <c r="H37" s="109" t="s">
        <v>123</v>
      </c>
      <c r="I37" s="186"/>
      <c r="J37" s="187"/>
      <c r="K37" s="185"/>
      <c r="L37" s="108"/>
      <c r="M37" s="188" t="s">
        <v>25</v>
      </c>
      <c r="N37" s="108"/>
    </row>
    <row r="38" spans="2:14" ht="41.25" customHeight="1">
      <c r="B38" s="108" t="s">
        <v>78</v>
      </c>
      <c r="C38" s="108"/>
      <c r="D38" s="108"/>
      <c r="E38" s="108" t="s">
        <v>124</v>
      </c>
      <c r="F38" s="185" t="s">
        <v>21</v>
      </c>
      <c r="G38" s="108" t="s">
        <v>125</v>
      </c>
      <c r="H38" s="109" t="s">
        <v>126</v>
      </c>
      <c r="I38" s="186"/>
      <c r="J38" s="189"/>
      <c r="K38" s="185"/>
      <c r="L38" s="108"/>
      <c r="M38" s="188" t="s">
        <v>24</v>
      </c>
      <c r="N38" s="108"/>
    </row>
    <row r="39" spans="2:14" ht="41.25" customHeight="1">
      <c r="B39" s="108" t="s">
        <v>78</v>
      </c>
      <c r="C39" s="108"/>
      <c r="D39" s="108"/>
      <c r="E39" s="108" t="s">
        <v>127</v>
      </c>
      <c r="F39" s="185" t="s">
        <v>21</v>
      </c>
      <c r="G39" s="108" t="s">
        <v>128</v>
      </c>
      <c r="H39" s="109" t="s">
        <v>129</v>
      </c>
      <c r="I39" s="186"/>
      <c r="J39" s="189"/>
      <c r="K39" s="193"/>
      <c r="L39" s="109"/>
      <c r="M39" s="188" t="s">
        <v>24</v>
      </c>
      <c r="N39" s="108"/>
    </row>
    <row r="40" spans="2:14" ht="41.25" customHeight="1">
      <c r="B40" s="108" t="s">
        <v>78</v>
      </c>
      <c r="C40" s="108"/>
      <c r="D40" s="108"/>
      <c r="E40" s="108" t="s">
        <v>130</v>
      </c>
      <c r="F40" s="185" t="s">
        <v>21</v>
      </c>
      <c r="G40" s="108" t="s">
        <v>131</v>
      </c>
      <c r="H40" s="109" t="s">
        <v>132</v>
      </c>
      <c r="I40" s="186"/>
      <c r="J40" s="189"/>
      <c r="K40" s="185"/>
      <c r="L40" s="108"/>
      <c r="M40" s="188" t="s">
        <v>24</v>
      </c>
      <c r="N40" s="108"/>
    </row>
    <row r="41" spans="2:14" ht="41.25" customHeight="1">
      <c r="B41" s="108" t="s">
        <v>78</v>
      </c>
      <c r="C41" s="108"/>
      <c r="D41" s="108"/>
      <c r="E41" s="108" t="s">
        <v>133</v>
      </c>
      <c r="F41" s="185" t="s">
        <v>21</v>
      </c>
      <c r="G41" s="108" t="s">
        <v>134</v>
      </c>
      <c r="H41" s="109" t="s">
        <v>135</v>
      </c>
      <c r="I41" s="186"/>
      <c r="J41" s="189"/>
      <c r="K41" s="185"/>
      <c r="L41" s="108"/>
      <c r="M41" s="188" t="s">
        <v>24</v>
      </c>
      <c r="N41" s="108"/>
    </row>
    <row r="42" spans="2:14" ht="41.25" customHeight="1">
      <c r="B42" s="108" t="s">
        <v>78</v>
      </c>
      <c r="C42" s="108"/>
      <c r="D42" s="108"/>
      <c r="E42" s="108" t="s">
        <v>136</v>
      </c>
      <c r="F42" s="185" t="s">
        <v>21</v>
      </c>
      <c r="G42" s="108" t="s">
        <v>137</v>
      </c>
      <c r="H42" s="109" t="s">
        <v>138</v>
      </c>
      <c r="I42" s="186"/>
      <c r="J42" s="189"/>
      <c r="K42" s="193"/>
      <c r="L42" s="109"/>
      <c r="M42" s="188" t="s">
        <v>34</v>
      </c>
      <c r="N42" s="108"/>
    </row>
    <row r="43" spans="2:14" ht="41.25" customHeight="1">
      <c r="B43" s="108" t="s">
        <v>78</v>
      </c>
      <c r="C43" s="108"/>
      <c r="D43" s="108"/>
      <c r="E43" s="108" t="s">
        <v>139</v>
      </c>
      <c r="F43" s="185" t="s">
        <v>21</v>
      </c>
      <c r="G43" s="108" t="s">
        <v>140</v>
      </c>
      <c r="H43" s="109" t="s">
        <v>141</v>
      </c>
      <c r="I43" s="186"/>
      <c r="J43" s="187"/>
      <c r="K43" s="185"/>
      <c r="L43" s="108"/>
      <c r="M43" s="188" t="s">
        <v>34</v>
      </c>
      <c r="N43" s="108"/>
    </row>
    <row r="44" spans="2:14" ht="41.25" customHeight="1">
      <c r="B44" s="108" t="s">
        <v>78</v>
      </c>
      <c r="C44" s="108"/>
      <c r="D44" s="108"/>
      <c r="E44" s="108" t="s">
        <v>142</v>
      </c>
      <c r="F44" s="185" t="s">
        <v>21</v>
      </c>
      <c r="G44" s="108" t="s">
        <v>143</v>
      </c>
      <c r="H44" s="109" t="s">
        <v>144</v>
      </c>
      <c r="I44" s="186"/>
      <c r="J44" s="187"/>
      <c r="K44" s="185"/>
      <c r="L44" s="108"/>
      <c r="M44" s="188" t="s">
        <v>24</v>
      </c>
      <c r="N44" s="108"/>
    </row>
    <row r="45" spans="2:14" ht="41.25" customHeight="1">
      <c r="B45" s="108" t="s">
        <v>78</v>
      </c>
      <c r="C45" s="108"/>
      <c r="D45" s="108"/>
      <c r="E45" s="108" t="s">
        <v>145</v>
      </c>
      <c r="F45" s="185" t="s">
        <v>21</v>
      </c>
      <c r="G45" s="108" t="s">
        <v>146</v>
      </c>
      <c r="H45" s="109" t="s">
        <v>147</v>
      </c>
      <c r="I45" s="186"/>
      <c r="J45" s="187"/>
      <c r="K45" s="185"/>
      <c r="L45" s="108"/>
      <c r="M45" s="188" t="s">
        <v>25</v>
      </c>
      <c r="N45" s="108"/>
    </row>
    <row r="46" spans="2:14" ht="41.25" customHeight="1">
      <c r="B46" s="108" t="s">
        <v>78</v>
      </c>
      <c r="C46" s="108"/>
      <c r="D46" s="108"/>
      <c r="E46" s="108" t="s">
        <v>148</v>
      </c>
      <c r="F46" s="185" t="s">
        <v>21</v>
      </c>
      <c r="G46" s="108" t="s">
        <v>149</v>
      </c>
      <c r="H46" s="109" t="s">
        <v>150</v>
      </c>
      <c r="I46" s="186"/>
      <c r="J46" s="189"/>
      <c r="K46" s="185"/>
      <c r="L46" s="108"/>
      <c r="M46" s="188" t="s">
        <v>24</v>
      </c>
      <c r="N46" s="108"/>
    </row>
    <row r="47" spans="2:14" ht="46.5" customHeight="1">
      <c r="B47" s="108" t="s">
        <v>78</v>
      </c>
      <c r="C47" s="108"/>
      <c r="D47" s="108"/>
      <c r="E47" s="108" t="s">
        <v>151</v>
      </c>
      <c r="F47" s="185" t="s">
        <v>21</v>
      </c>
      <c r="G47" s="108" t="s">
        <v>152</v>
      </c>
      <c r="H47" s="109" t="s">
        <v>153</v>
      </c>
      <c r="I47" s="186"/>
      <c r="J47" s="187"/>
      <c r="K47" s="185"/>
      <c r="L47" s="108"/>
      <c r="M47" s="188" t="s">
        <v>25</v>
      </c>
      <c r="N47" s="108"/>
    </row>
    <row r="48" spans="2:14" ht="41.25" customHeight="1">
      <c r="B48" s="108" t="s">
        <v>78</v>
      </c>
      <c r="C48" s="108"/>
      <c r="D48" s="108"/>
      <c r="E48" s="108" t="s">
        <v>154</v>
      </c>
      <c r="F48" s="185" t="s">
        <v>21</v>
      </c>
      <c r="G48" s="108" t="s">
        <v>155</v>
      </c>
      <c r="H48" s="109" t="s">
        <v>156</v>
      </c>
      <c r="I48" s="186"/>
      <c r="J48" s="187"/>
      <c r="K48" s="194"/>
      <c r="L48" s="110"/>
      <c r="M48" s="188" t="s">
        <v>24</v>
      </c>
      <c r="N48" s="110"/>
    </row>
    <row r="49" spans="2:14" ht="41.25" customHeight="1">
      <c r="B49" s="108" t="s">
        <v>78</v>
      </c>
      <c r="C49" s="108"/>
      <c r="D49" s="108"/>
      <c r="E49" s="108" t="s">
        <v>157</v>
      </c>
      <c r="F49" s="185" t="s">
        <v>21</v>
      </c>
      <c r="G49" s="108" t="s">
        <v>158</v>
      </c>
      <c r="H49" s="109" t="s">
        <v>159</v>
      </c>
      <c r="I49" s="186"/>
      <c r="J49" s="187"/>
      <c r="K49" s="193"/>
      <c r="L49" s="109"/>
      <c r="M49" s="188" t="s">
        <v>24</v>
      </c>
      <c r="N49" s="109"/>
    </row>
    <row r="50" spans="2:14" ht="41.25" customHeight="1">
      <c r="B50" s="108" t="s">
        <v>160</v>
      </c>
      <c r="C50" s="108"/>
      <c r="D50" s="108"/>
      <c r="E50" s="108" t="s">
        <v>161</v>
      </c>
      <c r="F50" s="185" t="s">
        <v>21</v>
      </c>
      <c r="G50" s="108" t="s">
        <v>162</v>
      </c>
      <c r="H50" s="109" t="s">
        <v>163</v>
      </c>
      <c r="I50" s="186"/>
      <c r="J50" s="187"/>
      <c r="K50" s="185"/>
      <c r="L50" s="108"/>
      <c r="M50" s="188" t="s">
        <v>24</v>
      </c>
      <c r="N50" s="108"/>
    </row>
    <row r="51" spans="2:14" ht="41.25" customHeight="1">
      <c r="B51" s="108" t="s">
        <v>160</v>
      </c>
      <c r="C51" s="108"/>
      <c r="D51" s="108"/>
      <c r="E51" s="108" t="s">
        <v>164</v>
      </c>
      <c r="F51" s="185" t="s">
        <v>21</v>
      </c>
      <c r="G51" s="108" t="s">
        <v>165</v>
      </c>
      <c r="H51" s="109" t="s">
        <v>166</v>
      </c>
      <c r="I51" s="186"/>
      <c r="J51" s="187"/>
      <c r="K51" s="185"/>
      <c r="L51" s="108"/>
      <c r="M51" s="188"/>
      <c r="N51" s="108"/>
    </row>
    <row r="52" spans="2:14" ht="41.25" customHeight="1">
      <c r="B52" s="108" t="s">
        <v>160</v>
      </c>
      <c r="C52" s="108"/>
      <c r="D52" s="108"/>
      <c r="E52" s="108" t="s">
        <v>167</v>
      </c>
      <c r="F52" s="185" t="s">
        <v>21</v>
      </c>
      <c r="G52" s="108" t="s">
        <v>168</v>
      </c>
      <c r="H52" s="109" t="s">
        <v>169</v>
      </c>
      <c r="I52" s="186"/>
      <c r="J52" s="189"/>
      <c r="K52" s="185"/>
      <c r="L52" s="108"/>
      <c r="M52" s="188"/>
      <c r="N52" s="108"/>
    </row>
    <row r="53" spans="2:14" ht="41.25" customHeight="1">
      <c r="B53" s="108" t="s">
        <v>160</v>
      </c>
      <c r="C53" s="108"/>
      <c r="D53" s="108"/>
      <c r="E53" s="108" t="s">
        <v>170</v>
      </c>
      <c r="F53" s="185" t="s">
        <v>21</v>
      </c>
      <c r="G53" s="108" t="s">
        <v>171</v>
      </c>
      <c r="H53" s="109" t="s">
        <v>172</v>
      </c>
      <c r="I53" s="186"/>
      <c r="J53" s="189"/>
      <c r="K53" s="194"/>
      <c r="L53" s="110"/>
      <c r="M53" s="188"/>
      <c r="N53" s="108"/>
    </row>
    <row r="54" spans="2:14" ht="41.25" customHeight="1">
      <c r="B54" s="108" t="s">
        <v>160</v>
      </c>
      <c r="C54" s="108"/>
      <c r="D54" s="108"/>
      <c r="E54" s="108" t="s">
        <v>173</v>
      </c>
      <c r="F54" s="185" t="s">
        <v>21</v>
      </c>
      <c r="G54" s="108" t="s">
        <v>174</v>
      </c>
      <c r="H54" s="109" t="s">
        <v>175</v>
      </c>
      <c r="I54" s="186"/>
      <c r="J54" s="187"/>
      <c r="K54" s="194"/>
      <c r="L54" s="110"/>
      <c r="M54" s="188"/>
      <c r="N54" s="108"/>
    </row>
    <row r="55" spans="2:14" ht="41.25" customHeight="1">
      <c r="M55" s="79"/>
      <c r="N55" s="79"/>
    </row>
    <row r="56" spans="2:14" ht="41.25" customHeight="1"/>
    <row r="57" spans="2:14" ht="41.25" customHeight="1"/>
    <row r="58" spans="2:14" ht="41.25" customHeight="1"/>
    <row r="59" spans="2:14" ht="41.25" customHeight="1"/>
    <row r="60" spans="2:14" ht="41.25" customHeight="1"/>
    <row r="61" spans="2:14" ht="41.25" customHeight="1"/>
    <row r="62" spans="2:14" ht="41.25" customHeight="1"/>
    <row r="63" spans="2:14" ht="41.25" customHeight="1"/>
    <row r="64" spans="2:14" ht="41.25" customHeight="1"/>
    <row r="65" ht="41.25" customHeight="1"/>
  </sheetData>
  <phoneticPr fontId="47" type="noConversion"/>
  <pageMargins left="0.511811024" right="0.511811024" top="0.78740157499999996" bottom="0.78740157499999996" header="0.31496062000000002" footer="0.31496062000000002"/>
  <pageSetup paperSize="9"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4.9989318521683403E-2"/>
  </sheetPr>
  <dimension ref="B1:F1000"/>
  <sheetViews>
    <sheetView showGridLines="0" zoomScale="80" zoomScaleNormal="80" workbookViewId="0">
      <selection activeCell="D11" sqref="D11"/>
    </sheetView>
  </sheetViews>
  <sheetFormatPr defaultColWidth="12.625" defaultRowHeight="15" customHeight="1"/>
  <cols>
    <col min="1" max="1" width="2.625" customWidth="1"/>
    <col min="2" max="2" width="10.125" customWidth="1"/>
    <col min="3" max="3" width="20.625" customWidth="1"/>
    <col min="4" max="4" width="46.625" customWidth="1"/>
    <col min="5" max="5" width="51.125" customWidth="1"/>
    <col min="6" max="6" width="54.625" customWidth="1"/>
    <col min="7" max="26" width="7.625" customWidth="1"/>
  </cols>
  <sheetData>
    <row r="1" spans="2:6" ht="29.65" customHeight="1">
      <c r="B1" s="1" t="s">
        <v>176</v>
      </c>
    </row>
    <row r="2" spans="2:6" ht="72">
      <c r="B2" s="141" t="s">
        <v>177</v>
      </c>
      <c r="C2" s="142" t="s">
        <v>178</v>
      </c>
      <c r="D2" s="140" t="s">
        <v>179</v>
      </c>
      <c r="E2" s="140" t="s">
        <v>180</v>
      </c>
      <c r="F2" s="140" t="s">
        <v>181</v>
      </c>
    </row>
    <row r="3" spans="2:6" ht="66" customHeight="1">
      <c r="B3" s="145" t="s">
        <v>182</v>
      </c>
      <c r="C3" s="146" t="s">
        <v>183</v>
      </c>
      <c r="D3" s="147" t="s">
        <v>184</v>
      </c>
      <c r="E3" s="366" t="s">
        <v>185</v>
      </c>
      <c r="F3" s="406"/>
    </row>
    <row r="4" spans="2:6" ht="100.9">
      <c r="B4" s="143" t="s">
        <v>186</v>
      </c>
      <c r="C4" s="144" t="s">
        <v>187</v>
      </c>
      <c r="D4" s="140" t="s">
        <v>188</v>
      </c>
      <c r="E4" s="140" t="s">
        <v>189</v>
      </c>
      <c r="F4" s="140" t="s">
        <v>190</v>
      </c>
    </row>
    <row r="5" spans="2:6" ht="90" customHeight="1">
      <c r="B5" s="145" t="s">
        <v>186</v>
      </c>
      <c r="C5" s="146" t="s">
        <v>191</v>
      </c>
      <c r="D5" s="147" t="s">
        <v>192</v>
      </c>
      <c r="E5" s="366" t="s">
        <v>193</v>
      </c>
      <c r="F5" s="406"/>
    </row>
    <row r="7" spans="2:6" ht="13.9">
      <c r="C7" s="4" t="s">
        <v>194</v>
      </c>
    </row>
    <row r="9" spans="2:6" ht="13.9">
      <c r="C9" s="5" t="s">
        <v>195</v>
      </c>
    </row>
    <row r="10" spans="2:6" ht="14.45">
      <c r="C10" s="6"/>
    </row>
    <row r="11" spans="2:6" ht="13.9">
      <c r="C11" s="7" t="s">
        <v>196</v>
      </c>
    </row>
    <row r="12" spans="2:6" ht="13.9">
      <c r="C12" s="7" t="s">
        <v>197</v>
      </c>
    </row>
    <row r="13" spans="2:6" ht="13.9">
      <c r="C13" s="7" t="s">
        <v>198</v>
      </c>
    </row>
    <row r="15" spans="2:6" ht="22.9">
      <c r="C15" s="8" t="s">
        <v>199</v>
      </c>
    </row>
    <row r="16" spans="2:6" ht="14.45">
      <c r="C16" s="9"/>
    </row>
    <row r="17" spans="3:6" ht="17.45">
      <c r="C17" s="10" t="s">
        <v>200</v>
      </c>
    </row>
    <row r="18" spans="3:6" ht="14.45">
      <c r="C18" s="9"/>
    </row>
    <row r="19" spans="3:6" ht="13.9">
      <c r="C19" s="5" t="s">
        <v>201</v>
      </c>
    </row>
    <row r="20" spans="3:6" ht="14.45">
      <c r="C20" s="11"/>
    </row>
    <row r="21" spans="3:6" ht="15.75" customHeight="1">
      <c r="C21" s="12" t="s">
        <v>202</v>
      </c>
    </row>
    <row r="22" spans="3:6" ht="15.75" customHeight="1">
      <c r="C22" s="12" t="s">
        <v>203</v>
      </c>
    </row>
    <row r="23" spans="3:6" ht="15.75" customHeight="1">
      <c r="C23" s="9"/>
    </row>
    <row r="24" spans="3:6" ht="15.75" customHeight="1">
      <c r="C24" s="10" t="s">
        <v>204</v>
      </c>
    </row>
    <row r="25" spans="3:6" ht="15.75" customHeight="1">
      <c r="C25" s="9"/>
    </row>
    <row r="26" spans="3:6" ht="15.75" customHeight="1">
      <c r="C26" s="5" t="s">
        <v>205</v>
      </c>
    </row>
    <row r="27" spans="3:6" ht="15.75" customHeight="1">
      <c r="C27" s="9"/>
    </row>
    <row r="28" spans="3:6" ht="15.75" customHeight="1">
      <c r="C28" s="10" t="s">
        <v>206</v>
      </c>
    </row>
    <row r="29" spans="3:6" ht="15.75" customHeight="1">
      <c r="C29" s="9"/>
    </row>
    <row r="30" spans="3:6" ht="15.75" customHeight="1">
      <c r="C30" s="5" t="s">
        <v>207</v>
      </c>
    </row>
    <row r="31" spans="3:6" ht="15.75" customHeight="1">
      <c r="C31" s="9"/>
    </row>
    <row r="32" spans="3:6" ht="15.75" customHeight="1">
      <c r="C32" s="1"/>
      <c r="D32" s="195" t="s">
        <v>208</v>
      </c>
      <c r="E32" s="367" t="s">
        <v>209</v>
      </c>
      <c r="F32" s="367"/>
    </row>
    <row r="33" spans="4:6" ht="15.75" customHeight="1" thickBot="1">
      <c r="D33" s="196"/>
      <c r="E33" s="197" t="s">
        <v>210</v>
      </c>
      <c r="F33" s="197" t="s">
        <v>211</v>
      </c>
    </row>
    <row r="34" spans="4:6" ht="15.75" customHeight="1">
      <c r="D34" s="148" t="s">
        <v>212</v>
      </c>
      <c r="E34" s="149" t="s">
        <v>213</v>
      </c>
      <c r="F34" s="150" t="s">
        <v>214</v>
      </c>
    </row>
    <row r="35" spans="4:6" ht="33.6" customHeight="1" thickBot="1">
      <c r="D35" s="151" t="s">
        <v>215</v>
      </c>
      <c r="E35" s="152" t="s">
        <v>213</v>
      </c>
      <c r="F35" s="153" t="s">
        <v>216</v>
      </c>
    </row>
    <row r="36" spans="4:6" ht="15.75" customHeight="1"/>
    <row r="37" spans="4:6" ht="15.75" customHeight="1"/>
    <row r="38" spans="4:6" ht="15.75" customHeight="1"/>
    <row r="39" spans="4:6" ht="15.75" customHeight="1"/>
    <row r="40" spans="4:6" ht="15.75" customHeight="1"/>
    <row r="41" spans="4:6" ht="15.75" customHeight="1"/>
    <row r="42" spans="4:6" ht="15.75" customHeight="1"/>
    <row r="43" spans="4:6" ht="15.75" customHeight="1"/>
    <row r="44" spans="4:6" ht="15.75" customHeight="1"/>
    <row r="45" spans="4:6" ht="15.75" customHeight="1"/>
    <row r="46" spans="4:6" ht="15.75" customHeight="1"/>
    <row r="47" spans="4:6" ht="15.75" customHeight="1"/>
    <row r="48" spans="4: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E3:F3"/>
    <mergeCell ref="E5:F5"/>
    <mergeCell ref="E32:F32"/>
  </mergeCells>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1000"/>
  <sheetViews>
    <sheetView showGridLines="0" topLeftCell="D14" zoomScale="80" zoomScaleNormal="80" workbookViewId="0">
      <selection activeCell="G37" sqref="G37:G38"/>
    </sheetView>
  </sheetViews>
  <sheetFormatPr defaultColWidth="12.625" defaultRowHeight="15" customHeight="1"/>
  <cols>
    <col min="1" max="3" width="7.625" customWidth="1"/>
    <col min="4" max="4" width="26.125" customWidth="1"/>
    <col min="5" max="5" width="7.625" customWidth="1"/>
    <col min="6" max="6" width="7.5" bestFit="1" customWidth="1"/>
    <col min="7" max="7" width="10.25" bestFit="1" customWidth="1"/>
    <col min="8" max="26" width="7.625" customWidth="1"/>
  </cols>
  <sheetData>
    <row r="1" spans="4:12" ht="14.45">
      <c r="E1" s="13">
        <f>SUM(E2:E4)</f>
        <v>0.5</v>
      </c>
    </row>
    <row r="2" spans="4:12" ht="14.45">
      <c r="D2" s="9" t="s">
        <v>217</v>
      </c>
      <c r="E2" s="13">
        <f>50%-E3-E4</f>
        <v>0.125</v>
      </c>
      <c r="F2" s="13">
        <f t="shared" ref="F2:F4" si="0">E2/$E$1</f>
        <v>0.25</v>
      </c>
    </row>
    <row r="3" spans="4:12" ht="14.45">
      <c r="D3" s="9" t="s">
        <v>218</v>
      </c>
      <c r="E3" s="13">
        <v>0.125</v>
      </c>
      <c r="F3" s="13">
        <f t="shared" si="0"/>
        <v>0.25</v>
      </c>
    </row>
    <row r="4" spans="4:12" ht="14.45">
      <c r="D4" s="9" t="s">
        <v>219</v>
      </c>
      <c r="E4" s="13">
        <v>0.25</v>
      </c>
      <c r="F4" s="13">
        <f t="shared" si="0"/>
        <v>0.5</v>
      </c>
    </row>
    <row r="5" spans="4:12" ht="14.45">
      <c r="E5" s="13">
        <v>0.5</v>
      </c>
    </row>
    <row r="6" spans="4:12" ht="14.45">
      <c r="E6" s="407" t="s">
        <v>219</v>
      </c>
      <c r="F6" s="408"/>
      <c r="G6" s="409" t="s">
        <v>220</v>
      </c>
      <c r="H6" s="408"/>
      <c r="I6" s="410" t="s">
        <v>217</v>
      </c>
      <c r="J6" s="408"/>
      <c r="K6" s="410" t="s">
        <v>217</v>
      </c>
      <c r="L6" s="408"/>
    </row>
    <row r="7" spans="4:12" ht="14.45">
      <c r="D7" s="9" t="s">
        <v>221</v>
      </c>
      <c r="E7" s="9">
        <v>0</v>
      </c>
      <c r="F7" s="13">
        <f>K23</f>
        <v>0.15384615384615385</v>
      </c>
      <c r="G7" s="9">
        <v>2</v>
      </c>
      <c r="H7" s="13">
        <f t="shared" ref="H7:H9" si="1">G7/$G$10</f>
        <v>0.14285714285714285</v>
      </c>
      <c r="I7" s="9">
        <v>15</v>
      </c>
      <c r="J7" s="13">
        <f t="shared" ref="J7:J9" si="2">I7/$I$10</f>
        <v>0.6</v>
      </c>
      <c r="K7" s="9">
        <v>15</v>
      </c>
      <c r="L7" s="13">
        <f t="shared" ref="L7:L9" si="3">K7/$K$10</f>
        <v>0.42857142857142855</v>
      </c>
    </row>
    <row r="8" spans="4:12" ht="14.45">
      <c r="D8" s="9" t="s">
        <v>222</v>
      </c>
      <c r="E8" s="9">
        <v>5</v>
      </c>
      <c r="F8" s="13">
        <v>0.01</v>
      </c>
      <c r="G8" s="9">
        <v>5</v>
      </c>
      <c r="H8" s="13">
        <f t="shared" si="1"/>
        <v>0.35714285714285715</v>
      </c>
      <c r="I8" s="9">
        <v>5</v>
      </c>
      <c r="J8" s="13">
        <f t="shared" si="2"/>
        <v>0.2</v>
      </c>
      <c r="K8" s="9">
        <v>10</v>
      </c>
      <c r="L8" s="13">
        <f t="shared" si="3"/>
        <v>0.2857142857142857</v>
      </c>
    </row>
    <row r="9" spans="4:12" ht="14.45">
      <c r="D9" s="9" t="s">
        <v>223</v>
      </c>
      <c r="E9" s="9">
        <v>15</v>
      </c>
      <c r="F9" s="13">
        <f>K21</f>
        <v>0.61538461538461542</v>
      </c>
      <c r="G9" s="9">
        <v>7</v>
      </c>
      <c r="H9" s="13">
        <f t="shared" si="1"/>
        <v>0.5</v>
      </c>
      <c r="I9" s="9">
        <v>5</v>
      </c>
      <c r="J9" s="13">
        <f t="shared" si="2"/>
        <v>0.2</v>
      </c>
      <c r="K9" s="9">
        <v>10</v>
      </c>
      <c r="L9" s="13">
        <f t="shared" si="3"/>
        <v>0.2857142857142857</v>
      </c>
    </row>
    <row r="10" spans="4:12" ht="14.45">
      <c r="E10" s="1">
        <f t="shared" ref="E10:L10" si="4">SUM(E7:E9)</f>
        <v>20</v>
      </c>
      <c r="F10" s="14">
        <f t="shared" si="4"/>
        <v>0.77923076923076928</v>
      </c>
      <c r="G10" s="1">
        <f t="shared" si="4"/>
        <v>14</v>
      </c>
      <c r="H10" s="14">
        <f t="shared" si="4"/>
        <v>1</v>
      </c>
      <c r="I10" s="1">
        <f t="shared" si="4"/>
        <v>25</v>
      </c>
      <c r="J10" s="14">
        <f t="shared" si="4"/>
        <v>1</v>
      </c>
      <c r="K10" s="1">
        <f t="shared" si="4"/>
        <v>35</v>
      </c>
      <c r="L10" s="14">
        <f t="shared" si="4"/>
        <v>0.99999999999999989</v>
      </c>
    </row>
    <row r="12" spans="4:12" ht="36" customHeight="1">
      <c r="D12" s="411" t="s">
        <v>224</v>
      </c>
      <c r="E12" s="368" t="s">
        <v>225</v>
      </c>
      <c r="F12" s="412"/>
      <c r="G12" s="412"/>
      <c r="H12" s="412"/>
      <c r="I12" s="412"/>
      <c r="J12" s="412"/>
      <c r="K12" s="412"/>
      <c r="L12" s="412"/>
    </row>
    <row r="13" spans="4:12" ht="63.75" customHeight="1">
      <c r="D13" s="413" t="s">
        <v>226</v>
      </c>
      <c r="E13" s="368" t="s">
        <v>227</v>
      </c>
      <c r="F13" s="412"/>
      <c r="G13" s="412"/>
      <c r="H13" s="412"/>
      <c r="I13" s="412"/>
      <c r="J13" s="412"/>
      <c r="K13" s="412"/>
      <c r="L13" s="412"/>
    </row>
    <row r="14" spans="4:12" ht="63.75" customHeight="1">
      <c r="D14" s="414" t="s">
        <v>228</v>
      </c>
      <c r="E14" s="368" t="s">
        <v>229</v>
      </c>
      <c r="F14" s="412"/>
      <c r="G14" s="412"/>
      <c r="H14" s="412"/>
      <c r="I14" s="412"/>
      <c r="J14" s="412"/>
      <c r="K14" s="412"/>
      <c r="L14" s="412"/>
    </row>
    <row r="15" spans="4:12" ht="44.25" customHeight="1">
      <c r="D15" s="414" t="s">
        <v>230</v>
      </c>
      <c r="E15" s="368" t="s">
        <v>231</v>
      </c>
      <c r="F15" s="412"/>
      <c r="G15" s="412"/>
      <c r="H15" s="412"/>
      <c r="I15" s="412"/>
      <c r="J15" s="412"/>
      <c r="K15" s="412"/>
      <c r="L15" s="412"/>
    </row>
    <row r="19" spans="2:11" ht="14.45">
      <c r="D19" s="1"/>
      <c r="E19" s="1"/>
      <c r="F19" s="1"/>
      <c r="G19" s="1"/>
      <c r="H19" s="1"/>
      <c r="I19" s="1"/>
      <c r="J19" s="1"/>
      <c r="K19" s="1"/>
    </row>
    <row r="20" spans="2:11" ht="14.45">
      <c r="B20" s="415"/>
      <c r="C20" s="415"/>
      <c r="D20" s="415"/>
      <c r="E20" s="415" t="s">
        <v>232</v>
      </c>
      <c r="F20" s="415" t="s">
        <v>17</v>
      </c>
      <c r="G20" s="415" t="s">
        <v>233</v>
      </c>
    </row>
    <row r="21" spans="2:11" ht="15.75" customHeight="1">
      <c r="D21" s="15"/>
      <c r="E21" s="9" t="s">
        <v>234</v>
      </c>
      <c r="F21" s="416" t="s">
        <v>235</v>
      </c>
      <c r="G21" s="9">
        <v>1</v>
      </c>
      <c r="I21" s="414" t="s">
        <v>236</v>
      </c>
      <c r="J21" s="414">
        <f t="shared" ref="J21:J23" si="5">SUMIF($F$21:$F$46,$I21,$G$21:$G$46)</f>
        <v>8</v>
      </c>
      <c r="K21" s="417">
        <f t="shared" ref="K21:K23" si="6">J21/$J$24</f>
        <v>0.61538461538461542</v>
      </c>
    </row>
    <row r="22" spans="2:11" ht="15.75" customHeight="1">
      <c r="D22" s="15"/>
      <c r="E22" s="9" t="s">
        <v>237</v>
      </c>
      <c r="F22" s="416" t="s">
        <v>235</v>
      </c>
      <c r="G22" s="9">
        <v>1</v>
      </c>
      <c r="I22" s="413" t="s">
        <v>238</v>
      </c>
      <c r="J22" s="413">
        <f t="shared" si="5"/>
        <v>3</v>
      </c>
      <c r="K22" s="418">
        <f t="shared" si="6"/>
        <v>0.23076923076923078</v>
      </c>
    </row>
    <row r="23" spans="2:11" ht="15.75" customHeight="1">
      <c r="D23" s="15"/>
      <c r="E23" s="9" t="s">
        <v>239</v>
      </c>
      <c r="F23" s="416" t="s">
        <v>235</v>
      </c>
      <c r="G23" s="9">
        <v>1</v>
      </c>
      <c r="I23" s="419" t="s">
        <v>240</v>
      </c>
      <c r="J23" s="419">
        <f t="shared" si="5"/>
        <v>2</v>
      </c>
      <c r="K23" s="411">
        <f t="shared" si="6"/>
        <v>0.15384615384615385</v>
      </c>
    </row>
    <row r="24" spans="2:11" ht="15.75" customHeight="1">
      <c r="D24" s="16"/>
      <c r="E24" s="9" t="s">
        <v>241</v>
      </c>
      <c r="F24" s="416" t="s">
        <v>235</v>
      </c>
      <c r="G24" s="9">
        <v>1</v>
      </c>
      <c r="J24" s="1">
        <f t="shared" ref="J24:K24" si="7">SUM(J21:J23)</f>
        <v>13</v>
      </c>
      <c r="K24" s="14">
        <f t="shared" si="7"/>
        <v>1</v>
      </c>
    </row>
    <row r="25" spans="2:11" ht="15.75" customHeight="1">
      <c r="D25" s="16"/>
      <c r="E25" s="9" t="s">
        <v>242</v>
      </c>
      <c r="F25" s="416" t="s">
        <v>235</v>
      </c>
      <c r="G25" s="9">
        <v>1</v>
      </c>
    </row>
    <row r="26" spans="2:11" ht="15.75" customHeight="1">
      <c r="D26" s="16"/>
      <c r="E26" s="9" t="s">
        <v>243</v>
      </c>
      <c r="F26" s="416" t="s">
        <v>235</v>
      </c>
      <c r="G26" s="9">
        <v>1</v>
      </c>
    </row>
    <row r="27" spans="2:11" ht="15.75" customHeight="1">
      <c r="D27" s="15"/>
      <c r="E27" s="9" t="s">
        <v>244</v>
      </c>
      <c r="F27" s="416" t="s">
        <v>245</v>
      </c>
      <c r="G27" s="9">
        <v>1</v>
      </c>
    </row>
    <row r="28" spans="2:11" ht="15.75" customHeight="1">
      <c r="D28" s="15"/>
      <c r="E28" s="9" t="s">
        <v>246</v>
      </c>
      <c r="F28" s="416" t="s">
        <v>247</v>
      </c>
      <c r="G28" s="9">
        <v>1</v>
      </c>
    </row>
    <row r="29" spans="2:11" ht="15.75" customHeight="1">
      <c r="D29" s="16"/>
      <c r="E29" s="9" t="s">
        <v>248</v>
      </c>
      <c r="F29" s="416" t="s">
        <v>235</v>
      </c>
      <c r="G29" s="9">
        <v>1</v>
      </c>
    </row>
    <row r="30" spans="2:11" ht="15.75" customHeight="1">
      <c r="D30" s="16"/>
      <c r="E30" s="9" t="s">
        <v>249</v>
      </c>
      <c r="F30" s="416" t="s">
        <v>235</v>
      </c>
      <c r="G30" s="9">
        <v>1</v>
      </c>
    </row>
    <row r="31" spans="2:11" ht="15.75" customHeight="1">
      <c r="D31" s="15"/>
      <c r="E31" s="9" t="s">
        <v>250</v>
      </c>
      <c r="F31" s="416" t="s">
        <v>247</v>
      </c>
      <c r="G31" s="9">
        <v>1</v>
      </c>
    </row>
    <row r="32" spans="2:11" ht="15.75" customHeight="1">
      <c r="D32" s="16"/>
      <c r="E32" s="9" t="s">
        <v>251</v>
      </c>
      <c r="F32" s="416" t="s">
        <v>245</v>
      </c>
      <c r="G32" s="9">
        <v>1</v>
      </c>
    </row>
    <row r="33" spans="2:9" ht="15.75" customHeight="1">
      <c r="D33" s="16"/>
      <c r="E33" s="9" t="s">
        <v>252</v>
      </c>
      <c r="F33" s="416" t="s">
        <v>245</v>
      </c>
      <c r="G33" s="9">
        <v>1</v>
      </c>
    </row>
    <row r="34" spans="2:9" ht="15.75" customHeight="1">
      <c r="D34" s="16"/>
      <c r="E34" s="9" t="s">
        <v>253</v>
      </c>
      <c r="F34" s="420"/>
      <c r="G34" s="9">
        <v>1</v>
      </c>
    </row>
    <row r="35" spans="2:9" ht="15.75" customHeight="1">
      <c r="D35" s="16"/>
      <c r="E35" s="9" t="s">
        <v>254</v>
      </c>
      <c r="F35" s="420"/>
      <c r="G35" s="9">
        <v>1</v>
      </c>
    </row>
    <row r="36" spans="2:9" ht="15.75" customHeight="1">
      <c r="D36" s="16"/>
      <c r="E36" s="9" t="s">
        <v>255</v>
      </c>
    </row>
    <row r="37" spans="2:9" ht="15.75" customHeight="1">
      <c r="E37" s="9" t="s">
        <v>256</v>
      </c>
    </row>
    <row r="38" spans="2:9" ht="15.75" customHeight="1">
      <c r="E38" s="9" t="s">
        <v>257</v>
      </c>
    </row>
    <row r="39" spans="2:9" ht="15.75" customHeight="1">
      <c r="E39" s="9" t="s">
        <v>258</v>
      </c>
    </row>
    <row r="40" spans="2:9" ht="15.75" customHeight="1">
      <c r="E40" s="9" t="s">
        <v>259</v>
      </c>
    </row>
    <row r="41" spans="2:9" ht="15.75" customHeight="1">
      <c r="E41" s="9" t="s">
        <v>260</v>
      </c>
    </row>
    <row r="42" spans="2:9" ht="15.75" customHeight="1">
      <c r="E42" s="9" t="s">
        <v>261</v>
      </c>
    </row>
    <row r="43" spans="2:9" ht="15.75" customHeight="1">
      <c r="E43" s="9" t="s">
        <v>262</v>
      </c>
    </row>
    <row r="44" spans="2:9" ht="15.75" customHeight="1">
      <c r="E44" s="9" t="s">
        <v>263</v>
      </c>
    </row>
    <row r="45" spans="2:9" ht="15.75" customHeight="1">
      <c r="E45" s="9" t="s">
        <v>264</v>
      </c>
    </row>
    <row r="46" spans="2:9" ht="15.75" customHeight="1">
      <c r="E46" s="9" t="s">
        <v>265</v>
      </c>
    </row>
    <row r="47" spans="2:9" ht="15.75" customHeight="1">
      <c r="B47" s="9" t="s">
        <v>24</v>
      </c>
      <c r="C47" s="9" t="s">
        <v>24</v>
      </c>
      <c r="D47" s="9" t="s">
        <v>24</v>
      </c>
      <c r="E47" s="9" t="s">
        <v>24</v>
      </c>
      <c r="F47" s="9" t="s">
        <v>24</v>
      </c>
      <c r="G47" s="9" t="s">
        <v>24</v>
      </c>
      <c r="H47" s="9" t="s">
        <v>24</v>
      </c>
      <c r="I47" s="9" t="s">
        <v>24</v>
      </c>
    </row>
    <row r="48" spans="2: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E13:L13"/>
    <mergeCell ref="E14:L14"/>
    <mergeCell ref="E15:L15"/>
    <mergeCell ref="E6:F6"/>
    <mergeCell ref="G6:H6"/>
    <mergeCell ref="I6:J6"/>
    <mergeCell ref="K6:L6"/>
    <mergeCell ref="E12:L12"/>
  </mergeCells>
  <phoneticPr fontId="47" type="noConversion"/>
  <conditionalFormatting sqref="F21:F35">
    <cfRule type="containsText" dxfId="168" priority="1" operator="containsText" text="BAIXO IMPACTO">
      <formula>NOT(ISERROR(SEARCH(("BAIXO IMPACTO"),(F21))))</formula>
    </cfRule>
    <cfRule type="containsText" dxfId="167" priority="2" operator="containsText" text="MÉDIO IMPACTO">
      <formula>NOT(ISERROR(SEARCH(("MÉDIO IMPACTO"),(F21))))</formula>
    </cfRule>
    <cfRule type="containsText" dxfId="166" priority="3" operator="containsText" text="ALTO IMPACTO">
      <formula>NOT(ISERROR(SEARCH(("ALTO IMPACTO"),(F21))))</formula>
    </cfRule>
  </conditionalFormatting>
  <dataValidations disablePrompts="1" count="1">
    <dataValidation type="list" allowBlank="1" showErrorMessage="1" sqref="F21:F35" xr:uid="{00000000-0002-0000-0100-000000000000}">
      <formula1>"ALTO IMPACTO,MÉDIO IMPACTO,BAIXO IMPACTO"</formula1>
    </dataValidation>
  </dataValidations>
  <pageMargins left="0.511811024" right="0.511811024" top="0.78740157499999996" bottom="0.78740157499999996"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3A77"/>
  </sheetPr>
  <dimension ref="B1:N1009"/>
  <sheetViews>
    <sheetView showGridLines="0" zoomScale="50" zoomScaleNormal="50" workbookViewId="0">
      <pane xSplit="4" ySplit="8" topLeftCell="E16" activePane="bottomRight" state="frozen"/>
      <selection pane="bottomRight" activeCell="F14" sqref="F14"/>
      <selection pane="bottomLeft" activeCell="A7" sqref="A7"/>
      <selection pane="topRight" activeCell="D1" sqref="D1"/>
    </sheetView>
  </sheetViews>
  <sheetFormatPr defaultColWidth="12.625" defaultRowHeight="15" customHeight="1"/>
  <cols>
    <col min="1" max="1" width="4.125" style="83" customWidth="1"/>
    <col min="2" max="2" width="9.875" style="83" customWidth="1"/>
    <col min="3" max="3" width="13.25" style="83" customWidth="1"/>
    <col min="4" max="4" width="30.125" style="83" customWidth="1"/>
    <col min="5" max="5" width="92.875" style="83" customWidth="1"/>
    <col min="6" max="6" width="48.625" style="83" customWidth="1"/>
    <col min="7" max="7" width="26.5" style="82" customWidth="1"/>
    <col min="8" max="8" width="61.125" style="83" customWidth="1"/>
    <col min="9" max="9" width="12.625" style="83" customWidth="1"/>
    <col min="10" max="10" width="19" style="83" bestFit="1" customWidth="1"/>
    <col min="11" max="11" width="24.5" style="83" bestFit="1" customWidth="1"/>
    <col min="12" max="12" width="21.375" style="83" bestFit="1" customWidth="1"/>
    <col min="13" max="13" width="21.75" style="83" customWidth="1"/>
    <col min="14" max="14" width="17.25" style="310" bestFit="1" customWidth="1"/>
    <col min="15" max="27" width="7.625" style="83" customWidth="1"/>
    <col min="28" max="16384" width="12.625" style="83"/>
  </cols>
  <sheetData>
    <row r="1" spans="2:14" ht="40.15" customHeight="1"/>
    <row r="2" spans="2:14" ht="13.9"/>
    <row r="3" spans="2:14" customFormat="1" ht="15" customHeight="1">
      <c r="B3" s="182" t="str">
        <f>'BASE DE PONTOS V+'!B2</f>
        <v>Condomínio Reserva das Plantas</v>
      </c>
      <c r="D3" s="83"/>
      <c r="E3" s="257" t="s">
        <v>266</v>
      </c>
      <c r="F3" s="105">
        <v>149800</v>
      </c>
      <c r="G3" s="258"/>
      <c r="H3" s="83"/>
      <c r="I3" s="83"/>
      <c r="J3" s="83"/>
      <c r="K3" s="83"/>
      <c r="L3" s="83"/>
      <c r="M3" s="83"/>
      <c r="N3" s="88"/>
    </row>
    <row r="4" spans="2:14" customFormat="1" ht="13.9">
      <c r="B4" s="183" t="s">
        <v>267</v>
      </c>
      <c r="D4" s="83"/>
      <c r="E4" s="257" t="s">
        <v>268</v>
      </c>
      <c r="F4" s="105">
        <v>93650</v>
      </c>
      <c r="G4" s="106">
        <v>4994518.78</v>
      </c>
      <c r="H4" s="83"/>
      <c r="I4" s="83"/>
      <c r="J4" s="83"/>
      <c r="K4" s="83"/>
      <c r="L4" s="83"/>
      <c r="M4" s="83"/>
      <c r="N4" s="88"/>
    </row>
    <row r="5" spans="2:14" customFormat="1" ht="13.9">
      <c r="B5" s="265" t="s">
        <v>269</v>
      </c>
      <c r="E5" s="257" t="s">
        <v>270</v>
      </c>
      <c r="F5" s="105">
        <v>7490</v>
      </c>
      <c r="G5" s="82"/>
      <c r="H5" s="83"/>
      <c r="I5" s="104"/>
      <c r="J5" s="83"/>
      <c r="K5" s="83"/>
      <c r="L5" s="83"/>
      <c r="M5" s="264" t="s">
        <v>271</v>
      </c>
      <c r="N5" s="88"/>
    </row>
    <row r="6" spans="2:14" customFormat="1" ht="28.15" thickBot="1">
      <c r="B6" s="265"/>
      <c r="D6" s="83"/>
      <c r="E6" s="83"/>
      <c r="F6" s="83"/>
      <c r="G6" s="421" t="s">
        <v>272</v>
      </c>
      <c r="H6" s="83"/>
      <c r="I6" s="83"/>
      <c r="J6" s="104"/>
      <c r="K6" s="104"/>
      <c r="L6" s="422"/>
      <c r="M6" s="83"/>
      <c r="N6" s="88"/>
    </row>
    <row r="7" spans="2:14" customFormat="1" ht="14.45">
      <c r="B7" s="174" t="s">
        <v>273</v>
      </c>
      <c r="C7" s="173">
        <v>1</v>
      </c>
      <c r="D7" s="163">
        <v>2</v>
      </c>
      <c r="E7" s="163">
        <v>3</v>
      </c>
      <c r="F7" s="163">
        <v>4</v>
      </c>
      <c r="G7" s="163">
        <v>5</v>
      </c>
      <c r="H7" s="163">
        <v>6</v>
      </c>
      <c r="I7" s="163">
        <v>7</v>
      </c>
      <c r="J7" s="163">
        <v>8</v>
      </c>
      <c r="K7" s="163"/>
      <c r="L7" s="163">
        <v>9</v>
      </c>
      <c r="M7" s="163" t="s">
        <v>274</v>
      </c>
      <c r="N7" s="164" t="s">
        <v>275</v>
      </c>
    </row>
    <row r="8" spans="2:14" customFormat="1" ht="51" customHeight="1">
      <c r="B8" s="259" t="s">
        <v>276</v>
      </c>
      <c r="C8" s="260" t="s">
        <v>232</v>
      </c>
      <c r="D8" s="260" t="s">
        <v>277</v>
      </c>
      <c r="E8" s="260" t="s">
        <v>278</v>
      </c>
      <c r="F8" s="260" t="s">
        <v>279</v>
      </c>
      <c r="G8" s="260" t="s">
        <v>280</v>
      </c>
      <c r="H8" s="260" t="s">
        <v>281</v>
      </c>
      <c r="I8" s="260" t="s">
        <v>17</v>
      </c>
      <c r="J8" s="260" t="s">
        <v>282</v>
      </c>
      <c r="K8" s="260" t="s">
        <v>282</v>
      </c>
      <c r="L8" s="261" t="s">
        <v>283</v>
      </c>
      <c r="M8" s="262"/>
      <c r="N8" s="263"/>
    </row>
    <row r="9" spans="2:14" ht="103.9" customHeight="1">
      <c r="B9" s="266" t="s">
        <v>284</v>
      </c>
      <c r="C9" s="165" t="s">
        <v>285</v>
      </c>
      <c r="D9" s="267" t="s">
        <v>286</v>
      </c>
      <c r="E9" s="166" t="str">
        <f>_xlfn.XLOOKUP($B9,'BASE DE PONTOS V+'!$B:$B,'BASE DE PONTOS V+'!$D:$D)</f>
        <v>Verificamos que ocorreram gastos sem a respectiva emissão de documento fiscal pelos fornecedores e/ou prestadores de serviços.</v>
      </c>
      <c r="F9" s="166" t="str">
        <f>_xlfn.XLOOKUP($B9,'BASE DE PONTOS V+'!$B:$B,'BASE DE PONTOS V+'!$F:$F)</f>
        <v>Pagamentos sem os respectivos documentos fiscais dos fornecedores/prestadores de serviços não são permitidos pela legislação brasileira, assim como Convenção e Regimento Interno do Condomínio. Dessa forma, o mesmo pode ser multado e/ou sofrer outras penalidades impostas pelo fisco.</v>
      </c>
      <c r="G9" s="169">
        <f>_xlfn.XLOOKUP(B9,'BASE DE PONTOS V+'!B:B,'BASE DE PONTOS V+'!E:E)</f>
        <v>17679.82</v>
      </c>
      <c r="H9" s="166" t="str">
        <f>_xlfn.XLOOKUP($B9,'BASE DE PONTOS V+'!$B:$B,'BASE DE PONTOS V+'!$G:$G)</f>
        <v>Sugerimos que seja solicitado aos respectivos fornecedores/ prestadores de serviços a nota fiscal pelo fornecimento de material ou de prestação de serviço.</v>
      </c>
      <c r="I9" s="167" t="str">
        <f>_xlfn.XLOOKUP($B9,'BASE DE PONTOS V+'!$B:$B,'BASE DE PONTOS V+'!$H:$H)</f>
        <v>Legal</v>
      </c>
      <c r="J9" s="168" t="s">
        <v>287</v>
      </c>
      <c r="K9" s="168">
        <f>_xlfn.XLOOKUP($B9,'BASE DE PONTOS V+'!$B:$B,'BASE DE PONTOS V+'!$M:$M)</f>
        <v>0</v>
      </c>
      <c r="L9" s="175" t="str">
        <f>_xlfn.XLOOKUP(B9,'BASE DE PONTOS V+'!B:B,'BASE DE PONTOS V+'!J:J)</f>
        <v>Alto Impacto</v>
      </c>
      <c r="M9" s="338" t="str">
        <f>_xlfn.XLOOKUP(D9,'BASE DE PONTOS V+'!C:C,'BASE DE PONTOS V+'!L:L)</f>
        <v xml:space="preserve">•	08/11/2022
•	Novo
■	Vorcon Auditoria &amp; Consultoria
</v>
      </c>
      <c r="N9" s="311" t="str">
        <f>IF(B9="","",IFERROR(IF(I9="Financeiro",VLOOKUP(G9,'BASE DA MATRIZ DE RISCOS'!$O$58:$Q$62,3,1),"Avaliar por julgameto"),"1"))</f>
        <v>Avaliar por julgameto</v>
      </c>
    </row>
    <row r="10" spans="2:14" ht="73.900000000000006" customHeight="1">
      <c r="B10" s="266" t="s">
        <v>288</v>
      </c>
      <c r="C10" s="165" t="s">
        <v>289</v>
      </c>
      <c r="D10" s="267" t="s">
        <v>290</v>
      </c>
      <c r="E10" s="166" t="str">
        <f>_xlfn.XLOOKUP($B10,'BASE DE PONTOS V+'!$B:$B,'BASE DE PONTOS V+'!$D:$D)</f>
        <v>Constatamos que alguns pagamentos foram realizados sem que fossem anexados os respectivos comprovantes de pagamentos ou documentos equivalentes dando a respectiva quitação.</v>
      </c>
      <c r="F10" s="167" t="str">
        <f>_xlfn.XLOOKUP($B10,'BASE DE PONTOS V+'!$B:$B,'BASE DE PONTOS V+'!$F:$F)</f>
        <v>Possibilidade de pagamento duplicado dos valores, ou caso haja a solicitação dos comprovantes de pagamentos o Condomínio não os possua.</v>
      </c>
      <c r="G10" s="169">
        <f>_xlfn.XLOOKUP(B10,'BASE DE PONTOS V+'!B:B,'BASE DE PONTOS V+'!E:E)</f>
        <v>1558.2399999999998</v>
      </c>
      <c r="H10" s="167" t="str">
        <f>_xlfn.XLOOKUP($B10,'BASE DE PONTOS V+'!$B:$B,'BASE DE PONTOS V+'!$G:$G)</f>
        <v>Sugerimos que sejam criados controles para que os comprovantes de pagamentos estejam anexados com seus respectivos documentos.</v>
      </c>
      <c r="I10" s="167" t="str">
        <f>_xlfn.XLOOKUP($B10,'BASE DE PONTOS V+'!$B:$B,'BASE DE PONTOS V+'!$H:$H)</f>
        <v>Financeiro</v>
      </c>
      <c r="J10" s="168" t="s">
        <v>287</v>
      </c>
      <c r="K10" s="168">
        <f>_xlfn.XLOOKUP($B10,'BASE DE PONTOS V+'!$B:$B,'BASE DE PONTOS V+'!$M:$M)</f>
        <v>0</v>
      </c>
      <c r="L10" s="175" t="str">
        <f>_xlfn.XLOOKUP(B10,'BASE DE PONTOS V+'!B:B,'BASE DE PONTOS V+'!J:J)</f>
        <v>Baixo Impacto</v>
      </c>
      <c r="M10" s="338" t="str">
        <f>_xlfn.XLOOKUP(D10,'BASE DE PONTOS V+'!C:C,'BASE DE PONTOS V+'!L:L)</f>
        <v xml:space="preserve">•	08/11/2022
•	Novo
■	Vorcon Auditoria &amp; Consultoria
</v>
      </c>
      <c r="N10" s="311">
        <f>IF(B10="","",IFERROR(IF(I10="Financeiro",VLOOKUP(G10,'BASE DA MATRIZ DE RISCOS'!$O$58:$Q$62,3,1),"Avaliar por julgameto"),"1"))</f>
        <v>1</v>
      </c>
    </row>
    <row r="11" spans="2:14" ht="73.900000000000006" customHeight="1">
      <c r="B11" s="266" t="s">
        <v>291</v>
      </c>
      <c r="C11" s="165" t="s">
        <v>292</v>
      </c>
      <c r="D11" s="267" t="s">
        <v>293</v>
      </c>
      <c r="E11" s="166" t="str">
        <f>_xlfn.XLOOKUP($B11,'BASE DE PONTOS V+'!$B:$B,'BASE DE PONTOS V+'!$D:$D)</f>
        <v>Verificamos que alguns comprovantes não estão sendo arquivados com os cuidados necessários, com isso alguns estão ilegíveis.</v>
      </c>
      <c r="F11" s="167" t="str">
        <f>_xlfn.XLOOKUP($B11,'BASE DE PONTOS V+'!$B:$B,'BASE DE PONTOS V+'!$F:$F)</f>
        <v>Possível dificuldade e/ou impossibilidade na visualização dos gastos e dúvidas quanto a possíveis consultas no futuro em função do estado dos documentos.</v>
      </c>
      <c r="G11" s="169">
        <f>_xlfn.XLOOKUP(B11,'BASE DE PONTOS V+'!B:B,'BASE DE PONTOS V+'!E:E)</f>
        <v>118.82000000000001</v>
      </c>
      <c r="H11" s="167" t="str">
        <f>_xlfn.XLOOKUP($B11,'BASE DE PONTOS V+'!$B:$B,'BASE DE PONTOS V+'!$G:$G)</f>
        <v>Sugerimos aperfeiçoamento dos controles internos para que no momento do recebimento das documentações sejam retiradas as cópias ou ocorram as digitalizações visando preservar as informações.</v>
      </c>
      <c r="I11" s="167" t="str">
        <f>_xlfn.XLOOKUP($B11,'BASE DE PONTOS V+'!$B:$B,'BASE DE PONTOS V+'!$H:$H)</f>
        <v>Operacional</v>
      </c>
      <c r="J11" s="168" t="s">
        <v>287</v>
      </c>
      <c r="K11" s="168">
        <f>_xlfn.XLOOKUP($B11,'BASE DE PONTOS V+'!$B:$B,'BASE DE PONTOS V+'!$M:$M)</f>
        <v>0</v>
      </c>
      <c r="L11" s="175" t="str">
        <f>_xlfn.XLOOKUP(B11,'BASE DE PONTOS V+'!B:B,'BASE DE PONTOS V+'!J:J)</f>
        <v>Baixo Impacto</v>
      </c>
      <c r="M11" s="338" t="str">
        <f>_xlfn.XLOOKUP(D11,'BASE DE PONTOS V+'!C:C,'BASE DE PONTOS V+'!L:L)</f>
        <v xml:space="preserve">•	08/11/2022
•	Novo
■	Vorcon Auditoria &amp; Consultoria
</v>
      </c>
      <c r="N11" s="311" t="str">
        <f>IF(B11="","",IFERROR(IF(I11="Financeiro",VLOOKUP(G11,'BASE DA MATRIZ DE RISCOS'!$O$58:$Q$62,3,1),"Avaliar por julgameto"),"1"))</f>
        <v>Avaliar por julgameto</v>
      </c>
    </row>
    <row r="12" spans="2:14" ht="73.900000000000006" customHeight="1">
      <c r="B12" s="266" t="s">
        <v>294</v>
      </c>
      <c r="C12" s="165" t="s">
        <v>295</v>
      </c>
      <c r="D12" s="267" t="s">
        <v>296</v>
      </c>
      <c r="E12" s="166" t="str">
        <f>_xlfn.XLOOKUP($B12,'BASE DE PONTOS V+'!$B:$B,'BASE DE PONTOS V+'!$D:$D)</f>
        <v>Desorganização da documentação suporte dificultam a análise de todas as partes envolvidas.</v>
      </c>
      <c r="F12" s="167" t="str">
        <f>_xlfn.XLOOKUP($B12,'BASE DE PONTOS V+'!$B:$B,'BASE DE PONTOS V+'!$F:$F)</f>
        <v>A ausência de apresentação de forma tempestiva dos documentos financeiros poderá afetar diretamente o fluxo de caixa e o controle do financeiro do condomínio.</v>
      </c>
      <c r="G12" s="169">
        <f>_xlfn.XLOOKUP(B12,'BASE DE PONTOS V+'!B:B,'BASE DE PONTOS V+'!E:E)</f>
        <v>418.07</v>
      </c>
      <c r="H12" s="167" t="str">
        <f>_xlfn.XLOOKUP($B12,'BASE DE PONTOS V+'!$B:$B,'BASE DE PONTOS V+'!$G:$G)</f>
        <v xml:space="preserve">Recomendamos que a prestação de contas seja realizada conforme o período correspondente as despesas.
</v>
      </c>
      <c r="I12" s="167" t="str">
        <f>_xlfn.XLOOKUP($B12,'BASE DE PONTOS V+'!$B:$B,'BASE DE PONTOS V+'!$H:$H)</f>
        <v>Operacional</v>
      </c>
      <c r="J12" s="168" t="s">
        <v>287</v>
      </c>
      <c r="K12" s="168">
        <f>_xlfn.XLOOKUP($B12,'BASE DE PONTOS V+'!$B:$B,'BASE DE PONTOS V+'!$M:$M)</f>
        <v>0</v>
      </c>
      <c r="L12" s="175" t="str">
        <f>_xlfn.XLOOKUP(B12,'BASE DE PONTOS V+'!B:B,'BASE DE PONTOS V+'!J:J)</f>
        <v>Baixo Impacto</v>
      </c>
      <c r="M12" s="338" t="str">
        <f>_xlfn.XLOOKUP(D12,'BASE DE PONTOS V+'!C:C,'BASE DE PONTOS V+'!L:L)</f>
        <v xml:space="preserve">•	08/11/2022
•	Novo
■	Vorcon Auditoria &amp; Consultoria
</v>
      </c>
      <c r="N12" s="311" t="str">
        <f>IF(B12="","",IFERROR(IF(I12="Financeiro",VLOOKUP(G12,'BASE DA MATRIZ DE RISCOS'!$O$58:$Q$62,3,1),"Avaliar por julgameto"),"1"))</f>
        <v>Avaliar por julgameto</v>
      </c>
    </row>
    <row r="13" spans="2:14" ht="73.900000000000006" customHeight="1">
      <c r="B13" s="266" t="s">
        <v>297</v>
      </c>
      <c r="C13" s="165" t="s">
        <v>298</v>
      </c>
      <c r="D13" s="267" t="s">
        <v>299</v>
      </c>
      <c r="E13" s="166" t="str">
        <f>_xlfn.XLOOKUP($B13,'BASE DE PONTOS V+'!$B:$B,'BASE DE PONTOS V+'!$D:$D)</f>
        <v>Verificamos que há desorganização das informações na demonstração financeira que dificultam na análise de todas as partes envolvidas.</v>
      </c>
      <c r="F13" s="167" t="str">
        <f>_xlfn.XLOOKUP($B13,'BASE DE PONTOS V+'!$B:$B,'BASE DE PONTOS V+'!$F:$F)</f>
        <v>A falta de apresentação de maneira tempestiva das informações financeiras poderá afetar diretamente o controle financeiro do condomínio e o entendimento dos Demonstrativos.</v>
      </c>
      <c r="G13" s="169">
        <f>_xlfn.XLOOKUP(B13,'BASE DE PONTOS V+'!B:B,'BASE DE PONTOS V+'!E:E)</f>
        <v>418.07</v>
      </c>
      <c r="H13" s="167" t="str">
        <f>_xlfn.XLOOKUP($B13,'BASE DE PONTOS V+'!$B:$B,'BASE DE PONTOS V+'!$G:$G)</f>
        <v>Indicamos que as informações apresentadas nas Demonstrações Financeiras sejam realizadas conforme o período correspondente.</v>
      </c>
      <c r="I13" s="167" t="str">
        <f>_xlfn.XLOOKUP($B13,'BASE DE PONTOS V+'!$B:$B,'BASE DE PONTOS V+'!$H:$H)</f>
        <v>Financeiro</v>
      </c>
      <c r="J13" s="168" t="s">
        <v>287</v>
      </c>
      <c r="K13" s="168">
        <f>_xlfn.XLOOKUP($B13,'BASE DE PONTOS V+'!$B:$B,'BASE DE PONTOS V+'!$M:$M)</f>
        <v>0</v>
      </c>
      <c r="L13" s="175" t="str">
        <f>_xlfn.XLOOKUP(B13,'BASE DE PONTOS V+'!B:B,'BASE DE PONTOS V+'!J:J)</f>
        <v>Baixo Impacto</v>
      </c>
      <c r="M13" s="338" t="str">
        <f>_xlfn.XLOOKUP(D13,'BASE DE PONTOS V+'!C:C,'BASE DE PONTOS V+'!L:L)</f>
        <v xml:space="preserve">•	08/11/2022
•	Novo
■	Vorcon Auditoria &amp; Consultoria
</v>
      </c>
      <c r="N13" s="311">
        <f>IF(B13="","",IFERROR(IF(I13="Financeiro",VLOOKUP(G13,'BASE DA MATRIZ DE RISCOS'!$O$58:$Q$62,3,1),"Avaliar por julgameto"),"1"))</f>
        <v>1</v>
      </c>
    </row>
    <row r="14" spans="2:14" ht="73.900000000000006" customHeight="1">
      <c r="B14" s="266" t="s">
        <v>300</v>
      </c>
      <c r="C14" s="165" t="s">
        <v>301</v>
      </c>
      <c r="D14" s="267" t="s">
        <v>302</v>
      </c>
      <c r="E14" s="166" t="str">
        <f>_xlfn.XLOOKUP($B14,'BASE DE PONTOS V+'!$B:$B,'BASE DE PONTOS V+'!$D:$D)</f>
        <v>Verificamos que alguns pagamentos foram realizados após a data de vencimento acarretando em gastos adicionais.</v>
      </c>
      <c r="F14" s="167" t="str">
        <f>_xlfn.XLOOKUP($B14,'BASE DE PONTOS V+'!$B:$B,'BASE DE PONTOS V+'!$F:$F)</f>
        <v>Possibilidade do condomínio incorrer em gastos desnecessários</v>
      </c>
      <c r="G14" s="169">
        <f>_xlfn.XLOOKUP(B14,'BASE DE PONTOS V+'!B:B,'BASE DE PONTOS V+'!E:E)</f>
        <v>10.37</v>
      </c>
      <c r="H14" s="167" t="str">
        <f>_xlfn.XLOOKUP($B14,'BASE DE PONTOS V+'!$B:$B,'BASE DE PONTOS V+'!$G:$G)</f>
        <v>Sugerimos que seja elaborado um controle de vencimento das despesas e que sejam efetuados os pagamentos até o vencimento.</v>
      </c>
      <c r="I14" s="167" t="str">
        <f>_xlfn.XLOOKUP($B14,'BASE DE PONTOS V+'!$B:$B,'BASE DE PONTOS V+'!$H:$H)</f>
        <v>Financeiro</v>
      </c>
      <c r="J14" s="168" t="s">
        <v>287</v>
      </c>
      <c r="K14" s="168">
        <f>_xlfn.XLOOKUP($B14,'BASE DE PONTOS V+'!$B:$B,'BASE DE PONTOS V+'!$M:$M)</f>
        <v>0</v>
      </c>
      <c r="L14" s="175" t="str">
        <f>_xlfn.XLOOKUP(B14,'BASE DE PONTOS V+'!B:B,'BASE DE PONTOS V+'!J:J)</f>
        <v>Baixo Impacto</v>
      </c>
      <c r="M14" s="338" t="str">
        <f>_xlfn.XLOOKUP(D14,'BASE DE PONTOS V+'!C:C,'BASE DE PONTOS V+'!L:L)</f>
        <v xml:space="preserve">•	08/11/2022
•	Novo
■	Vorcon Auditoria &amp; Consultoria
</v>
      </c>
      <c r="N14" s="311">
        <f>IF(B14="","",IFERROR(IF(I14="Financeiro",VLOOKUP(G14,'BASE DA MATRIZ DE RISCOS'!$O$58:$Q$62,3,1),"Avaliar por julgameto"),"1"))</f>
        <v>1</v>
      </c>
    </row>
    <row r="15" spans="2:14" ht="73.900000000000006" customHeight="1">
      <c r="B15" s="266" t="s">
        <v>303</v>
      </c>
      <c r="C15" s="165" t="s">
        <v>304</v>
      </c>
      <c r="D15" s="267" t="s">
        <v>305</v>
      </c>
      <c r="E15" s="166" t="str">
        <f>_xlfn.XLOOKUP($B15,'BASE DE PONTOS V+'!$B:$B,'BASE DE PONTOS V+'!$D:$D)</f>
        <v>Verificamos que ocorreram pagamentos onde a emissão da  documentação fiscal é posterior a data em que a transação bancária foi realizada.</v>
      </c>
      <c r="F15" s="167" t="str">
        <f>_xlfn.XLOOKUP($B15,'BASE DE PONTOS V+'!$B:$B,'BASE DE PONTOS V+'!$F:$F)</f>
        <v>O pagamento antes da emissão das notas fiscais traz uma vulnerabilidade a respeito do cumprimento das melhores práticas de gestão podendo gerar penalidades tributárias.</v>
      </c>
      <c r="G15" s="169">
        <f>_xlfn.XLOOKUP(B15,'BASE DE PONTOS V+'!B:B,'BASE DE PONTOS V+'!E:E)</f>
        <v>3563.1600000000003</v>
      </c>
      <c r="H15" s="167" t="str">
        <f>_xlfn.XLOOKUP($B15,'BASE DE PONTOS V+'!$B:$B,'BASE DE PONTOS V+'!$G:$G)</f>
        <v>Recomendamos que seja verificada a emissão da nota fiscal antes da realização do pagamento.</v>
      </c>
      <c r="I15" s="167" t="str">
        <f>_xlfn.XLOOKUP($B15,'BASE DE PONTOS V+'!$B:$B,'BASE DE PONTOS V+'!$H:$H)</f>
        <v>Legal</v>
      </c>
      <c r="J15" s="168" t="s">
        <v>287</v>
      </c>
      <c r="K15" s="168">
        <f>_xlfn.XLOOKUP($B15,'BASE DE PONTOS V+'!$B:$B,'BASE DE PONTOS V+'!$M:$M)</f>
        <v>0</v>
      </c>
      <c r="L15" s="175" t="str">
        <f>_xlfn.XLOOKUP(B15,'BASE DE PONTOS V+'!B:B,'BASE DE PONTOS V+'!J:J)</f>
        <v>médio impacto</v>
      </c>
      <c r="M15" s="338" t="str">
        <f>_xlfn.XLOOKUP(D15,'BASE DE PONTOS V+'!C:C,'BASE DE PONTOS V+'!L:L)</f>
        <v xml:space="preserve">•	08/11/2022
•	Novo
■	Vorcon Auditoria &amp; Consultoria
</v>
      </c>
      <c r="N15" s="311" t="str">
        <f>IF(B15="","",IFERROR(IF(I15="Financeiro",VLOOKUP(G15,'BASE DA MATRIZ DE RISCOS'!$O$58:$Q$62,3,1),"Avaliar por julgameto"),"1"))</f>
        <v>Avaliar por julgameto</v>
      </c>
    </row>
    <row r="16" spans="2:14" ht="73.900000000000006" customHeight="1">
      <c r="B16" s="266" t="s">
        <v>306</v>
      </c>
      <c r="C16" s="165" t="s">
        <v>307</v>
      </c>
      <c r="D16" s="267" t="s">
        <v>308</v>
      </c>
      <c r="E16" s="170" t="s">
        <v>309</v>
      </c>
      <c r="F16" s="170" t="s">
        <v>310</v>
      </c>
      <c r="G16" s="169" t="s">
        <v>311</v>
      </c>
      <c r="H16" s="170" t="s">
        <v>312</v>
      </c>
      <c r="I16" s="171" t="s">
        <v>313</v>
      </c>
      <c r="J16" s="172" t="s">
        <v>314</v>
      </c>
      <c r="K16" s="168">
        <v>0</v>
      </c>
      <c r="L16" s="175" t="s">
        <v>315</v>
      </c>
      <c r="M16" s="338" t="s">
        <v>316</v>
      </c>
      <c r="N16" s="311" t="s">
        <v>317</v>
      </c>
    </row>
    <row r="17" spans="2:14" ht="73.900000000000006" customHeight="1">
      <c r="B17" s="266" t="s">
        <v>318</v>
      </c>
      <c r="C17" s="165" t="s">
        <v>319</v>
      </c>
      <c r="D17" s="267" t="s">
        <v>320</v>
      </c>
      <c r="E17" s="170" t="s">
        <v>321</v>
      </c>
      <c r="F17" s="170" t="s">
        <v>322</v>
      </c>
      <c r="G17" s="169" t="s">
        <v>311</v>
      </c>
      <c r="H17" s="170" t="s">
        <v>323</v>
      </c>
      <c r="I17" s="171" t="s">
        <v>313</v>
      </c>
      <c r="J17" s="172" t="s">
        <v>314</v>
      </c>
      <c r="K17" s="168">
        <v>0</v>
      </c>
      <c r="L17" s="175" t="s">
        <v>324</v>
      </c>
      <c r="M17" s="338" t="s">
        <v>316</v>
      </c>
      <c r="N17" s="311" t="s">
        <v>317</v>
      </c>
    </row>
    <row r="18" spans="2:14" ht="73.900000000000006" customHeight="1">
      <c r="B18" s="266" t="s">
        <v>325</v>
      </c>
      <c r="C18" s="165" t="s">
        <v>326</v>
      </c>
      <c r="D18" s="267" t="s">
        <v>327</v>
      </c>
      <c r="E18" s="170" t="s">
        <v>328</v>
      </c>
      <c r="F18" s="170" t="s">
        <v>329</v>
      </c>
      <c r="G18" s="169" t="s">
        <v>311</v>
      </c>
      <c r="H18" s="170" t="s">
        <v>330</v>
      </c>
      <c r="I18" s="171" t="s">
        <v>331</v>
      </c>
      <c r="J18" s="172" t="s">
        <v>42</v>
      </c>
      <c r="K18" s="168">
        <v>0</v>
      </c>
      <c r="L18" s="175" t="s">
        <v>315</v>
      </c>
      <c r="M18" s="338" t="s">
        <v>316</v>
      </c>
      <c r="N18" s="311" t="s">
        <v>317</v>
      </c>
    </row>
    <row r="19" spans="2:14" ht="73.900000000000006" customHeight="1">
      <c r="B19" s="266" t="s">
        <v>332</v>
      </c>
      <c r="C19" s="165" t="s">
        <v>333</v>
      </c>
      <c r="D19" s="267" t="s">
        <v>334</v>
      </c>
      <c r="E19" s="170" t="s">
        <v>335</v>
      </c>
      <c r="F19" s="170" t="s">
        <v>336</v>
      </c>
      <c r="G19" s="169" t="s">
        <v>311</v>
      </c>
      <c r="H19" s="170" t="s">
        <v>337</v>
      </c>
      <c r="I19" s="171" t="s">
        <v>331</v>
      </c>
      <c r="J19" s="172" t="s">
        <v>338</v>
      </c>
      <c r="K19" s="168">
        <v>0</v>
      </c>
      <c r="L19" s="175" t="s">
        <v>315</v>
      </c>
      <c r="M19" s="338" t="s">
        <v>316</v>
      </c>
      <c r="N19" s="311" t="s">
        <v>317</v>
      </c>
    </row>
    <row r="20" spans="2:14" ht="73.900000000000006" customHeight="1">
      <c r="B20" s="266" t="s">
        <v>339</v>
      </c>
      <c r="C20" s="165" t="s">
        <v>340</v>
      </c>
      <c r="D20" s="267" t="s">
        <v>341</v>
      </c>
      <c r="E20" s="170" t="s">
        <v>342</v>
      </c>
      <c r="F20" s="170" t="s">
        <v>343</v>
      </c>
      <c r="G20" s="169" t="s">
        <v>311</v>
      </c>
      <c r="H20" s="170" t="s">
        <v>344</v>
      </c>
      <c r="I20" s="171" t="s">
        <v>313</v>
      </c>
      <c r="J20" s="172" t="s">
        <v>314</v>
      </c>
      <c r="K20" s="168">
        <v>0</v>
      </c>
      <c r="L20" s="175" t="s">
        <v>324</v>
      </c>
      <c r="M20" s="338" t="s">
        <v>316</v>
      </c>
      <c r="N20" s="311" t="s">
        <v>317</v>
      </c>
    </row>
    <row r="21" spans="2:14" ht="73.900000000000006" customHeight="1">
      <c r="B21" s="266" t="s">
        <v>345</v>
      </c>
      <c r="C21" s="165" t="s">
        <v>346</v>
      </c>
      <c r="D21" s="267" t="s">
        <v>347</v>
      </c>
      <c r="E21" s="170" t="s">
        <v>348</v>
      </c>
      <c r="F21" s="170" t="s">
        <v>349</v>
      </c>
      <c r="G21" s="169">
        <v>1000</v>
      </c>
      <c r="H21" s="170" t="s">
        <v>350</v>
      </c>
      <c r="I21" s="171" t="s">
        <v>351</v>
      </c>
      <c r="J21" s="172" t="s">
        <v>89</v>
      </c>
      <c r="K21" s="168">
        <v>0</v>
      </c>
      <c r="L21" s="175" t="s">
        <v>352</v>
      </c>
      <c r="M21" s="338" t="e">
        <v>#N/A</v>
      </c>
      <c r="N21" s="311">
        <v>1</v>
      </c>
    </row>
    <row r="22" spans="2:14" ht="73.900000000000006" customHeight="1">
      <c r="B22" s="266" t="s">
        <v>353</v>
      </c>
      <c r="C22" s="165" t="s">
        <v>354</v>
      </c>
      <c r="D22" s="267" t="s">
        <v>355</v>
      </c>
      <c r="E22" s="170" t="s">
        <v>356</v>
      </c>
      <c r="F22" s="170" t="s">
        <v>357</v>
      </c>
      <c r="G22" s="169" t="s">
        <v>311</v>
      </c>
      <c r="H22" s="170" t="s">
        <v>358</v>
      </c>
      <c r="I22" s="171" t="s">
        <v>351</v>
      </c>
      <c r="J22" s="172" t="s">
        <v>89</v>
      </c>
      <c r="K22" s="168">
        <v>0</v>
      </c>
      <c r="L22" s="175" t="s">
        <v>352</v>
      </c>
      <c r="M22" s="338" t="s">
        <v>316</v>
      </c>
      <c r="N22" s="311" t="s">
        <v>359</v>
      </c>
    </row>
    <row r="23" spans="2:14" ht="73.900000000000006" customHeight="1">
      <c r="B23" s="266" t="s">
        <v>360</v>
      </c>
      <c r="C23" s="165" t="s">
        <v>361</v>
      </c>
      <c r="D23" s="267" t="s">
        <v>362</v>
      </c>
      <c r="E23" s="170" t="s">
        <v>363</v>
      </c>
      <c r="F23" s="170" t="s">
        <v>364</v>
      </c>
      <c r="G23" s="169">
        <v>2117.9899999999998</v>
      </c>
      <c r="H23" s="170" t="s">
        <v>365</v>
      </c>
      <c r="I23" s="171" t="s">
        <v>351</v>
      </c>
      <c r="J23" s="172" t="s">
        <v>89</v>
      </c>
      <c r="K23" s="168">
        <v>0</v>
      </c>
      <c r="L23" s="175" t="s">
        <v>352</v>
      </c>
      <c r="M23" s="338" t="s">
        <v>316</v>
      </c>
      <c r="N23" s="311">
        <v>1</v>
      </c>
    </row>
    <row r="24" spans="2:14" ht="73.900000000000006" customHeight="1">
      <c r="B24" s="266" t="s">
        <v>366</v>
      </c>
      <c r="C24" s="165" t="s">
        <v>367</v>
      </c>
      <c r="D24" s="267" t="s">
        <v>368</v>
      </c>
      <c r="E24" s="170" t="s">
        <v>369</v>
      </c>
      <c r="F24" s="170" t="s">
        <v>370</v>
      </c>
      <c r="G24" s="169" t="s">
        <v>311</v>
      </c>
      <c r="H24" s="170" t="s">
        <v>371</v>
      </c>
      <c r="I24" s="171" t="s">
        <v>351</v>
      </c>
      <c r="J24" s="172" t="s">
        <v>89</v>
      </c>
      <c r="K24" s="168">
        <v>0</v>
      </c>
      <c r="L24" s="175" t="s">
        <v>352</v>
      </c>
      <c r="M24" s="338" t="s">
        <v>316</v>
      </c>
      <c r="N24" s="311" t="s">
        <v>359</v>
      </c>
    </row>
    <row r="25" spans="2:14" ht="73.900000000000006" customHeight="1">
      <c r="B25" s="266" t="s">
        <v>372</v>
      </c>
      <c r="C25" s="165" t="s">
        <v>373</v>
      </c>
      <c r="D25" s="267" t="s">
        <v>374</v>
      </c>
      <c r="E25" s="170" t="s">
        <v>375</v>
      </c>
      <c r="F25" s="170" t="s">
        <v>376</v>
      </c>
      <c r="G25" s="169">
        <v>109</v>
      </c>
      <c r="H25" s="170" t="s">
        <v>377</v>
      </c>
      <c r="I25" s="171" t="s">
        <v>351</v>
      </c>
      <c r="J25" s="172" t="s">
        <v>92</v>
      </c>
      <c r="K25" s="168">
        <v>0</v>
      </c>
      <c r="L25" s="175" t="s">
        <v>352</v>
      </c>
      <c r="M25" s="338" t="s">
        <v>316</v>
      </c>
      <c r="N25" s="311">
        <v>1</v>
      </c>
    </row>
    <row r="26" spans="2:14" ht="73.900000000000006" customHeight="1">
      <c r="B26" s="266" t="s">
        <v>378</v>
      </c>
      <c r="C26" s="165" t="s">
        <v>379</v>
      </c>
      <c r="D26" s="267" t="s">
        <v>380</v>
      </c>
      <c r="E26" s="170" t="s">
        <v>381</v>
      </c>
      <c r="F26" s="170" t="s">
        <v>382</v>
      </c>
      <c r="G26" s="169" t="s">
        <v>311</v>
      </c>
      <c r="H26" s="170" t="s">
        <v>383</v>
      </c>
      <c r="I26" s="171" t="s">
        <v>384</v>
      </c>
      <c r="J26" s="172" t="s">
        <v>287</v>
      </c>
      <c r="K26" s="168">
        <v>0</v>
      </c>
      <c r="L26" s="175" t="s">
        <v>352</v>
      </c>
      <c r="M26" s="338" t="s">
        <v>316</v>
      </c>
      <c r="N26" s="311" t="s">
        <v>317</v>
      </c>
    </row>
    <row r="27" spans="2:14" ht="73.900000000000006" customHeight="1">
      <c r="B27" s="266" t="s">
        <v>385</v>
      </c>
      <c r="C27" s="165" t="s">
        <v>386</v>
      </c>
      <c r="D27" s="267" t="s">
        <v>387</v>
      </c>
      <c r="E27" s="170" t="s">
        <v>388</v>
      </c>
      <c r="F27" s="170" t="s">
        <v>389</v>
      </c>
      <c r="G27" s="169" t="s">
        <v>311</v>
      </c>
      <c r="H27" s="170" t="s">
        <v>390</v>
      </c>
      <c r="I27" s="171" t="s">
        <v>351</v>
      </c>
      <c r="J27" s="172" t="s">
        <v>391</v>
      </c>
      <c r="K27" s="168">
        <v>0</v>
      </c>
      <c r="L27" s="175" t="s">
        <v>315</v>
      </c>
      <c r="M27" s="338" t="s">
        <v>316</v>
      </c>
      <c r="N27" s="311" t="s">
        <v>359</v>
      </c>
    </row>
    <row r="28" spans="2:14" ht="73.900000000000006" customHeight="1">
      <c r="B28" s="266" t="s">
        <v>392</v>
      </c>
      <c r="C28" s="165" t="s">
        <v>393</v>
      </c>
      <c r="D28" s="267" t="s">
        <v>394</v>
      </c>
      <c r="E28" s="170" t="s">
        <v>395</v>
      </c>
      <c r="F28" s="170">
        <v>0</v>
      </c>
      <c r="G28" s="169" t="s">
        <v>396</v>
      </c>
      <c r="H28" s="170">
        <v>0</v>
      </c>
      <c r="I28" s="171" t="s">
        <v>351</v>
      </c>
      <c r="J28" s="172" t="s">
        <v>397</v>
      </c>
      <c r="K28" s="168">
        <v>0</v>
      </c>
      <c r="L28" s="175" t="s">
        <v>324</v>
      </c>
      <c r="M28" s="338" t="e">
        <v>#N/A</v>
      </c>
      <c r="N28" s="311" t="s">
        <v>359</v>
      </c>
    </row>
    <row r="29" spans="2:14" ht="73.900000000000006" customHeight="1">
      <c r="B29" s="266" t="s">
        <v>398</v>
      </c>
      <c r="C29" s="165" t="s">
        <v>399</v>
      </c>
      <c r="D29" s="267" t="s">
        <v>400</v>
      </c>
      <c r="E29" s="170" t="s">
        <v>401</v>
      </c>
      <c r="F29" s="170">
        <v>0</v>
      </c>
      <c r="G29" s="169">
        <v>396946.2</v>
      </c>
      <c r="H29" s="170">
        <v>0</v>
      </c>
      <c r="I29" s="171" t="s">
        <v>313</v>
      </c>
      <c r="J29" s="172" t="s">
        <v>397</v>
      </c>
      <c r="K29" s="168">
        <v>0</v>
      </c>
      <c r="L29" s="175" t="s">
        <v>315</v>
      </c>
      <c r="M29" s="338" t="s">
        <v>316</v>
      </c>
      <c r="N29" s="311" t="s">
        <v>317</v>
      </c>
    </row>
    <row r="30" spans="2:14" ht="73.900000000000006" customHeight="1">
      <c r="B30" s="266" t="s">
        <v>402</v>
      </c>
      <c r="C30" s="165" t="s">
        <v>403</v>
      </c>
      <c r="D30" s="267" t="s">
        <v>404</v>
      </c>
      <c r="E30" s="170" t="s">
        <v>405</v>
      </c>
      <c r="F30" s="170">
        <v>0</v>
      </c>
      <c r="G30" s="169">
        <v>32000</v>
      </c>
      <c r="H30" s="170" t="s">
        <v>406</v>
      </c>
      <c r="I30" s="171" t="s">
        <v>351</v>
      </c>
      <c r="J30" s="172" t="s">
        <v>397</v>
      </c>
      <c r="K30" s="168">
        <v>0</v>
      </c>
      <c r="L30" s="175" t="s">
        <v>324</v>
      </c>
      <c r="M30" s="338" t="s">
        <v>316</v>
      </c>
      <c r="N30" s="311">
        <v>2</v>
      </c>
    </row>
    <row r="31" spans="2:14" ht="73.900000000000006" customHeight="1">
      <c r="B31" s="266" t="s">
        <v>407</v>
      </c>
      <c r="C31" s="165" t="s">
        <v>408</v>
      </c>
      <c r="D31" s="267" t="s">
        <v>409</v>
      </c>
      <c r="E31" s="170" t="s">
        <v>410</v>
      </c>
      <c r="F31" s="170">
        <v>0</v>
      </c>
      <c r="G31" s="169">
        <v>1503630.42</v>
      </c>
      <c r="H31" s="170">
        <v>0</v>
      </c>
      <c r="I31" s="171" t="s">
        <v>313</v>
      </c>
      <c r="J31" s="172" t="s">
        <v>397</v>
      </c>
      <c r="K31" s="168">
        <v>0</v>
      </c>
      <c r="L31" s="175" t="s">
        <v>324</v>
      </c>
      <c r="M31" s="338" t="s">
        <v>316</v>
      </c>
      <c r="N31" s="311" t="s">
        <v>317</v>
      </c>
    </row>
    <row r="32" spans="2:14" ht="73.900000000000006" customHeight="1">
      <c r="B32" s="266" t="s">
        <v>411</v>
      </c>
      <c r="C32" s="165" t="s">
        <v>412</v>
      </c>
      <c r="D32" s="267" t="s">
        <v>413</v>
      </c>
      <c r="E32" s="170" t="s">
        <v>414</v>
      </c>
      <c r="F32" s="170" t="s">
        <v>415</v>
      </c>
      <c r="G32" s="169" t="s">
        <v>311</v>
      </c>
      <c r="H32" s="170" t="s">
        <v>416</v>
      </c>
      <c r="I32" s="171" t="s">
        <v>313</v>
      </c>
      <c r="J32" s="172" t="s">
        <v>417</v>
      </c>
      <c r="K32" s="168">
        <v>0</v>
      </c>
      <c r="L32" s="175" t="s">
        <v>352</v>
      </c>
      <c r="M32" s="338" t="s">
        <v>316</v>
      </c>
      <c r="N32" s="311" t="s">
        <v>317</v>
      </c>
    </row>
    <row r="33" spans="2:14" ht="73.900000000000006" customHeight="1">
      <c r="B33" s="266" t="s">
        <v>418</v>
      </c>
      <c r="C33" s="165" t="s">
        <v>419</v>
      </c>
      <c r="D33" s="267" t="s">
        <v>420</v>
      </c>
      <c r="E33" s="170" t="s">
        <v>421</v>
      </c>
      <c r="F33" s="170">
        <v>0</v>
      </c>
      <c r="G33" s="169" t="s">
        <v>396</v>
      </c>
      <c r="H33" s="170">
        <v>0</v>
      </c>
      <c r="I33" s="171" t="s">
        <v>384</v>
      </c>
      <c r="J33" s="172" t="s">
        <v>422</v>
      </c>
      <c r="K33" s="168">
        <v>0</v>
      </c>
      <c r="L33" s="175" t="s">
        <v>352</v>
      </c>
      <c r="M33" s="338" t="e">
        <v>#N/A</v>
      </c>
      <c r="N33" s="311" t="s">
        <v>317</v>
      </c>
    </row>
    <row r="34" spans="2:14" ht="73.900000000000006" customHeight="1">
      <c r="B34" s="266" t="s">
        <v>423</v>
      </c>
      <c r="C34" s="165" t="s">
        <v>424</v>
      </c>
      <c r="D34" s="267" t="s">
        <v>425</v>
      </c>
      <c r="E34" s="170" t="s">
        <v>426</v>
      </c>
      <c r="F34" s="170">
        <v>0</v>
      </c>
      <c r="G34" s="169" t="s">
        <v>396</v>
      </c>
      <c r="H34" s="170">
        <v>0</v>
      </c>
      <c r="I34" s="171" t="s">
        <v>313</v>
      </c>
      <c r="J34" s="172" t="s">
        <v>422</v>
      </c>
      <c r="K34" s="168">
        <v>0</v>
      </c>
      <c r="L34" s="175" t="s">
        <v>315</v>
      </c>
      <c r="M34" s="338" t="s">
        <v>316</v>
      </c>
      <c r="N34" s="311" t="s">
        <v>317</v>
      </c>
    </row>
    <row r="35" spans="2:14" ht="73.900000000000006" customHeight="1">
      <c r="B35" s="266" t="s">
        <v>427</v>
      </c>
      <c r="C35" s="165" t="s">
        <v>428</v>
      </c>
      <c r="D35" s="267" t="s">
        <v>429</v>
      </c>
      <c r="E35" s="170" t="s">
        <v>430</v>
      </c>
      <c r="F35" s="170" t="s">
        <v>431</v>
      </c>
      <c r="G35" s="169" t="s">
        <v>396</v>
      </c>
      <c r="H35" s="170" t="s">
        <v>432</v>
      </c>
      <c r="I35" s="171" t="s">
        <v>331</v>
      </c>
      <c r="J35" s="172" t="s">
        <v>422</v>
      </c>
      <c r="K35" s="168">
        <v>0</v>
      </c>
      <c r="L35" s="175" t="s">
        <v>315</v>
      </c>
      <c r="M35" s="338" t="s">
        <v>316</v>
      </c>
      <c r="N35" s="311" t="s">
        <v>317</v>
      </c>
    </row>
    <row r="36" spans="2:14" ht="73.900000000000006" customHeight="1">
      <c r="B36" s="266" t="s">
        <v>433</v>
      </c>
      <c r="C36" s="165" t="s">
        <v>434</v>
      </c>
      <c r="D36" s="267" t="s">
        <v>435</v>
      </c>
      <c r="E36" s="170" t="s">
        <v>436</v>
      </c>
      <c r="F36" s="170">
        <v>0</v>
      </c>
      <c r="G36" s="169" t="s">
        <v>396</v>
      </c>
      <c r="H36" s="170">
        <v>0</v>
      </c>
      <c r="I36" s="171" t="s">
        <v>313</v>
      </c>
      <c r="J36" s="172" t="s">
        <v>422</v>
      </c>
      <c r="K36" s="168">
        <v>0</v>
      </c>
      <c r="L36" s="175" t="s">
        <v>324</v>
      </c>
      <c r="M36" s="338" t="s">
        <v>316</v>
      </c>
      <c r="N36" s="311" t="s">
        <v>317</v>
      </c>
    </row>
    <row r="37" spans="2:14" ht="73.900000000000006" customHeight="1">
      <c r="B37" s="266" t="s">
        <v>437</v>
      </c>
      <c r="C37" s="165" t="s">
        <v>438</v>
      </c>
      <c r="D37" s="267" t="s">
        <v>439</v>
      </c>
      <c r="E37" s="170" t="s">
        <v>440</v>
      </c>
      <c r="F37" s="170">
        <v>0</v>
      </c>
      <c r="G37" s="169">
        <v>598391.24</v>
      </c>
      <c r="H37" s="170">
        <v>0</v>
      </c>
      <c r="I37" s="171" t="s">
        <v>351</v>
      </c>
      <c r="J37" s="172" t="s">
        <v>441</v>
      </c>
      <c r="K37" s="168">
        <v>0</v>
      </c>
      <c r="L37" s="175" t="s">
        <v>315</v>
      </c>
      <c r="M37" s="338" t="e">
        <v>#N/A</v>
      </c>
      <c r="N37" s="311">
        <v>5</v>
      </c>
    </row>
    <row r="38" spans="2:14" ht="73.900000000000006" customHeight="1">
      <c r="B38" s="266"/>
      <c r="C38" s="165"/>
      <c r="D38" s="267"/>
      <c r="E38" s="170"/>
      <c r="F38" s="170"/>
      <c r="G38" s="169"/>
      <c r="H38" s="170"/>
      <c r="I38" s="171"/>
      <c r="J38" s="172"/>
      <c r="K38" s="168"/>
      <c r="L38" s="175"/>
      <c r="M38" s="338"/>
      <c r="N38" s="311"/>
    </row>
    <row r="39" spans="2:14" ht="73.900000000000006" customHeight="1">
      <c r="B39" s="266"/>
      <c r="C39" s="165"/>
      <c r="D39" s="267"/>
      <c r="E39" s="170"/>
      <c r="F39" s="170"/>
      <c r="G39" s="169"/>
      <c r="H39" s="170"/>
      <c r="I39" s="171"/>
      <c r="J39" s="172"/>
      <c r="K39" s="168"/>
      <c r="L39" s="175"/>
      <c r="M39" s="338"/>
      <c r="N39" s="311"/>
    </row>
    <row r="40" spans="2:14" ht="73.900000000000006" customHeight="1">
      <c r="B40" s="266"/>
      <c r="C40" s="165"/>
      <c r="D40" s="268"/>
      <c r="E40" s="170"/>
      <c r="F40" s="170"/>
      <c r="G40" s="169"/>
      <c r="H40" s="170"/>
      <c r="I40" s="171"/>
      <c r="J40" s="172"/>
      <c r="K40" s="168"/>
      <c r="L40" s="175"/>
      <c r="M40" s="338"/>
      <c r="N40" s="311"/>
    </row>
    <row r="41" spans="2:14" ht="73.900000000000006" customHeight="1">
      <c r="B41" s="266"/>
      <c r="C41" s="165"/>
      <c r="D41" s="268"/>
      <c r="E41" s="170"/>
      <c r="F41" s="170"/>
      <c r="G41" s="169"/>
      <c r="H41" s="170"/>
      <c r="I41" s="171"/>
      <c r="J41" s="172"/>
      <c r="K41" s="168"/>
      <c r="L41" s="175"/>
      <c r="M41" s="338"/>
      <c r="N41" s="311"/>
    </row>
    <row r="42" spans="2:14" ht="73.900000000000006" customHeight="1">
      <c r="B42" s="266"/>
      <c r="C42" s="165"/>
      <c r="D42" s="268"/>
      <c r="E42" s="170"/>
      <c r="F42" s="170"/>
      <c r="G42" s="169"/>
      <c r="H42" s="170"/>
      <c r="I42" s="171"/>
      <c r="J42" s="172"/>
      <c r="K42" s="168"/>
      <c r="L42" s="175"/>
      <c r="M42" s="338"/>
      <c r="N42" s="311"/>
    </row>
    <row r="43" spans="2:14" ht="73.900000000000006" customHeight="1">
      <c r="B43" s="266"/>
      <c r="C43" s="165"/>
      <c r="D43" s="268"/>
      <c r="E43" s="170"/>
      <c r="F43" s="170"/>
      <c r="G43" s="169"/>
      <c r="H43" s="170"/>
      <c r="I43" s="171"/>
      <c r="J43" s="172"/>
      <c r="K43" s="168"/>
      <c r="L43" s="175"/>
      <c r="M43" s="338"/>
      <c r="N43" s="311"/>
    </row>
    <row r="44" spans="2:14" ht="73.900000000000006" customHeight="1">
      <c r="B44" s="266"/>
      <c r="C44" s="165"/>
      <c r="D44" s="268"/>
      <c r="E44" s="170"/>
      <c r="F44" s="170"/>
      <c r="G44" s="169"/>
      <c r="H44" s="170"/>
      <c r="I44" s="171"/>
      <c r="J44" s="172"/>
      <c r="K44" s="168"/>
      <c r="L44" s="175"/>
      <c r="M44" s="338"/>
      <c r="N44" s="311"/>
    </row>
    <row r="45" spans="2:14" ht="14.45">
      <c r="B45" s="266"/>
      <c r="C45" s="165"/>
      <c r="D45" s="268"/>
      <c r="E45" s="170"/>
      <c r="F45" s="170"/>
      <c r="G45" s="169"/>
      <c r="H45" s="170"/>
      <c r="I45" s="171"/>
      <c r="J45" s="172"/>
      <c r="K45" s="168"/>
      <c r="L45" s="175"/>
      <c r="M45" s="338">
        <f>_xlfn.XLOOKUP(D45,'BASE DE PONTOS V+'!C:C,'BASE DE PONTOS V+'!L:L)</f>
        <v>0</v>
      </c>
      <c r="N45" s="311" t="str">
        <f>IF(B45="","",IFERROR(IF(I45="Financeiro",VLOOKUP(G45,'BASE DA MATRIZ DE RISCOS'!$O$58:$Q$62,3,1),"Avaliar por julgameto"),"1"))</f>
        <v/>
      </c>
    </row>
    <row r="46" spans="2:14" ht="15.75" customHeight="1">
      <c r="B46" s="266"/>
      <c r="C46" s="165"/>
      <c r="D46" s="268"/>
      <c r="E46" s="170"/>
      <c r="F46" s="170"/>
      <c r="G46" s="169"/>
      <c r="H46" s="170"/>
      <c r="I46" s="171"/>
      <c r="J46" s="172"/>
      <c r="K46" s="168"/>
      <c r="L46" s="175"/>
      <c r="M46" s="338">
        <f>_xlfn.XLOOKUP(D46,'BASE DE PONTOS V+'!C:C,'BASE DE PONTOS V+'!L:L)</f>
        <v>0</v>
      </c>
      <c r="N46" s="311" t="str">
        <f>IF(B46="","",IFERROR(IF(I46="Financeiro",VLOOKUP(G46,'BASE DA MATRIZ DE RISCOS'!$O$58:$Q$62,3,1),"Avaliar por julgameto"),"1"))</f>
        <v/>
      </c>
    </row>
    <row r="47" spans="2:14" ht="15.75" customHeight="1">
      <c r="B47" s="266"/>
      <c r="C47" s="165"/>
      <c r="D47" s="268"/>
      <c r="E47" s="170"/>
      <c r="F47" s="170"/>
      <c r="G47" s="169"/>
      <c r="H47" s="170"/>
      <c r="I47" s="171"/>
      <c r="J47" s="172"/>
      <c r="K47" s="168"/>
      <c r="L47" s="175"/>
      <c r="M47" s="338">
        <f>_xlfn.XLOOKUP(D47,'BASE DE PONTOS V+'!C:C,'BASE DE PONTOS V+'!L:L)</f>
        <v>0</v>
      </c>
      <c r="N47" s="311" t="str">
        <f>IF(B47="","",IFERROR(IF(I47="Financeiro",VLOOKUP(G47,'BASE DA MATRIZ DE RISCOS'!$O$58:$Q$62,3,1),"Avaliar por julgameto"),"1"))</f>
        <v/>
      </c>
    </row>
    <row r="48" spans="2:14" ht="15.75" customHeight="1">
      <c r="B48" s="266"/>
      <c r="C48" s="165"/>
      <c r="D48" s="268"/>
      <c r="E48" s="170"/>
      <c r="F48" s="170"/>
      <c r="G48" s="169"/>
      <c r="H48" s="170"/>
      <c r="I48" s="171"/>
      <c r="J48" s="172"/>
      <c r="K48" s="168"/>
      <c r="L48" s="175"/>
      <c r="M48" s="338">
        <f>_xlfn.XLOOKUP(D48,'BASE DE PONTOS V+'!C:C,'BASE DE PONTOS V+'!L:L)</f>
        <v>0</v>
      </c>
      <c r="N48" s="311" t="str">
        <f>IF(B48="","",IFERROR(IF(I48="Financeiro",VLOOKUP(G48,'BASE DA MATRIZ DE RISCOS'!$O$58:$Q$62,3,1),"Avaliar por julgameto"),"1"))</f>
        <v/>
      </c>
    </row>
    <row r="49" spans="2:14" ht="14.45">
      <c r="B49" s="266"/>
      <c r="C49" s="165"/>
      <c r="D49" s="268"/>
      <c r="E49" s="170"/>
      <c r="F49" s="170"/>
      <c r="G49" s="169"/>
      <c r="H49" s="170"/>
      <c r="I49" s="171"/>
      <c r="J49" s="172"/>
      <c r="K49" s="168"/>
      <c r="L49" s="175"/>
      <c r="M49" s="338">
        <f>_xlfn.XLOOKUP(D49,'BASE DE PONTOS V+'!C:C,'BASE DE PONTOS V+'!L:L)</f>
        <v>0</v>
      </c>
      <c r="N49" s="311" t="str">
        <f>IF(B49="","",IFERROR(IF(I49="Financeiro",VLOOKUP(G49,'BASE DA MATRIZ DE RISCOS'!$O$58:$Q$62,3,1),"Avaliar por julgameto"),"1"))</f>
        <v/>
      </c>
    </row>
    <row r="50" spans="2:14" ht="15.75" customHeight="1"/>
    <row r="51" spans="2:14" ht="15.75" customHeight="1"/>
    <row r="52" spans="2:14" ht="15.75" customHeight="1"/>
    <row r="53" spans="2:14" ht="15.75" customHeight="1"/>
    <row r="54" spans="2:14" ht="15.75" customHeight="1"/>
    <row r="55" spans="2:14" ht="15.75" customHeight="1"/>
    <row r="56" spans="2:14" ht="15.75" customHeight="1"/>
    <row r="57" spans="2:14" ht="15.75" customHeight="1"/>
    <row r="58" spans="2:14" ht="15.75" customHeight="1"/>
    <row r="59" spans="2:14" ht="15.75" customHeight="1"/>
    <row r="60" spans="2:14" ht="15.75" customHeight="1"/>
    <row r="61" spans="2:14" ht="15.75" customHeight="1"/>
    <row r="62" spans="2:14" ht="15.75" customHeight="1"/>
    <row r="63" spans="2:14" ht="15.75" customHeight="1"/>
    <row r="64" spans="2: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autoFilter ref="C7:L38" xr:uid="{00000000-0009-0000-0000-000003000000}"/>
  <phoneticPr fontId="59" type="noConversion"/>
  <conditionalFormatting sqref="G9:G49">
    <cfRule type="cellIs" dxfId="165" priority="1" operator="equal">
      <formula>"PREENCHER"</formula>
    </cfRule>
    <cfRule type="cellIs" dxfId="164" priority="2" operator="equal">
      <formula>"N/A"</formula>
    </cfRule>
  </conditionalFormatting>
  <conditionalFormatting sqref="L9:L49">
    <cfRule type="containsText" dxfId="163" priority="3" operator="containsText" text="BAIXO IMPACTO">
      <formula>NOT(ISERROR(SEARCH(("BAIXO IMPACTO"),(L9))))</formula>
    </cfRule>
    <cfRule type="containsText" dxfId="162" priority="4" operator="containsText" text="MÉDIO IMPACTO">
      <formula>NOT(ISERROR(SEARCH(("MÉDIO IMPACTO"),(L9))))</formula>
    </cfRule>
    <cfRule type="containsText" dxfId="161" priority="5" operator="containsText" text="ALTO IMPACTO">
      <formula>NOT(ISERROR(SEARCH(("ALTO IMPACTO"),(L9))))</formula>
    </cfRule>
  </conditionalFormatting>
  <dataValidations disablePrompts="1" count="1">
    <dataValidation type="list" allowBlank="1" showErrorMessage="1" sqref="I9:I18" xr:uid="{00000000-0002-0000-0300-000000000000}">
      <formula1>"Estratégico,Financeiro,Operacional,Legal,Tecnologia,Imagem"</formula1>
    </dataValidation>
  </dataValidations>
  <pageMargins left="0.511811024" right="0.511811024" top="0.78740157499999996" bottom="0.78740157499999996" header="0" footer="0"/>
  <pageSetup paperSize="9"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F65F2C9-D975-4B4F-BE12-00726FE77420}">
          <x14:formula1>
            <xm:f>'Lista Suspensa'!$C$4:$C$62</xm:f>
          </x14:formula1>
          <xm:sqref>J7:K8 J3:K5 J50:K1048576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B327-075E-4DBA-8D3D-06E68BDD0FA9}">
  <sheetPr>
    <tabColor rgb="FF273A77"/>
  </sheetPr>
  <dimension ref="B2:J34"/>
  <sheetViews>
    <sheetView topLeftCell="A4" workbookViewId="0">
      <selection activeCell="L5" sqref="L5"/>
    </sheetView>
  </sheetViews>
  <sheetFormatPr defaultRowHeight="13.9"/>
  <sheetData>
    <row r="2" spans="2:10" ht="44.65" customHeight="1">
      <c r="B2" s="369" t="s">
        <v>442</v>
      </c>
      <c r="C2" s="369" t="s">
        <v>443</v>
      </c>
      <c r="D2" s="369" t="s">
        <v>17</v>
      </c>
      <c r="E2" s="369" t="s">
        <v>17</v>
      </c>
      <c r="F2" s="371" t="s">
        <v>444</v>
      </c>
      <c r="G2" s="339" t="s">
        <v>445</v>
      </c>
      <c r="H2" s="369" t="s">
        <v>446</v>
      </c>
      <c r="I2" s="369" t="s">
        <v>447</v>
      </c>
      <c r="J2" s="369" t="s">
        <v>448</v>
      </c>
    </row>
    <row r="3" spans="2:10" ht="16.149999999999999" thickBot="1">
      <c r="B3" s="370"/>
      <c r="C3" s="370"/>
      <c r="D3" s="370"/>
      <c r="E3" s="370"/>
      <c r="F3" s="372"/>
      <c r="G3" s="339" t="s">
        <v>449</v>
      </c>
      <c r="H3" s="370"/>
      <c r="I3" s="370"/>
      <c r="J3" s="370"/>
    </row>
    <row r="4" spans="2:10" ht="53.45" thickBot="1">
      <c r="B4" s="340" t="s">
        <v>285</v>
      </c>
      <c r="C4" s="341" t="s">
        <v>286</v>
      </c>
      <c r="D4" s="342" t="s">
        <v>313</v>
      </c>
      <c r="E4" s="342">
        <v>3</v>
      </c>
      <c r="F4" s="342">
        <v>4</v>
      </c>
      <c r="G4" s="343">
        <v>2</v>
      </c>
      <c r="H4" s="342">
        <v>24</v>
      </c>
      <c r="I4" s="342" t="s">
        <v>287</v>
      </c>
      <c r="J4" s="344" t="s">
        <v>450</v>
      </c>
    </row>
    <row r="5" spans="2:10" ht="119.45" thickBot="1">
      <c r="B5" s="345" t="s">
        <v>451</v>
      </c>
      <c r="C5" s="346" t="s">
        <v>290</v>
      </c>
      <c r="D5" s="347" t="s">
        <v>351</v>
      </c>
      <c r="E5" s="347">
        <v>5</v>
      </c>
      <c r="F5" s="347">
        <v>3</v>
      </c>
      <c r="G5" s="348">
        <v>1</v>
      </c>
      <c r="H5" s="347">
        <v>15</v>
      </c>
      <c r="I5" s="347" t="s">
        <v>287</v>
      </c>
      <c r="J5" s="349" t="s">
        <v>450</v>
      </c>
    </row>
    <row r="6" spans="2:10" ht="106.15" thickBot="1">
      <c r="B6" s="345" t="s">
        <v>452</v>
      </c>
      <c r="C6" s="346" t="s">
        <v>293</v>
      </c>
      <c r="D6" s="347" t="s">
        <v>384</v>
      </c>
      <c r="E6" s="347">
        <v>4</v>
      </c>
      <c r="F6" s="347">
        <v>3</v>
      </c>
      <c r="G6" s="348">
        <v>1</v>
      </c>
      <c r="H6" s="347">
        <v>12</v>
      </c>
      <c r="I6" s="347" t="s">
        <v>287</v>
      </c>
      <c r="J6" s="349" t="s">
        <v>450</v>
      </c>
    </row>
    <row r="7" spans="2:10" ht="119.45" thickBot="1">
      <c r="B7" s="345" t="s">
        <v>453</v>
      </c>
      <c r="C7" s="346" t="s">
        <v>296</v>
      </c>
      <c r="D7" s="347" t="s">
        <v>384</v>
      </c>
      <c r="E7" s="347">
        <v>4</v>
      </c>
      <c r="F7" s="347">
        <v>1</v>
      </c>
      <c r="G7" s="348">
        <v>1</v>
      </c>
      <c r="H7" s="347">
        <v>4</v>
      </c>
      <c r="I7" s="347" t="s">
        <v>287</v>
      </c>
      <c r="J7" s="349" t="s">
        <v>450</v>
      </c>
    </row>
    <row r="8" spans="2:10" ht="132.6" thickBot="1">
      <c r="B8" s="345" t="s">
        <v>454</v>
      </c>
      <c r="C8" s="346" t="s">
        <v>299</v>
      </c>
      <c r="D8" s="347" t="s">
        <v>351</v>
      </c>
      <c r="E8" s="347">
        <v>5</v>
      </c>
      <c r="F8" s="347">
        <v>1</v>
      </c>
      <c r="G8" s="348">
        <v>1</v>
      </c>
      <c r="H8" s="347">
        <v>5</v>
      </c>
      <c r="I8" s="347" t="s">
        <v>287</v>
      </c>
      <c r="J8" s="349" t="s">
        <v>450</v>
      </c>
    </row>
    <row r="9" spans="2:10" ht="132.6" thickBot="1">
      <c r="B9" s="345" t="s">
        <v>301</v>
      </c>
      <c r="C9" s="346" t="s">
        <v>302</v>
      </c>
      <c r="D9" s="347" t="s">
        <v>351</v>
      </c>
      <c r="E9" s="347">
        <v>5</v>
      </c>
      <c r="F9" s="347">
        <v>3</v>
      </c>
      <c r="G9" s="348">
        <v>1</v>
      </c>
      <c r="H9" s="347">
        <v>15</v>
      </c>
      <c r="I9" s="347" t="s">
        <v>287</v>
      </c>
      <c r="J9" s="349" t="s">
        <v>450</v>
      </c>
    </row>
    <row r="10" spans="2:10" ht="119.45" thickBot="1">
      <c r="B10" s="345" t="s">
        <v>304</v>
      </c>
      <c r="C10" s="346" t="s">
        <v>455</v>
      </c>
      <c r="D10" s="347" t="s">
        <v>351</v>
      </c>
      <c r="E10" s="347">
        <v>5</v>
      </c>
      <c r="F10" s="347">
        <v>2</v>
      </c>
      <c r="G10" s="348">
        <v>1</v>
      </c>
      <c r="H10" s="347">
        <v>10</v>
      </c>
      <c r="I10" s="347" t="s">
        <v>287</v>
      </c>
      <c r="J10" s="349" t="s">
        <v>450</v>
      </c>
    </row>
    <row r="11" spans="2:10" ht="79.900000000000006" thickBot="1">
      <c r="B11" s="345" t="s">
        <v>307</v>
      </c>
      <c r="C11" s="346" t="s">
        <v>305</v>
      </c>
      <c r="D11" s="347" t="s">
        <v>313</v>
      </c>
      <c r="E11" s="347">
        <v>3</v>
      </c>
      <c r="F11" s="347">
        <v>3</v>
      </c>
      <c r="G11" s="348">
        <v>1</v>
      </c>
      <c r="H11" s="347">
        <v>9</v>
      </c>
      <c r="I11" s="347" t="s">
        <v>287</v>
      </c>
      <c r="J11" s="349" t="s">
        <v>450</v>
      </c>
    </row>
    <row r="12" spans="2:10" ht="93" thickBot="1">
      <c r="B12" s="345" t="s">
        <v>319</v>
      </c>
      <c r="C12" s="346" t="s">
        <v>456</v>
      </c>
      <c r="D12" s="347" t="s">
        <v>351</v>
      </c>
      <c r="E12" s="347">
        <v>5</v>
      </c>
      <c r="F12" s="347">
        <v>1</v>
      </c>
      <c r="G12" s="348">
        <v>1</v>
      </c>
      <c r="H12" s="347">
        <v>5</v>
      </c>
      <c r="I12" s="347" t="s">
        <v>287</v>
      </c>
      <c r="J12" s="349" t="s">
        <v>450</v>
      </c>
    </row>
    <row r="13" spans="2:10" ht="145.9" thickBot="1">
      <c r="B13" s="345" t="s">
        <v>326</v>
      </c>
      <c r="C13" s="346" t="s">
        <v>308</v>
      </c>
      <c r="D13" s="347" t="s">
        <v>313</v>
      </c>
      <c r="E13" s="347">
        <v>3</v>
      </c>
      <c r="F13" s="347">
        <v>5</v>
      </c>
      <c r="G13" s="348">
        <v>4</v>
      </c>
      <c r="H13" s="347">
        <v>60</v>
      </c>
      <c r="I13" s="347" t="s">
        <v>314</v>
      </c>
      <c r="J13" s="350" t="s">
        <v>457</v>
      </c>
    </row>
    <row r="14" spans="2:10" ht="53.45" thickBot="1">
      <c r="B14" s="345" t="s">
        <v>333</v>
      </c>
      <c r="C14" s="346" t="s">
        <v>320</v>
      </c>
      <c r="D14" s="347" t="s">
        <v>313</v>
      </c>
      <c r="E14" s="347">
        <v>3</v>
      </c>
      <c r="F14" s="347">
        <v>5</v>
      </c>
      <c r="G14" s="348">
        <v>4</v>
      </c>
      <c r="H14" s="347">
        <v>60</v>
      </c>
      <c r="I14" s="347" t="s">
        <v>314</v>
      </c>
      <c r="J14" s="350" t="s">
        <v>457</v>
      </c>
    </row>
    <row r="15" spans="2:10" ht="79.900000000000006" thickBot="1">
      <c r="B15" s="345" t="s">
        <v>340</v>
      </c>
      <c r="C15" s="346" t="s">
        <v>327</v>
      </c>
      <c r="D15" s="347" t="s">
        <v>331</v>
      </c>
      <c r="E15" s="347">
        <v>4</v>
      </c>
      <c r="F15" s="347">
        <v>5</v>
      </c>
      <c r="G15" s="348">
        <v>4</v>
      </c>
      <c r="H15" s="347">
        <v>80</v>
      </c>
      <c r="I15" s="347" t="s">
        <v>42</v>
      </c>
      <c r="J15" s="351" t="s">
        <v>458</v>
      </c>
    </row>
    <row r="16" spans="2:10" ht="66.599999999999994" thickBot="1">
      <c r="B16" s="345" t="s">
        <v>346</v>
      </c>
      <c r="C16" s="346" t="s">
        <v>334</v>
      </c>
      <c r="D16" s="347" t="s">
        <v>331</v>
      </c>
      <c r="E16" s="347">
        <v>4</v>
      </c>
      <c r="F16" s="347">
        <v>5</v>
      </c>
      <c r="G16" s="348">
        <v>5</v>
      </c>
      <c r="H16" s="347">
        <v>100</v>
      </c>
      <c r="I16" s="347" t="s">
        <v>338</v>
      </c>
      <c r="J16" s="351" t="s">
        <v>458</v>
      </c>
    </row>
    <row r="17" spans="2:10" ht="106.15" thickBot="1">
      <c r="B17" s="345" t="s">
        <v>354</v>
      </c>
      <c r="C17" s="346" t="s">
        <v>341</v>
      </c>
      <c r="D17" s="347" t="s">
        <v>313</v>
      </c>
      <c r="E17" s="347">
        <v>3</v>
      </c>
      <c r="F17" s="347">
        <v>5</v>
      </c>
      <c r="G17" s="348">
        <v>4</v>
      </c>
      <c r="H17" s="347">
        <v>60</v>
      </c>
      <c r="I17" s="347" t="s">
        <v>314</v>
      </c>
      <c r="J17" s="350" t="s">
        <v>457</v>
      </c>
    </row>
    <row r="18" spans="2:10" ht="132.6" thickBot="1">
      <c r="B18" s="345" t="s">
        <v>361</v>
      </c>
      <c r="C18" s="346" t="s">
        <v>347</v>
      </c>
      <c r="D18" s="347" t="s">
        <v>351</v>
      </c>
      <c r="E18" s="347">
        <v>5</v>
      </c>
      <c r="F18" s="347">
        <v>3</v>
      </c>
      <c r="G18" s="348">
        <v>3</v>
      </c>
      <c r="H18" s="347">
        <v>45</v>
      </c>
      <c r="I18" s="347" t="s">
        <v>89</v>
      </c>
      <c r="J18" s="349" t="s">
        <v>450</v>
      </c>
    </row>
    <row r="19" spans="2:10" ht="79.900000000000006" thickBot="1">
      <c r="B19" s="345" t="s">
        <v>367</v>
      </c>
      <c r="C19" s="346" t="s">
        <v>355</v>
      </c>
      <c r="D19" s="347" t="s">
        <v>351</v>
      </c>
      <c r="E19" s="347">
        <v>5</v>
      </c>
      <c r="F19" s="347">
        <v>4</v>
      </c>
      <c r="G19" s="348">
        <v>4</v>
      </c>
      <c r="H19" s="347">
        <v>80</v>
      </c>
      <c r="I19" s="347" t="s">
        <v>89</v>
      </c>
      <c r="J19" s="351" t="s">
        <v>458</v>
      </c>
    </row>
    <row r="20" spans="2:10" ht="79.900000000000006" thickBot="1">
      <c r="B20" s="345" t="s">
        <v>373</v>
      </c>
      <c r="C20" s="346" t="s">
        <v>362</v>
      </c>
      <c r="D20" s="347" t="s">
        <v>351</v>
      </c>
      <c r="E20" s="347">
        <v>5</v>
      </c>
      <c r="F20" s="347">
        <v>3</v>
      </c>
      <c r="G20" s="348">
        <v>3</v>
      </c>
      <c r="H20" s="347">
        <v>45</v>
      </c>
      <c r="I20" s="347" t="s">
        <v>89</v>
      </c>
      <c r="J20" s="349" t="s">
        <v>450</v>
      </c>
    </row>
    <row r="21" spans="2:10" ht="79.900000000000006" thickBot="1">
      <c r="B21" s="345" t="s">
        <v>379</v>
      </c>
      <c r="C21" s="346" t="s">
        <v>368</v>
      </c>
      <c r="D21" s="347" t="s">
        <v>351</v>
      </c>
      <c r="E21" s="347">
        <v>5</v>
      </c>
      <c r="F21" s="347">
        <v>3</v>
      </c>
      <c r="G21" s="348">
        <v>4</v>
      </c>
      <c r="H21" s="347">
        <v>60</v>
      </c>
      <c r="I21" s="347" t="s">
        <v>89</v>
      </c>
      <c r="J21" s="350" t="s">
        <v>457</v>
      </c>
    </row>
    <row r="22" spans="2:10" ht="211.9" thickBot="1">
      <c r="B22" s="345" t="s">
        <v>386</v>
      </c>
      <c r="C22" s="346" t="s">
        <v>374</v>
      </c>
      <c r="D22" s="347" t="s">
        <v>351</v>
      </c>
      <c r="E22" s="347">
        <v>5</v>
      </c>
      <c r="F22" s="347">
        <v>2</v>
      </c>
      <c r="G22" s="348">
        <v>2</v>
      </c>
      <c r="H22" s="347">
        <v>20</v>
      </c>
      <c r="I22" s="347" t="s">
        <v>92</v>
      </c>
      <c r="J22" s="349" t="s">
        <v>450</v>
      </c>
    </row>
    <row r="23" spans="2:10" ht="66.599999999999994" thickBot="1">
      <c r="B23" s="345" t="s">
        <v>393</v>
      </c>
      <c r="C23" s="346" t="s">
        <v>380</v>
      </c>
      <c r="D23" s="347" t="s">
        <v>384</v>
      </c>
      <c r="E23" s="347">
        <v>4</v>
      </c>
      <c r="F23" s="347">
        <v>4</v>
      </c>
      <c r="G23" s="348">
        <v>3</v>
      </c>
      <c r="H23" s="347">
        <v>48</v>
      </c>
      <c r="I23" s="347" t="s">
        <v>287</v>
      </c>
      <c r="J23" s="349" t="s">
        <v>450</v>
      </c>
    </row>
    <row r="24" spans="2:10" ht="79.900000000000006" thickBot="1">
      <c r="B24" s="345" t="s">
        <v>399</v>
      </c>
      <c r="C24" s="346" t="s">
        <v>387</v>
      </c>
      <c r="D24" s="347" t="s">
        <v>351</v>
      </c>
      <c r="E24" s="347">
        <v>5</v>
      </c>
      <c r="F24" s="347">
        <v>4</v>
      </c>
      <c r="G24" s="348">
        <v>3</v>
      </c>
      <c r="H24" s="347">
        <v>60</v>
      </c>
      <c r="I24" s="347" t="s">
        <v>391</v>
      </c>
      <c r="J24" s="350" t="s">
        <v>457</v>
      </c>
    </row>
    <row r="25" spans="2:10" ht="93" thickBot="1">
      <c r="B25" s="345" t="s">
        <v>403</v>
      </c>
      <c r="C25" s="346" t="s">
        <v>394</v>
      </c>
      <c r="D25" s="347" t="s">
        <v>351</v>
      </c>
      <c r="E25" s="347">
        <v>5</v>
      </c>
      <c r="F25" s="347">
        <v>5</v>
      </c>
      <c r="G25" s="348">
        <v>3</v>
      </c>
      <c r="H25" s="347">
        <v>75</v>
      </c>
      <c r="I25" s="347" t="s">
        <v>397</v>
      </c>
      <c r="J25" s="351" t="s">
        <v>458</v>
      </c>
    </row>
    <row r="26" spans="2:10" ht="53.45" thickBot="1">
      <c r="B26" s="345" t="s">
        <v>408</v>
      </c>
      <c r="C26" s="346" t="s">
        <v>400</v>
      </c>
      <c r="D26" s="347" t="s">
        <v>313</v>
      </c>
      <c r="E26" s="347">
        <v>3</v>
      </c>
      <c r="F26" s="347">
        <v>5</v>
      </c>
      <c r="G26" s="348">
        <v>4</v>
      </c>
      <c r="H26" s="347">
        <v>60</v>
      </c>
      <c r="I26" s="347" t="s">
        <v>397</v>
      </c>
      <c r="J26" s="350" t="s">
        <v>457</v>
      </c>
    </row>
    <row r="27" spans="2:10" ht="53.45" thickBot="1">
      <c r="B27" s="345" t="s">
        <v>412</v>
      </c>
      <c r="C27" s="346" t="s">
        <v>404</v>
      </c>
      <c r="D27" s="347" t="s">
        <v>351</v>
      </c>
      <c r="E27" s="347">
        <v>5</v>
      </c>
      <c r="F27" s="347">
        <v>5</v>
      </c>
      <c r="G27" s="348">
        <v>5</v>
      </c>
      <c r="H27" s="347">
        <v>125</v>
      </c>
      <c r="I27" s="347" t="s">
        <v>397</v>
      </c>
      <c r="J27" s="351" t="s">
        <v>458</v>
      </c>
    </row>
    <row r="28" spans="2:10" ht="53.45" thickBot="1">
      <c r="B28" s="345" t="s">
        <v>419</v>
      </c>
      <c r="C28" s="346" t="s">
        <v>409</v>
      </c>
      <c r="D28" s="347" t="s">
        <v>351</v>
      </c>
      <c r="E28" s="347">
        <v>5</v>
      </c>
      <c r="F28" s="347">
        <v>5</v>
      </c>
      <c r="G28" s="348">
        <v>4</v>
      </c>
      <c r="H28" s="347">
        <v>100</v>
      </c>
      <c r="I28" s="347" t="s">
        <v>397</v>
      </c>
      <c r="J28" s="351" t="s">
        <v>458</v>
      </c>
    </row>
    <row r="29" spans="2:10" ht="106.15" thickBot="1">
      <c r="B29" s="345" t="s">
        <v>424</v>
      </c>
      <c r="C29" s="346" t="s">
        <v>413</v>
      </c>
      <c r="D29" s="347" t="s">
        <v>313</v>
      </c>
      <c r="E29" s="347">
        <v>3</v>
      </c>
      <c r="F29" s="347">
        <v>4</v>
      </c>
      <c r="G29" s="348">
        <v>3</v>
      </c>
      <c r="H29" s="347">
        <v>36</v>
      </c>
      <c r="I29" s="347" t="s">
        <v>417</v>
      </c>
      <c r="J29" s="349" t="s">
        <v>450</v>
      </c>
    </row>
    <row r="30" spans="2:10" ht="119.45" thickBot="1">
      <c r="B30" s="345" t="s">
        <v>428</v>
      </c>
      <c r="C30" s="346" t="s">
        <v>420</v>
      </c>
      <c r="D30" s="347" t="s">
        <v>351</v>
      </c>
      <c r="E30" s="347">
        <v>5</v>
      </c>
      <c r="F30" s="347">
        <v>3</v>
      </c>
      <c r="G30" s="348">
        <v>4</v>
      </c>
      <c r="H30" s="347">
        <v>60</v>
      </c>
      <c r="I30" s="347" t="s">
        <v>422</v>
      </c>
      <c r="J30" s="350" t="s">
        <v>457</v>
      </c>
    </row>
    <row r="31" spans="2:10" ht="93" thickBot="1">
      <c r="B31" s="345" t="s">
        <v>434</v>
      </c>
      <c r="C31" s="346" t="s">
        <v>425</v>
      </c>
      <c r="D31" s="347" t="s">
        <v>313</v>
      </c>
      <c r="E31" s="347">
        <v>3</v>
      </c>
      <c r="F31" s="347">
        <v>4</v>
      </c>
      <c r="G31" s="348">
        <v>5</v>
      </c>
      <c r="H31" s="347">
        <v>60</v>
      </c>
      <c r="I31" s="347" t="s">
        <v>422</v>
      </c>
      <c r="J31" s="350" t="s">
        <v>457</v>
      </c>
    </row>
    <row r="32" spans="2:10" ht="132.6" thickBot="1">
      <c r="B32" s="345" t="s">
        <v>438</v>
      </c>
      <c r="C32" s="346" t="s">
        <v>429</v>
      </c>
      <c r="D32" s="347" t="s">
        <v>331</v>
      </c>
      <c r="E32" s="347">
        <v>4</v>
      </c>
      <c r="F32" s="347">
        <v>5</v>
      </c>
      <c r="G32" s="348">
        <v>4</v>
      </c>
      <c r="H32" s="347">
        <v>80</v>
      </c>
      <c r="I32" s="347" t="s">
        <v>422</v>
      </c>
      <c r="J32" s="351" t="s">
        <v>458</v>
      </c>
    </row>
    <row r="33" spans="2:10" ht="132.6" thickBot="1">
      <c r="B33" s="345" t="s">
        <v>459</v>
      </c>
      <c r="C33" s="346" t="s">
        <v>435</v>
      </c>
      <c r="D33" s="347" t="s">
        <v>313</v>
      </c>
      <c r="E33" s="347">
        <v>3</v>
      </c>
      <c r="F33" s="347">
        <v>3</v>
      </c>
      <c r="G33" s="348">
        <v>4</v>
      </c>
      <c r="H33" s="347">
        <v>36</v>
      </c>
      <c r="I33" s="347" t="s">
        <v>422</v>
      </c>
      <c r="J33" s="349" t="s">
        <v>450</v>
      </c>
    </row>
    <row r="34" spans="2:10" ht="66.599999999999994" thickBot="1">
      <c r="B34" s="345" t="s">
        <v>460</v>
      </c>
      <c r="C34" s="346" t="s">
        <v>439</v>
      </c>
      <c r="D34" s="347" t="s">
        <v>351</v>
      </c>
      <c r="E34" s="347">
        <v>5</v>
      </c>
      <c r="F34" s="347">
        <v>5</v>
      </c>
      <c r="G34" s="348">
        <v>5</v>
      </c>
      <c r="H34" s="347">
        <v>125</v>
      </c>
      <c r="I34" s="347" t="s">
        <v>441</v>
      </c>
      <c r="J34" s="351" t="s">
        <v>458</v>
      </c>
    </row>
  </sheetData>
  <mergeCells count="8">
    <mergeCell ref="I2:I3"/>
    <mergeCell ref="J2:J3"/>
    <mergeCell ref="B2:B3"/>
    <mergeCell ref="C2:C3"/>
    <mergeCell ref="D2:D3"/>
    <mergeCell ref="E2:E3"/>
    <mergeCell ref="F2:F3"/>
    <mergeCell ref="H2:H3"/>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0F8F-3941-4E88-AD41-8F92F67D13DC}">
  <sheetPr>
    <tabColor rgb="FF273A77"/>
  </sheetPr>
  <dimension ref="A1:N87"/>
  <sheetViews>
    <sheetView showGridLines="0" zoomScale="60" zoomScaleNormal="60" workbookViewId="0">
      <pane ySplit="7" topLeftCell="A30" activePane="bottomLeft" state="frozen"/>
      <selection pane="bottomLeft" activeCell="C8" sqref="C8"/>
    </sheetView>
  </sheetViews>
  <sheetFormatPr defaultColWidth="9" defaultRowHeight="13.9"/>
  <cols>
    <col min="1" max="1" width="5.75" style="90" customWidth="1"/>
    <col min="2" max="2" width="9" style="96"/>
    <col min="3" max="3" width="33.875" style="94" customWidth="1"/>
    <col min="4" max="4" width="33.625" style="250" customWidth="1"/>
    <col min="5" max="5" width="29.375" style="299" customWidth="1"/>
    <col min="6" max="6" width="42" style="90" customWidth="1"/>
    <col min="7" max="7" width="35.125" style="90" customWidth="1"/>
    <col min="8" max="8" width="13.75" style="90" customWidth="1"/>
    <col min="9" max="9" width="15.625" style="90" customWidth="1"/>
    <col min="10" max="10" width="19.625" style="90" customWidth="1"/>
    <col min="11" max="11" width="12.75" style="90" customWidth="1"/>
    <col min="12" max="12" width="15.875" style="90" customWidth="1"/>
    <col min="13" max="13" width="16.75" style="102" bestFit="1" customWidth="1"/>
    <col min="14" max="16384" width="9" style="90"/>
  </cols>
  <sheetData>
    <row r="1" spans="2:13" ht="41.65" customHeight="1">
      <c r="B1" s="90"/>
      <c r="C1" s="90"/>
      <c r="D1" s="91"/>
    </row>
    <row r="2" spans="2:13">
      <c r="B2" s="182" t="s">
        <v>461</v>
      </c>
      <c r="C2" s="90"/>
      <c r="D2" s="91"/>
    </row>
    <row r="3" spans="2:13">
      <c r="B3" s="183" t="s">
        <v>462</v>
      </c>
      <c r="C3" s="90"/>
      <c r="D3" s="91"/>
    </row>
    <row r="4" spans="2:13">
      <c r="B4" s="184" t="s">
        <v>269</v>
      </c>
      <c r="C4" s="90"/>
      <c r="D4" s="91"/>
    </row>
    <row r="5" spans="2:13">
      <c r="B5" s="90"/>
      <c r="C5" s="90"/>
      <c r="D5" s="91"/>
    </row>
    <row r="6" spans="2:13" ht="14.45" hidden="1">
      <c r="B6" s="92">
        <v>2</v>
      </c>
      <c r="C6" s="92">
        <v>2</v>
      </c>
      <c r="D6" s="93"/>
      <c r="E6" s="300"/>
      <c r="F6" s="92"/>
      <c r="G6" s="92"/>
      <c r="H6" s="92">
        <v>7</v>
      </c>
      <c r="I6" s="92">
        <v>8</v>
      </c>
      <c r="J6" s="92">
        <v>8</v>
      </c>
      <c r="K6" s="92">
        <v>8</v>
      </c>
      <c r="L6" s="92"/>
      <c r="M6" s="101">
        <v>8</v>
      </c>
    </row>
    <row r="7" spans="2:13" ht="45" customHeight="1">
      <c r="B7" s="247" t="s">
        <v>463</v>
      </c>
      <c r="C7" s="248" t="s">
        <v>277</v>
      </c>
      <c r="D7" s="249" t="s">
        <v>464</v>
      </c>
      <c r="E7" s="301" t="s">
        <v>280</v>
      </c>
      <c r="F7" s="248" t="s">
        <v>465</v>
      </c>
      <c r="G7" s="248" t="s">
        <v>466</v>
      </c>
      <c r="H7" s="248" t="s">
        <v>17</v>
      </c>
      <c r="I7" s="248" t="s">
        <v>282</v>
      </c>
      <c r="J7" s="248" t="s">
        <v>467</v>
      </c>
      <c r="K7" s="248" t="s">
        <v>282</v>
      </c>
      <c r="L7" s="248" t="s">
        <v>24</v>
      </c>
      <c r="M7" s="248" t="s">
        <v>282</v>
      </c>
    </row>
    <row r="8" spans="2:13" ht="276.60000000000002" customHeight="1">
      <c r="B8" s="113" t="s">
        <v>284</v>
      </c>
      <c r="C8" s="333" t="s">
        <v>286</v>
      </c>
      <c r="D8" s="321" t="s">
        <v>468</v>
      </c>
      <c r="E8" s="251">
        <v>17679.82</v>
      </c>
      <c r="F8" s="252" t="s">
        <v>469</v>
      </c>
      <c r="G8" s="252" t="s">
        <v>470</v>
      </c>
      <c r="H8" s="253" t="s">
        <v>313</v>
      </c>
      <c r="I8" s="252" t="s">
        <v>471</v>
      </c>
      <c r="J8" s="254" t="s">
        <v>315</v>
      </c>
      <c r="K8" s="252"/>
      <c r="L8" s="338" t="s">
        <v>316</v>
      </c>
      <c r="M8" s="252"/>
    </row>
    <row r="9" spans="2:13" ht="72">
      <c r="B9" s="113" t="s">
        <v>288</v>
      </c>
      <c r="C9" s="333" t="s">
        <v>290</v>
      </c>
      <c r="D9" s="321" t="s">
        <v>472</v>
      </c>
      <c r="E9" s="251">
        <v>1558.2399999999998</v>
      </c>
      <c r="F9" s="252" t="s">
        <v>473</v>
      </c>
      <c r="G9" s="252" t="s">
        <v>474</v>
      </c>
      <c r="H9" s="253" t="s">
        <v>351</v>
      </c>
      <c r="I9" s="252" t="s">
        <v>471</v>
      </c>
      <c r="J9" s="254" t="s">
        <v>352</v>
      </c>
      <c r="K9" s="252"/>
      <c r="L9" s="338" t="s">
        <v>316</v>
      </c>
      <c r="M9" s="252"/>
    </row>
    <row r="10" spans="2:13" ht="86.45">
      <c r="B10" s="113" t="s">
        <v>291</v>
      </c>
      <c r="C10" s="333" t="s">
        <v>293</v>
      </c>
      <c r="D10" s="314" t="s">
        <v>475</v>
      </c>
      <c r="E10" s="251">
        <v>118.82000000000001</v>
      </c>
      <c r="F10" s="252" t="s">
        <v>476</v>
      </c>
      <c r="G10" s="252" t="s">
        <v>477</v>
      </c>
      <c r="H10" s="253" t="s">
        <v>384</v>
      </c>
      <c r="I10" s="252" t="s">
        <v>471</v>
      </c>
      <c r="J10" s="254" t="s">
        <v>352</v>
      </c>
      <c r="K10" s="253"/>
      <c r="L10" s="338" t="s">
        <v>316</v>
      </c>
      <c r="M10" s="253"/>
    </row>
    <row r="11" spans="2:13" ht="72">
      <c r="B11" s="113" t="s">
        <v>294</v>
      </c>
      <c r="C11" s="333" t="s">
        <v>296</v>
      </c>
      <c r="D11" s="314" t="s">
        <v>478</v>
      </c>
      <c r="E11" s="251">
        <v>418.07</v>
      </c>
      <c r="F11" s="252" t="s">
        <v>479</v>
      </c>
      <c r="G11" s="252" t="s">
        <v>480</v>
      </c>
      <c r="H11" s="253" t="s">
        <v>384</v>
      </c>
      <c r="I11" s="252" t="s">
        <v>471</v>
      </c>
      <c r="J11" s="254" t="s">
        <v>352</v>
      </c>
      <c r="K11" s="253"/>
      <c r="L11" s="338" t="s">
        <v>316</v>
      </c>
      <c r="M11" s="253"/>
    </row>
    <row r="12" spans="2:13" ht="72">
      <c r="B12" s="113" t="s">
        <v>297</v>
      </c>
      <c r="C12" s="333" t="s">
        <v>299</v>
      </c>
      <c r="D12" s="314" t="s">
        <v>481</v>
      </c>
      <c r="E12" s="251">
        <v>418.07</v>
      </c>
      <c r="F12" s="252" t="s">
        <v>482</v>
      </c>
      <c r="G12" s="252" t="s">
        <v>483</v>
      </c>
      <c r="H12" s="253" t="s">
        <v>351</v>
      </c>
      <c r="I12" s="252" t="s">
        <v>471</v>
      </c>
      <c r="J12" s="254" t="s">
        <v>352</v>
      </c>
      <c r="K12" s="253"/>
      <c r="L12" s="338" t="s">
        <v>316</v>
      </c>
      <c r="M12" s="253"/>
    </row>
    <row r="13" spans="2:13" ht="72">
      <c r="B13" s="113" t="s">
        <v>484</v>
      </c>
      <c r="C13" s="333" t="s">
        <v>302</v>
      </c>
      <c r="D13" s="314" t="s">
        <v>485</v>
      </c>
      <c r="E13" s="251" t="s">
        <v>486</v>
      </c>
      <c r="F13" s="252" t="s">
        <v>487</v>
      </c>
      <c r="G13" s="252" t="s">
        <v>488</v>
      </c>
      <c r="H13" s="253" t="s">
        <v>351</v>
      </c>
      <c r="I13" s="252" t="s">
        <v>471</v>
      </c>
      <c r="J13" s="254" t="s">
        <v>352</v>
      </c>
      <c r="K13" s="253"/>
      <c r="L13" s="338" t="s">
        <v>316</v>
      </c>
      <c r="M13" s="253"/>
    </row>
    <row r="14" spans="2:13" ht="72">
      <c r="B14" s="113" t="s">
        <v>300</v>
      </c>
      <c r="C14" s="333" t="s">
        <v>455</v>
      </c>
      <c r="D14" s="314" t="s">
        <v>489</v>
      </c>
      <c r="E14" s="251">
        <v>10.37</v>
      </c>
      <c r="F14" s="252" t="s">
        <v>490</v>
      </c>
      <c r="G14" s="252" t="s">
        <v>491</v>
      </c>
      <c r="H14" s="253" t="s">
        <v>351</v>
      </c>
      <c r="I14" s="252" t="s">
        <v>471</v>
      </c>
      <c r="J14" s="254" t="s">
        <v>352</v>
      </c>
      <c r="K14" s="253"/>
      <c r="L14" s="338" t="s">
        <v>316</v>
      </c>
      <c r="M14" s="253"/>
    </row>
    <row r="15" spans="2:13" ht="72">
      <c r="B15" s="113" t="s">
        <v>303</v>
      </c>
      <c r="C15" s="333" t="s">
        <v>305</v>
      </c>
      <c r="D15" s="314" t="s">
        <v>492</v>
      </c>
      <c r="E15" s="251">
        <v>3563.1600000000003</v>
      </c>
      <c r="F15" s="252" t="s">
        <v>493</v>
      </c>
      <c r="G15" s="252" t="s">
        <v>494</v>
      </c>
      <c r="H15" s="253" t="s">
        <v>313</v>
      </c>
      <c r="I15" s="252" t="s">
        <v>471</v>
      </c>
      <c r="J15" s="254" t="s">
        <v>324</v>
      </c>
      <c r="K15" s="253"/>
      <c r="L15" s="338" t="s">
        <v>316</v>
      </c>
      <c r="M15" s="253"/>
    </row>
    <row r="16" spans="2:13" ht="72">
      <c r="B16" s="113" t="s">
        <v>495</v>
      </c>
      <c r="C16" s="333" t="s">
        <v>456</v>
      </c>
      <c r="D16" s="314" t="s">
        <v>496</v>
      </c>
      <c r="E16" s="251">
        <v>42.4</v>
      </c>
      <c r="F16" s="252" t="s">
        <v>497</v>
      </c>
      <c r="G16" s="252" t="s">
        <v>498</v>
      </c>
      <c r="H16" s="253" t="s">
        <v>351</v>
      </c>
      <c r="I16" s="252" t="s">
        <v>471</v>
      </c>
      <c r="J16" s="254" t="s">
        <v>352</v>
      </c>
      <c r="K16" s="253"/>
      <c r="L16" s="338" t="s">
        <v>316</v>
      </c>
      <c r="M16" s="253"/>
    </row>
    <row r="17" spans="2:13" ht="201.6">
      <c r="B17" s="113" t="s">
        <v>306</v>
      </c>
      <c r="C17" s="333" t="s">
        <v>308</v>
      </c>
      <c r="D17" s="314" t="s">
        <v>309</v>
      </c>
      <c r="E17" s="251" t="s">
        <v>311</v>
      </c>
      <c r="F17" s="252" t="s">
        <v>310</v>
      </c>
      <c r="G17" s="252" t="s">
        <v>312</v>
      </c>
      <c r="H17" s="253" t="s">
        <v>313</v>
      </c>
      <c r="I17" s="252" t="s">
        <v>499</v>
      </c>
      <c r="J17" s="254" t="s">
        <v>315</v>
      </c>
      <c r="K17" s="253"/>
      <c r="L17" s="338" t="s">
        <v>316</v>
      </c>
      <c r="M17" s="253"/>
    </row>
    <row r="18" spans="2:13" ht="158.44999999999999">
      <c r="B18" s="113" t="s">
        <v>318</v>
      </c>
      <c r="C18" s="333" t="s">
        <v>320</v>
      </c>
      <c r="D18" s="314" t="s">
        <v>321</v>
      </c>
      <c r="E18" s="251" t="s">
        <v>311</v>
      </c>
      <c r="F18" s="252" t="s">
        <v>322</v>
      </c>
      <c r="G18" s="252" t="s">
        <v>323</v>
      </c>
      <c r="H18" s="253" t="s">
        <v>313</v>
      </c>
      <c r="I18" s="252" t="s">
        <v>499</v>
      </c>
      <c r="J18" s="254" t="s">
        <v>324</v>
      </c>
      <c r="K18" s="253"/>
      <c r="L18" s="338" t="s">
        <v>316</v>
      </c>
      <c r="M18" s="253"/>
    </row>
    <row r="19" spans="2:13" ht="187.15">
      <c r="B19" s="113" t="s">
        <v>325</v>
      </c>
      <c r="C19" s="333" t="s">
        <v>327</v>
      </c>
      <c r="D19" s="314" t="s">
        <v>328</v>
      </c>
      <c r="E19" s="256" t="s">
        <v>311</v>
      </c>
      <c r="F19" s="252" t="s">
        <v>329</v>
      </c>
      <c r="G19" s="252" t="s">
        <v>330</v>
      </c>
      <c r="H19" s="253" t="s">
        <v>331</v>
      </c>
      <c r="I19" s="252" t="s">
        <v>500</v>
      </c>
      <c r="J19" s="254" t="s">
        <v>315</v>
      </c>
      <c r="K19" s="253"/>
      <c r="L19" s="338" t="s">
        <v>316</v>
      </c>
      <c r="M19" s="253"/>
    </row>
    <row r="20" spans="2:13" ht="302.45">
      <c r="B20" s="113" t="s">
        <v>332</v>
      </c>
      <c r="C20" s="333" t="s">
        <v>334</v>
      </c>
      <c r="D20" s="314" t="s">
        <v>335</v>
      </c>
      <c r="E20" s="256" t="s">
        <v>311</v>
      </c>
      <c r="F20" s="252" t="s">
        <v>336</v>
      </c>
      <c r="G20" s="252" t="s">
        <v>337</v>
      </c>
      <c r="H20" s="253" t="s">
        <v>331</v>
      </c>
      <c r="I20" s="252" t="s">
        <v>501</v>
      </c>
      <c r="J20" s="254" t="s">
        <v>315</v>
      </c>
      <c r="K20" s="253"/>
      <c r="L20" s="338" t="s">
        <v>316</v>
      </c>
      <c r="M20" s="253"/>
    </row>
    <row r="21" spans="2:13" ht="158.44999999999999">
      <c r="B21" s="113" t="s">
        <v>339</v>
      </c>
      <c r="C21" s="333" t="s">
        <v>341</v>
      </c>
      <c r="D21" s="314" t="s">
        <v>342</v>
      </c>
      <c r="E21" s="256" t="s">
        <v>311</v>
      </c>
      <c r="F21" s="253" t="s">
        <v>343</v>
      </c>
      <c r="G21" s="253" t="s">
        <v>344</v>
      </c>
      <c r="H21" s="253" t="s">
        <v>313</v>
      </c>
      <c r="I21" s="252" t="s">
        <v>499</v>
      </c>
      <c r="J21" s="254" t="s">
        <v>324</v>
      </c>
      <c r="K21" s="253"/>
      <c r="L21" s="338" t="s">
        <v>316</v>
      </c>
      <c r="M21" s="253"/>
    </row>
    <row r="22" spans="2:13" ht="100.9">
      <c r="B22" s="113" t="s">
        <v>345</v>
      </c>
      <c r="C22" s="333" t="s">
        <v>502</v>
      </c>
      <c r="D22" s="314" t="s">
        <v>348</v>
      </c>
      <c r="E22" s="256">
        <v>1000</v>
      </c>
      <c r="F22" s="315" t="s">
        <v>349</v>
      </c>
      <c r="G22" s="315" t="s">
        <v>350</v>
      </c>
      <c r="H22" s="253" t="s">
        <v>351</v>
      </c>
      <c r="I22" s="252" t="s">
        <v>503</v>
      </c>
      <c r="J22" s="254" t="s">
        <v>352</v>
      </c>
      <c r="K22" s="253"/>
      <c r="L22" s="338" t="s">
        <v>316</v>
      </c>
      <c r="M22" s="253"/>
    </row>
    <row r="23" spans="2:13" ht="100.9">
      <c r="B23" s="113" t="s">
        <v>353</v>
      </c>
      <c r="C23" s="255" t="s">
        <v>355</v>
      </c>
      <c r="D23" s="314" t="s">
        <v>356</v>
      </c>
      <c r="E23" s="256" t="s">
        <v>311</v>
      </c>
      <c r="F23" s="253" t="s">
        <v>357</v>
      </c>
      <c r="G23" s="253" t="s">
        <v>358</v>
      </c>
      <c r="H23" s="253" t="s">
        <v>351</v>
      </c>
      <c r="I23" s="253" t="s">
        <v>503</v>
      </c>
      <c r="J23" s="254" t="s">
        <v>352</v>
      </c>
      <c r="K23" s="253"/>
      <c r="L23" s="338" t="s">
        <v>316</v>
      </c>
      <c r="M23" s="253"/>
    </row>
    <row r="24" spans="2:13" ht="144">
      <c r="B24" s="113" t="s">
        <v>360</v>
      </c>
      <c r="C24" s="255" t="s">
        <v>362</v>
      </c>
      <c r="D24" s="314" t="s">
        <v>363</v>
      </c>
      <c r="E24" s="336">
        <v>2117.9899999999998</v>
      </c>
      <c r="F24" s="253" t="s">
        <v>364</v>
      </c>
      <c r="G24" s="253" t="s">
        <v>365</v>
      </c>
      <c r="H24" s="253" t="s">
        <v>351</v>
      </c>
      <c r="I24" s="253" t="s">
        <v>503</v>
      </c>
      <c r="J24" s="254" t="s">
        <v>352</v>
      </c>
      <c r="K24" s="253"/>
      <c r="L24" s="338" t="s">
        <v>316</v>
      </c>
      <c r="M24" s="253"/>
    </row>
    <row r="25" spans="2:13" ht="100.9">
      <c r="B25" s="113" t="s">
        <v>366</v>
      </c>
      <c r="C25" s="255" t="s">
        <v>368</v>
      </c>
      <c r="D25" s="314" t="s">
        <v>369</v>
      </c>
      <c r="E25" s="256" t="s">
        <v>311</v>
      </c>
      <c r="F25" s="253" t="s">
        <v>370</v>
      </c>
      <c r="G25" s="253" t="s">
        <v>371</v>
      </c>
      <c r="H25" s="253" t="s">
        <v>351</v>
      </c>
      <c r="I25" s="253" t="s">
        <v>503</v>
      </c>
      <c r="J25" s="254" t="s">
        <v>352</v>
      </c>
      <c r="K25" s="253"/>
      <c r="L25" s="338" t="s">
        <v>316</v>
      </c>
      <c r="M25" s="253"/>
    </row>
    <row r="26" spans="2:13" ht="129.6">
      <c r="B26" s="113" t="s">
        <v>372</v>
      </c>
      <c r="C26" s="255" t="s">
        <v>374</v>
      </c>
      <c r="D26" s="314" t="s">
        <v>375</v>
      </c>
      <c r="E26" s="335">
        <v>109</v>
      </c>
      <c r="F26" s="253" t="s">
        <v>376</v>
      </c>
      <c r="G26" s="253" t="s">
        <v>377</v>
      </c>
      <c r="H26" s="253" t="s">
        <v>351</v>
      </c>
      <c r="I26" s="253" t="s">
        <v>504</v>
      </c>
      <c r="J26" s="254" t="s">
        <v>352</v>
      </c>
      <c r="K26" s="253"/>
      <c r="L26" s="338" t="s">
        <v>316</v>
      </c>
      <c r="M26" s="253"/>
    </row>
    <row r="27" spans="2:13" ht="72">
      <c r="B27" s="113" t="s">
        <v>378</v>
      </c>
      <c r="C27" s="255" t="s">
        <v>380</v>
      </c>
      <c r="D27" s="314" t="s">
        <v>381</v>
      </c>
      <c r="E27" s="256" t="s">
        <v>311</v>
      </c>
      <c r="F27" s="253" t="s">
        <v>382</v>
      </c>
      <c r="G27" s="253" t="s">
        <v>383</v>
      </c>
      <c r="H27" s="253" t="s">
        <v>384</v>
      </c>
      <c r="I27" s="253" t="s">
        <v>471</v>
      </c>
      <c r="J27" s="254" t="s">
        <v>352</v>
      </c>
      <c r="K27" s="253"/>
      <c r="L27" s="338" t="s">
        <v>316</v>
      </c>
      <c r="M27" s="253"/>
    </row>
    <row r="28" spans="2:13" ht="129.6">
      <c r="B28" s="113" t="s">
        <v>385</v>
      </c>
      <c r="C28" s="255" t="s">
        <v>387</v>
      </c>
      <c r="D28" s="314" t="s">
        <v>388</v>
      </c>
      <c r="E28" s="256" t="s">
        <v>311</v>
      </c>
      <c r="F28" s="253" t="s">
        <v>389</v>
      </c>
      <c r="G28" s="253" t="s">
        <v>390</v>
      </c>
      <c r="H28" s="253" t="s">
        <v>351</v>
      </c>
      <c r="I28" s="253" t="s">
        <v>505</v>
      </c>
      <c r="J28" s="254" t="s">
        <v>315</v>
      </c>
      <c r="K28" s="253"/>
      <c r="L28" s="338" t="s">
        <v>316</v>
      </c>
      <c r="M28" s="253"/>
    </row>
    <row r="29" spans="2:13" ht="72">
      <c r="B29" s="113" t="s">
        <v>392</v>
      </c>
      <c r="C29" s="331" t="s">
        <v>506</v>
      </c>
      <c r="D29" s="316" t="s">
        <v>395</v>
      </c>
      <c r="E29" s="335" t="s">
        <v>396</v>
      </c>
      <c r="F29" s="335"/>
      <c r="G29" s="335"/>
      <c r="H29" s="253" t="s">
        <v>351</v>
      </c>
      <c r="I29" s="315"/>
      <c r="J29" s="254" t="s">
        <v>324</v>
      </c>
      <c r="K29" s="253"/>
      <c r="L29" s="338" t="s">
        <v>316</v>
      </c>
      <c r="M29" s="253"/>
    </row>
    <row r="30" spans="2:13" ht="100.9">
      <c r="B30" s="113" t="s">
        <v>398</v>
      </c>
      <c r="C30" s="331" t="s">
        <v>400</v>
      </c>
      <c r="D30" s="314" t="s">
        <v>401</v>
      </c>
      <c r="E30" s="335">
        <v>396946.2</v>
      </c>
      <c r="F30" s="335"/>
      <c r="G30" s="335"/>
      <c r="H30" s="253" t="s">
        <v>313</v>
      </c>
      <c r="I30" s="315"/>
      <c r="J30" s="254" t="s">
        <v>315</v>
      </c>
      <c r="K30" s="253"/>
      <c r="L30" s="338" t="s">
        <v>316</v>
      </c>
      <c r="M30" s="253"/>
    </row>
    <row r="31" spans="2:13" ht="187.15">
      <c r="B31" s="113" t="s">
        <v>402</v>
      </c>
      <c r="C31" s="331" t="s">
        <v>404</v>
      </c>
      <c r="D31" s="314" t="s">
        <v>405</v>
      </c>
      <c r="E31" s="335">
        <v>32000</v>
      </c>
      <c r="F31" s="335"/>
      <c r="G31" s="315" t="s">
        <v>406</v>
      </c>
      <c r="H31" s="253" t="s">
        <v>351</v>
      </c>
      <c r="I31" s="315"/>
      <c r="J31" s="254" t="s">
        <v>324</v>
      </c>
      <c r="K31" s="253"/>
      <c r="L31" s="338" t="s">
        <v>316</v>
      </c>
      <c r="M31" s="253"/>
    </row>
    <row r="32" spans="2:13" ht="144">
      <c r="B32" s="113" t="s">
        <v>407</v>
      </c>
      <c r="C32" s="331" t="s">
        <v>409</v>
      </c>
      <c r="D32" s="314" t="s">
        <v>410</v>
      </c>
      <c r="E32" s="337">
        <v>1503630.42</v>
      </c>
      <c r="F32" s="335"/>
      <c r="G32" s="335"/>
      <c r="H32" s="253" t="s">
        <v>313</v>
      </c>
      <c r="I32" s="315"/>
      <c r="J32" s="254" t="s">
        <v>324</v>
      </c>
      <c r="K32" s="253"/>
      <c r="L32" s="338" t="s">
        <v>316</v>
      </c>
      <c r="M32" s="253"/>
    </row>
    <row r="33" spans="1:13" ht="72">
      <c r="B33" s="113" t="s">
        <v>411</v>
      </c>
      <c r="C33" s="332" t="s">
        <v>413</v>
      </c>
      <c r="D33" s="318" t="s">
        <v>414</v>
      </c>
      <c r="E33" s="317" t="s">
        <v>311</v>
      </c>
      <c r="F33" s="319" t="s">
        <v>415</v>
      </c>
      <c r="G33" s="319" t="s">
        <v>416</v>
      </c>
      <c r="H33" s="253" t="s">
        <v>313</v>
      </c>
      <c r="I33" s="319"/>
      <c r="J33" s="320" t="s">
        <v>352</v>
      </c>
      <c r="K33" s="253"/>
      <c r="L33" s="338" t="s">
        <v>316</v>
      </c>
      <c r="M33" s="253"/>
    </row>
    <row r="34" spans="1:13" ht="129.6">
      <c r="A34" s="107"/>
      <c r="B34" s="113" t="s">
        <v>418</v>
      </c>
      <c r="C34" s="331" t="s">
        <v>507</v>
      </c>
      <c r="D34" s="318" t="s">
        <v>421</v>
      </c>
      <c r="E34" s="335" t="s">
        <v>396</v>
      </c>
      <c r="F34" s="335"/>
      <c r="G34" s="335"/>
      <c r="H34" s="253" t="s">
        <v>384</v>
      </c>
      <c r="I34" s="319"/>
      <c r="J34" s="320" t="s">
        <v>352</v>
      </c>
      <c r="K34" s="253"/>
      <c r="L34" s="338" t="s">
        <v>316</v>
      </c>
      <c r="M34" s="253"/>
    </row>
    <row r="35" spans="1:13" ht="172.9">
      <c r="A35" s="107"/>
      <c r="B35" s="113" t="s">
        <v>423</v>
      </c>
      <c r="C35" s="331" t="s">
        <v>425</v>
      </c>
      <c r="D35" s="318" t="s">
        <v>426</v>
      </c>
      <c r="E35" s="335" t="s">
        <v>396</v>
      </c>
      <c r="F35" s="335"/>
      <c r="G35" s="335"/>
      <c r="H35" s="253" t="s">
        <v>313</v>
      </c>
      <c r="I35" s="319"/>
      <c r="J35" s="320" t="s">
        <v>315</v>
      </c>
      <c r="K35" s="253"/>
      <c r="L35" s="338" t="s">
        <v>316</v>
      </c>
      <c r="M35" s="253"/>
    </row>
    <row r="36" spans="1:13" ht="244.9">
      <c r="A36" s="107"/>
      <c r="B36" s="113" t="s">
        <v>427</v>
      </c>
      <c r="C36" s="331" t="s">
        <v>429</v>
      </c>
      <c r="D36" s="318" t="s">
        <v>430</v>
      </c>
      <c r="E36" s="317" t="s">
        <v>396</v>
      </c>
      <c r="F36" s="319" t="s">
        <v>431</v>
      </c>
      <c r="G36" s="319" t="s">
        <v>432</v>
      </c>
      <c r="H36" s="253" t="s">
        <v>331</v>
      </c>
      <c r="I36" s="319"/>
      <c r="J36" s="320" t="s">
        <v>315</v>
      </c>
      <c r="K36" s="253"/>
      <c r="L36" s="338" t="s">
        <v>316</v>
      </c>
      <c r="M36" s="253"/>
    </row>
    <row r="37" spans="1:13" ht="201.6">
      <c r="A37" s="107"/>
      <c r="B37" s="113" t="s">
        <v>433</v>
      </c>
      <c r="C37" s="331" t="s">
        <v>435</v>
      </c>
      <c r="D37" s="318" t="s">
        <v>436</v>
      </c>
      <c r="E37" s="334" t="s">
        <v>396</v>
      </c>
      <c r="F37" s="335"/>
      <c r="G37" s="335"/>
      <c r="H37" s="253" t="s">
        <v>313</v>
      </c>
      <c r="I37" s="319"/>
      <c r="J37" s="320" t="s">
        <v>324</v>
      </c>
      <c r="K37" s="253"/>
      <c r="L37" s="338" t="s">
        <v>316</v>
      </c>
      <c r="M37" s="253"/>
    </row>
    <row r="38" spans="1:13" ht="72">
      <c r="A38" s="107"/>
      <c r="B38" s="113" t="s">
        <v>437</v>
      </c>
      <c r="C38" s="331" t="s">
        <v>508</v>
      </c>
      <c r="D38" s="318" t="s">
        <v>440</v>
      </c>
      <c r="E38" s="317">
        <v>598391.24</v>
      </c>
      <c r="F38" s="335"/>
      <c r="G38" s="335"/>
      <c r="H38" s="253" t="s">
        <v>351</v>
      </c>
      <c r="I38" s="319"/>
      <c r="J38" s="320" t="s">
        <v>315</v>
      </c>
      <c r="K38" s="253"/>
      <c r="L38" s="338" t="s">
        <v>316</v>
      </c>
      <c r="M38" s="253"/>
    </row>
    <row r="39" spans="1:13" ht="14.45">
      <c r="A39" s="107"/>
      <c r="B39" s="113"/>
      <c r="C39" s="331"/>
      <c r="D39" s="318"/>
      <c r="E39" s="317"/>
      <c r="F39" s="319"/>
      <c r="G39" s="319"/>
      <c r="H39" s="319"/>
      <c r="I39" s="319"/>
      <c r="J39" s="320"/>
      <c r="K39" s="253"/>
      <c r="L39" s="338"/>
      <c r="M39" s="253"/>
    </row>
    <row r="40" spans="1:13" ht="13.5" customHeight="1">
      <c r="B40" s="113"/>
      <c r="C40" s="331"/>
      <c r="D40" s="318"/>
      <c r="E40" s="317"/>
      <c r="F40" s="319"/>
      <c r="G40" s="319"/>
      <c r="H40" s="319"/>
      <c r="I40" s="319"/>
      <c r="J40" s="320"/>
      <c r="K40" s="253"/>
      <c r="L40" s="253"/>
      <c r="M40" s="253"/>
    </row>
    <row r="41" spans="1:13" ht="13.5" customHeight="1">
      <c r="B41" s="113"/>
      <c r="C41" s="331"/>
      <c r="D41" s="318"/>
      <c r="E41" s="317"/>
      <c r="F41" s="319"/>
      <c r="G41" s="319"/>
      <c r="H41" s="319"/>
      <c r="I41" s="319"/>
      <c r="J41" s="320"/>
      <c r="K41" s="253"/>
      <c r="L41" s="253"/>
      <c r="M41" s="253"/>
    </row>
    <row r="42" spans="1:13" ht="13.5" customHeight="1">
      <c r="B42" s="113"/>
      <c r="C42" s="331"/>
      <c r="D42" s="318"/>
      <c r="E42" s="317"/>
      <c r="F42" s="319"/>
      <c r="G42" s="319"/>
      <c r="H42" s="319"/>
      <c r="I42" s="319"/>
      <c r="J42" s="320"/>
      <c r="K42" s="253"/>
      <c r="L42" s="253"/>
      <c r="M42" s="253"/>
    </row>
    <row r="43" spans="1:13" ht="13.5" customHeight="1">
      <c r="B43" s="113"/>
      <c r="C43" s="331"/>
      <c r="D43" s="318"/>
      <c r="E43" s="317"/>
      <c r="F43" s="319"/>
      <c r="G43" s="319"/>
      <c r="H43" s="319"/>
      <c r="I43" s="319"/>
      <c r="J43" s="320"/>
      <c r="K43" s="253"/>
      <c r="L43" s="253"/>
      <c r="M43" s="253"/>
    </row>
    <row r="44" spans="1:13" ht="13.5" customHeight="1">
      <c r="B44" s="113"/>
      <c r="C44" s="331"/>
      <c r="D44" s="318"/>
      <c r="E44" s="317"/>
      <c r="F44" s="319"/>
      <c r="G44" s="319"/>
      <c r="H44" s="319"/>
      <c r="I44" s="319"/>
      <c r="J44" s="320"/>
      <c r="K44" s="253"/>
      <c r="L44" s="253"/>
      <c r="M44" s="253"/>
    </row>
    <row r="45" spans="1:13" ht="13.5" customHeight="1">
      <c r="B45" s="113"/>
      <c r="C45" s="331"/>
      <c r="D45" s="318"/>
      <c r="E45" s="317"/>
      <c r="F45" s="319"/>
      <c r="G45" s="319"/>
      <c r="H45" s="319"/>
      <c r="I45" s="319"/>
      <c r="J45" s="320"/>
      <c r="K45" s="253"/>
      <c r="L45" s="253"/>
      <c r="M45" s="253"/>
    </row>
    <row r="46" spans="1:13" ht="13.5" customHeight="1">
      <c r="B46" s="113"/>
      <c r="C46" s="331"/>
      <c r="D46" s="318"/>
      <c r="E46" s="317"/>
      <c r="F46" s="319"/>
      <c r="G46" s="319"/>
      <c r="H46" s="319"/>
      <c r="I46" s="319"/>
      <c r="J46" s="320"/>
      <c r="K46" s="253"/>
      <c r="L46" s="253"/>
      <c r="M46" s="253"/>
    </row>
    <row r="47" spans="1:13" ht="13.5" customHeight="1">
      <c r="B47" s="113"/>
      <c r="C47" s="331"/>
      <c r="D47" s="318"/>
      <c r="E47" s="317"/>
      <c r="F47" s="319"/>
      <c r="G47" s="319"/>
      <c r="H47" s="319"/>
      <c r="I47" s="319"/>
      <c r="J47" s="320"/>
      <c r="K47" s="253"/>
      <c r="L47" s="253"/>
      <c r="M47" s="253"/>
    </row>
    <row r="48" spans="1:13" ht="13.5" customHeight="1">
      <c r="B48" s="113"/>
      <c r="C48" s="331"/>
      <c r="D48" s="318"/>
      <c r="E48" s="317"/>
      <c r="F48" s="319"/>
      <c r="G48" s="319"/>
      <c r="H48" s="319"/>
      <c r="I48" s="319"/>
      <c r="J48" s="320"/>
      <c r="K48" s="253"/>
      <c r="L48" s="253"/>
      <c r="M48" s="253"/>
    </row>
    <row r="49" spans="2:13" ht="13.5" customHeight="1">
      <c r="B49" s="113"/>
      <c r="C49" s="331"/>
      <c r="D49" s="318"/>
      <c r="E49" s="317"/>
      <c r="F49" s="319"/>
      <c r="G49" s="319"/>
      <c r="H49" s="319"/>
      <c r="I49" s="319"/>
      <c r="J49" s="320"/>
      <c r="K49" s="253"/>
      <c r="L49" s="253"/>
      <c r="M49" s="253"/>
    </row>
    <row r="50" spans="2:13" ht="13.5" customHeight="1">
      <c r="B50" s="113"/>
      <c r="C50" s="331"/>
      <c r="D50" s="318"/>
      <c r="E50" s="317"/>
      <c r="F50" s="319"/>
      <c r="G50" s="319"/>
      <c r="H50" s="319"/>
      <c r="I50" s="319"/>
      <c r="J50" s="320"/>
      <c r="K50" s="253"/>
      <c r="L50" s="253"/>
      <c r="M50" s="253"/>
    </row>
    <row r="51" spans="2:13" ht="13.5" customHeight="1">
      <c r="B51" s="113"/>
      <c r="C51" s="331"/>
      <c r="D51" s="318"/>
      <c r="E51" s="317"/>
      <c r="F51" s="319"/>
      <c r="G51" s="319"/>
      <c r="H51" s="319"/>
      <c r="I51" s="319"/>
      <c r="J51" s="320"/>
      <c r="K51" s="253"/>
      <c r="L51" s="253"/>
      <c r="M51" s="253"/>
    </row>
    <row r="52" spans="2:13" ht="13.5" customHeight="1">
      <c r="B52" s="113"/>
      <c r="C52" s="331"/>
      <c r="D52" s="318"/>
      <c r="E52" s="317"/>
      <c r="F52" s="319"/>
      <c r="G52" s="319"/>
      <c r="H52" s="319"/>
      <c r="I52" s="319"/>
      <c r="J52" s="320"/>
      <c r="K52" s="253"/>
      <c r="L52" s="253"/>
      <c r="M52" s="253"/>
    </row>
    <row r="53" spans="2:13" ht="13.5" customHeight="1">
      <c r="B53" s="113"/>
      <c r="C53" s="331"/>
      <c r="D53" s="318"/>
      <c r="E53" s="317"/>
      <c r="F53" s="319"/>
      <c r="G53" s="319"/>
      <c r="H53" s="319"/>
      <c r="I53" s="319"/>
      <c r="J53" s="320"/>
      <c r="K53" s="253"/>
      <c r="L53" s="253"/>
      <c r="M53" s="253"/>
    </row>
    <row r="54" spans="2:13" ht="13.5" customHeight="1">
      <c r="B54" s="113"/>
      <c r="C54" s="331"/>
      <c r="D54" s="318"/>
      <c r="E54" s="317"/>
      <c r="F54" s="319"/>
      <c r="G54" s="319"/>
      <c r="H54" s="319"/>
      <c r="I54" s="319"/>
      <c r="J54" s="320"/>
      <c r="K54" s="253"/>
      <c r="L54" s="253"/>
      <c r="M54" s="253"/>
    </row>
    <row r="55" spans="2:13" ht="13.5" customHeight="1">
      <c r="B55" s="113"/>
      <c r="C55" s="331"/>
      <c r="D55" s="318"/>
      <c r="E55" s="317"/>
      <c r="F55" s="319"/>
      <c r="G55" s="319"/>
      <c r="H55" s="319"/>
      <c r="I55" s="319"/>
      <c r="J55" s="320"/>
      <c r="K55" s="253"/>
      <c r="L55" s="253"/>
      <c r="M55" s="253"/>
    </row>
    <row r="56" spans="2:13" ht="13.5" customHeight="1">
      <c r="B56" s="113"/>
      <c r="C56" s="331"/>
      <c r="D56" s="318"/>
      <c r="E56" s="317"/>
      <c r="F56" s="319"/>
      <c r="G56" s="319"/>
      <c r="H56" s="319"/>
      <c r="I56" s="319"/>
      <c r="J56" s="320"/>
      <c r="K56" s="253"/>
      <c r="L56" s="253"/>
      <c r="M56" s="253"/>
    </row>
    <row r="57" spans="2:13" ht="13.5" customHeight="1">
      <c r="B57" s="113"/>
      <c r="C57" s="331"/>
      <c r="D57" s="318"/>
      <c r="E57" s="317"/>
      <c r="F57" s="319"/>
      <c r="G57" s="319"/>
      <c r="H57" s="319"/>
      <c r="I57" s="319"/>
      <c r="J57" s="320"/>
      <c r="K57" s="253"/>
      <c r="L57" s="253"/>
      <c r="M57" s="253"/>
    </row>
    <row r="58" spans="2:13" ht="13.5" customHeight="1">
      <c r="B58" s="113"/>
      <c r="C58" s="331"/>
      <c r="D58" s="318"/>
      <c r="E58" s="317"/>
      <c r="F58" s="319"/>
      <c r="G58" s="319"/>
      <c r="H58" s="319"/>
      <c r="I58" s="319"/>
      <c r="J58" s="320"/>
      <c r="K58" s="253"/>
      <c r="L58" s="253"/>
      <c r="M58" s="253"/>
    </row>
    <row r="59" spans="2:13" ht="13.5" customHeight="1">
      <c r="B59" s="113"/>
      <c r="C59" s="331"/>
      <c r="D59" s="318"/>
      <c r="E59" s="317"/>
      <c r="F59" s="319"/>
      <c r="G59" s="319"/>
      <c r="H59" s="319"/>
      <c r="I59" s="319"/>
      <c r="J59" s="320"/>
      <c r="K59" s="253"/>
      <c r="L59" s="253"/>
      <c r="M59" s="253"/>
    </row>
    <row r="60" spans="2:13" ht="13.5" customHeight="1">
      <c r="B60" s="113"/>
      <c r="C60" s="331"/>
      <c r="D60" s="318"/>
      <c r="E60" s="317"/>
      <c r="F60" s="319"/>
      <c r="G60" s="319"/>
      <c r="H60" s="319"/>
      <c r="I60" s="319"/>
      <c r="J60" s="320"/>
      <c r="K60" s="253"/>
      <c r="L60" s="253"/>
      <c r="M60" s="253"/>
    </row>
    <row r="61" spans="2:13" ht="13.5" customHeight="1">
      <c r="B61" s="113"/>
      <c r="C61" s="198"/>
      <c r="D61" s="98"/>
      <c r="E61" s="115"/>
      <c r="F61" s="98"/>
      <c r="G61" s="98"/>
      <c r="H61" s="97"/>
      <c r="I61" s="98"/>
      <c r="J61" s="95"/>
      <c r="K61" s="95"/>
      <c r="L61" s="95"/>
      <c r="M61" s="100"/>
    </row>
    <row r="62" spans="2:13" ht="13.5" customHeight="1">
      <c r="B62" s="113"/>
      <c r="C62" s="198"/>
      <c r="D62" s="98"/>
      <c r="E62" s="115"/>
      <c r="F62" s="98"/>
      <c r="G62" s="98"/>
      <c r="H62" s="97"/>
      <c r="I62" s="98"/>
      <c r="J62" s="95"/>
      <c r="K62" s="95"/>
      <c r="L62" s="95"/>
      <c r="M62" s="100"/>
    </row>
    <row r="63" spans="2:13" ht="13.5" customHeight="1">
      <c r="B63" s="113"/>
      <c r="C63" s="198"/>
      <c r="D63" s="98"/>
      <c r="E63" s="302"/>
      <c r="F63" s="98"/>
      <c r="G63" s="98"/>
      <c r="H63" s="97"/>
      <c r="I63" s="98"/>
      <c r="J63" s="95"/>
      <c r="K63" s="95"/>
      <c r="L63" s="95"/>
      <c r="M63" s="100"/>
    </row>
    <row r="64" spans="2:13" ht="13.5" customHeight="1">
      <c r="B64" s="113"/>
      <c r="C64" s="198"/>
      <c r="D64" s="98"/>
      <c r="E64" s="115"/>
      <c r="F64" s="98"/>
      <c r="G64" s="98"/>
      <c r="H64" s="97"/>
      <c r="I64" s="98"/>
      <c r="J64" s="95"/>
      <c r="K64" s="95"/>
      <c r="L64" s="95"/>
      <c r="M64" s="100"/>
    </row>
    <row r="65" spans="2:14" ht="13.5" customHeight="1">
      <c r="B65" s="113"/>
      <c r="C65" s="198"/>
      <c r="D65" s="98"/>
      <c r="E65" s="302"/>
      <c r="F65" s="98"/>
      <c r="G65" s="98"/>
      <c r="H65" s="95"/>
      <c r="I65" s="98"/>
      <c r="J65" s="95"/>
      <c r="K65" s="95"/>
      <c r="L65" s="95"/>
      <c r="M65" s="100"/>
    </row>
    <row r="66" spans="2:14" ht="13.5" customHeight="1">
      <c r="B66" s="113"/>
      <c r="C66" s="198"/>
      <c r="D66" s="116"/>
      <c r="E66" s="302"/>
      <c r="F66" s="98"/>
      <c r="G66" s="98"/>
      <c r="H66" s="97"/>
      <c r="I66" s="98"/>
      <c r="J66" s="95"/>
      <c r="K66" s="95"/>
      <c r="L66" s="95"/>
      <c r="M66" s="100"/>
    </row>
    <row r="67" spans="2:14" ht="13.5" customHeight="1">
      <c r="B67" s="113"/>
      <c r="C67" s="198"/>
      <c r="D67" s="98"/>
      <c r="E67" s="302"/>
      <c r="F67" s="98"/>
      <c r="G67" s="98"/>
      <c r="H67" s="95"/>
      <c r="I67" s="98"/>
      <c r="J67" s="95"/>
      <c r="K67" s="95"/>
      <c r="L67" s="95"/>
      <c r="M67" s="100"/>
    </row>
    <row r="68" spans="2:14" ht="13.5" customHeight="1">
      <c r="B68" s="113"/>
      <c r="C68" s="198"/>
      <c r="D68" s="98"/>
      <c r="E68" s="302"/>
      <c r="F68" s="98"/>
      <c r="G68" s="98"/>
      <c r="H68" s="95"/>
      <c r="I68" s="98"/>
      <c r="J68" s="95"/>
      <c r="K68" s="95"/>
      <c r="L68" s="95"/>
      <c r="M68" s="100"/>
    </row>
    <row r="69" spans="2:14" ht="13.5" customHeight="1">
      <c r="B69" s="113"/>
      <c r="C69" s="198"/>
      <c r="D69" s="116"/>
      <c r="E69" s="302"/>
      <c r="F69" s="98"/>
      <c r="G69" s="98"/>
      <c r="H69" s="97"/>
      <c r="I69" s="98"/>
      <c r="J69" s="95"/>
      <c r="K69" s="95"/>
      <c r="L69" s="95"/>
      <c r="M69" s="100"/>
    </row>
    <row r="70" spans="2:14" ht="13.5" customHeight="1">
      <c r="B70" s="113"/>
      <c r="C70" s="198"/>
      <c r="D70" s="116"/>
      <c r="E70" s="115"/>
      <c r="F70" s="98"/>
      <c r="G70" s="98"/>
      <c r="H70" s="95"/>
      <c r="I70" s="98"/>
      <c r="J70" s="95"/>
      <c r="K70" s="95"/>
      <c r="L70" s="95"/>
      <c r="M70" s="100"/>
    </row>
    <row r="71" spans="2:14" ht="13.5" customHeight="1">
      <c r="B71" s="113"/>
      <c r="C71" s="198"/>
      <c r="D71" s="98"/>
      <c r="E71" s="302"/>
      <c r="F71" s="114"/>
      <c r="G71" s="98"/>
      <c r="H71" s="97"/>
      <c r="I71" s="98"/>
      <c r="J71" s="95"/>
      <c r="K71" s="95"/>
      <c r="L71" s="95"/>
      <c r="M71" s="100"/>
    </row>
    <row r="72" spans="2:14" ht="13.5" customHeight="1">
      <c r="B72" s="113"/>
      <c r="C72" s="198"/>
      <c r="D72" s="116"/>
      <c r="E72" s="302"/>
      <c r="F72" s="98"/>
      <c r="G72" s="98"/>
      <c r="H72" s="97"/>
      <c r="I72" s="98"/>
      <c r="J72" s="95"/>
      <c r="K72" s="95"/>
      <c r="L72" s="95"/>
      <c r="M72" s="100"/>
    </row>
    <row r="73" spans="2:14" ht="13.5" customHeight="1">
      <c r="B73" s="113"/>
      <c r="C73" s="198"/>
      <c r="D73" s="116"/>
      <c r="E73" s="302"/>
      <c r="F73" s="98"/>
      <c r="G73" s="98"/>
      <c r="H73" s="97"/>
      <c r="I73" s="98"/>
      <c r="J73" s="95"/>
      <c r="K73" s="95"/>
      <c r="L73" s="95"/>
      <c r="M73" s="100"/>
    </row>
    <row r="74" spans="2:14" ht="13.5" customHeight="1">
      <c r="B74" s="113"/>
      <c r="C74" s="198"/>
      <c r="D74" s="116"/>
      <c r="E74" s="302"/>
      <c r="F74" s="98"/>
      <c r="G74" s="98"/>
      <c r="H74" s="97"/>
      <c r="I74" s="98"/>
      <c r="J74" s="95"/>
      <c r="K74" s="95"/>
      <c r="L74" s="95"/>
      <c r="M74" s="100"/>
    </row>
    <row r="75" spans="2:14" ht="13.5" customHeight="1">
      <c r="B75" s="113"/>
      <c r="C75" s="198"/>
      <c r="D75" s="98"/>
      <c r="E75" s="302"/>
      <c r="F75" s="98"/>
      <c r="G75" s="98"/>
      <c r="H75" s="97"/>
      <c r="I75" s="98"/>
      <c r="J75" s="95"/>
      <c r="K75" s="95"/>
      <c r="L75" s="95"/>
      <c r="M75" s="100"/>
    </row>
    <row r="76" spans="2:14" ht="13.5" customHeight="1">
      <c r="B76" s="113"/>
      <c r="C76" s="198"/>
      <c r="D76" s="98"/>
      <c r="E76" s="302"/>
      <c r="F76" s="98"/>
      <c r="G76" s="98"/>
      <c r="H76" s="97"/>
      <c r="I76" s="98"/>
      <c r="J76" s="95"/>
      <c r="K76" s="95"/>
      <c r="L76" s="95"/>
      <c r="M76" s="100"/>
      <c r="N76" s="107"/>
    </row>
    <row r="77" spans="2:14" ht="13.5" customHeight="1">
      <c r="B77" s="113"/>
      <c r="C77" s="198"/>
      <c r="D77" s="98"/>
      <c r="E77" s="302"/>
      <c r="F77" s="98"/>
      <c r="G77" s="98"/>
      <c r="H77" s="97"/>
      <c r="I77" s="98"/>
      <c r="J77" s="95"/>
      <c r="K77" s="95"/>
      <c r="L77" s="95"/>
      <c r="M77" s="100"/>
      <c r="N77" s="107"/>
    </row>
    <row r="78" spans="2:14" ht="13.5" customHeight="1">
      <c r="B78" s="113"/>
      <c r="C78" s="198"/>
      <c r="D78" s="98"/>
      <c r="E78" s="302"/>
      <c r="F78" s="98"/>
      <c r="G78" s="98"/>
      <c r="H78" s="97"/>
      <c r="I78" s="98"/>
      <c r="J78" s="95"/>
      <c r="K78" s="95"/>
      <c r="L78" s="95"/>
      <c r="M78" s="100"/>
    </row>
    <row r="79" spans="2:14" ht="13.5" customHeight="1">
      <c r="B79" s="113"/>
      <c r="C79" s="198"/>
      <c r="D79" s="98"/>
      <c r="E79" s="302"/>
      <c r="F79" s="98"/>
      <c r="G79" s="98"/>
      <c r="H79" s="97"/>
      <c r="I79" s="98"/>
      <c r="J79" s="95"/>
      <c r="K79" s="95"/>
      <c r="L79" s="95"/>
      <c r="M79" s="100"/>
    </row>
    <row r="80" spans="2:14" ht="13.5" customHeight="1">
      <c r="B80" s="113"/>
      <c r="C80" s="198"/>
      <c r="D80" s="116"/>
      <c r="E80" s="302"/>
      <c r="F80" s="98"/>
      <c r="G80" s="98"/>
      <c r="H80" s="97"/>
      <c r="I80" s="98"/>
      <c r="J80" s="95"/>
      <c r="K80" s="95"/>
      <c r="L80" s="95"/>
      <c r="M80" s="100"/>
    </row>
    <row r="81" spans="2:13" ht="13.5" customHeight="1">
      <c r="B81" s="113"/>
      <c r="C81" s="198"/>
      <c r="D81" s="98"/>
      <c r="E81" s="302"/>
      <c r="F81" s="98"/>
      <c r="G81" s="98"/>
      <c r="H81" s="97"/>
      <c r="I81" s="98"/>
      <c r="J81" s="95"/>
      <c r="K81" s="95"/>
      <c r="L81" s="95"/>
      <c r="M81" s="100"/>
    </row>
    <row r="82" spans="2:13" ht="13.5" customHeight="1">
      <c r="B82" s="113"/>
      <c r="C82" s="198"/>
      <c r="D82" s="116"/>
      <c r="E82" s="115"/>
      <c r="F82" s="98"/>
      <c r="G82" s="98"/>
      <c r="H82" s="95"/>
      <c r="I82" s="98"/>
      <c r="J82" s="95"/>
      <c r="K82" s="95"/>
      <c r="L82" s="95"/>
      <c r="M82" s="100"/>
    </row>
    <row r="83" spans="2:13" ht="13.5" customHeight="1">
      <c r="B83" s="113"/>
      <c r="C83" s="198"/>
      <c r="D83" s="116"/>
      <c r="E83" s="115"/>
      <c r="F83" s="98"/>
      <c r="G83" s="98"/>
      <c r="H83" s="95"/>
      <c r="I83" s="98"/>
      <c r="J83" s="95"/>
      <c r="K83" s="95"/>
      <c r="L83" s="95"/>
      <c r="M83" s="100"/>
    </row>
    <row r="84" spans="2:13" ht="13.5" customHeight="1">
      <c r="B84" s="113"/>
      <c r="C84" s="198"/>
      <c r="D84" s="116"/>
      <c r="E84" s="115"/>
      <c r="F84" s="98"/>
      <c r="G84" s="98"/>
      <c r="H84" s="95"/>
      <c r="I84" s="103"/>
      <c r="J84" s="95"/>
      <c r="K84" s="95"/>
      <c r="L84" s="313"/>
      <c r="M84" s="99"/>
    </row>
    <row r="85" spans="2:13" ht="13.5" customHeight="1">
      <c r="B85" s="113"/>
      <c r="C85" s="198"/>
      <c r="D85" s="116"/>
      <c r="E85" s="115"/>
      <c r="F85" s="114"/>
      <c r="G85" s="98"/>
      <c r="H85" s="95"/>
      <c r="I85" s="98"/>
      <c r="J85" s="95"/>
      <c r="K85" s="95"/>
      <c r="L85" s="95"/>
      <c r="M85" s="100"/>
    </row>
    <row r="86" spans="2:13" ht="13.5" customHeight="1"/>
    <row r="87" spans="2:13" ht="13.5" customHeight="1"/>
  </sheetData>
  <phoneticPr fontId="47" type="noConversion"/>
  <conditionalFormatting sqref="C25">
    <cfRule type="duplicateValues" dxfId="160" priority="10"/>
  </conditionalFormatting>
  <conditionalFormatting sqref="C26:C27">
    <cfRule type="duplicateValues" dxfId="159" priority="15"/>
  </conditionalFormatting>
  <conditionalFormatting sqref="C28 C23:C24">
    <cfRule type="duplicateValues" dxfId="158" priority="16"/>
  </conditionalFormatting>
  <conditionalFormatting sqref="C61:C84">
    <cfRule type="duplicateValues" dxfId="157" priority="146"/>
  </conditionalFormatting>
  <conditionalFormatting sqref="C85">
    <cfRule type="duplicateValues" dxfId="156" priority="40"/>
  </conditionalFormatting>
  <conditionalFormatting sqref="D61">
    <cfRule type="duplicateValues" dxfId="155" priority="78"/>
  </conditionalFormatting>
  <conditionalFormatting sqref="D62">
    <cfRule type="duplicateValues" dxfId="154" priority="72"/>
  </conditionalFormatting>
  <conditionalFormatting sqref="D63">
    <cfRule type="duplicateValues" dxfId="153" priority="77"/>
  </conditionalFormatting>
  <conditionalFormatting sqref="D64">
    <cfRule type="duplicateValues" dxfId="152" priority="69"/>
  </conditionalFormatting>
  <conditionalFormatting sqref="D65">
    <cfRule type="duplicateValues" dxfId="151" priority="51"/>
  </conditionalFormatting>
  <conditionalFormatting sqref="D67">
    <cfRule type="duplicateValues" dxfId="150" priority="53"/>
  </conditionalFormatting>
  <conditionalFormatting sqref="D68">
    <cfRule type="duplicateValues" dxfId="149" priority="50"/>
  </conditionalFormatting>
  <conditionalFormatting sqref="D71">
    <cfRule type="duplicateValues" dxfId="148" priority="54"/>
  </conditionalFormatting>
  <conditionalFormatting sqref="D75">
    <cfRule type="duplicateValues" dxfId="147" priority="102"/>
  </conditionalFormatting>
  <conditionalFormatting sqref="D78">
    <cfRule type="duplicateValues" dxfId="146" priority="48"/>
  </conditionalFormatting>
  <conditionalFormatting sqref="D81 D79 D76:D77">
    <cfRule type="duplicateValues" dxfId="145" priority="101"/>
  </conditionalFormatting>
  <conditionalFormatting sqref="F23">
    <cfRule type="duplicateValues" dxfId="144" priority="11"/>
  </conditionalFormatting>
  <conditionalFormatting sqref="F61">
    <cfRule type="duplicateValues" dxfId="143" priority="75"/>
  </conditionalFormatting>
  <conditionalFormatting sqref="F62">
    <cfRule type="duplicateValues" dxfId="142" priority="74"/>
  </conditionalFormatting>
  <conditionalFormatting sqref="F63">
    <cfRule type="duplicateValues" dxfId="141" priority="73"/>
  </conditionalFormatting>
  <conditionalFormatting sqref="F64">
    <cfRule type="duplicateValues" dxfId="140" priority="67"/>
  </conditionalFormatting>
  <conditionalFormatting sqref="F67">
    <cfRule type="duplicateValues" dxfId="139" priority="66"/>
  </conditionalFormatting>
  <conditionalFormatting sqref="F75">
    <cfRule type="duplicateValues" dxfId="138" priority="100"/>
  </conditionalFormatting>
  <conditionalFormatting sqref="F81 F79 F76:F77">
    <cfRule type="duplicateValues" dxfId="137" priority="99"/>
  </conditionalFormatting>
  <conditionalFormatting sqref="G64">
    <cfRule type="duplicateValues" dxfId="136" priority="65"/>
  </conditionalFormatting>
  <conditionalFormatting sqref="G67">
    <cfRule type="duplicateValues" dxfId="135" priority="64"/>
  </conditionalFormatting>
  <conditionalFormatting sqref="J8:J60">
    <cfRule type="containsText" dxfId="134" priority="1" operator="containsText" text="Baixo Impacto">
      <formula>NOT(ISERROR(SEARCH("Baixo Impacto",J8)))</formula>
    </cfRule>
    <cfRule type="containsText" dxfId="133" priority="2" operator="containsText" text="Médio Impacto">
      <formula>NOT(ISERROR(SEARCH("Médio Impacto",J8)))</formula>
    </cfRule>
    <cfRule type="containsText" dxfId="132" priority="3" operator="containsText" text="Alto Impacto">
      <formula>NOT(ISERROR(SEARCH("Alto Impacto",J8)))</formula>
    </cfRule>
  </conditionalFormatting>
  <dataValidations count="1">
    <dataValidation type="list" allowBlank="1" showErrorMessage="1" sqref="H8:H38" xr:uid="{82F7379A-6B22-46B0-90DF-B06E917EF766}">
      <formula1>"Estratégico,Financeiro,Operacional,Legal,Tecnologia,Imagem"</formula1>
    </dataValidation>
  </dataValidations>
  <pageMargins left="0.511811024" right="0.511811024" top="0.78740157499999996" bottom="0.78740157499999996" header="0.31496062000000002" footer="0.31496062000000002"/>
  <pageSetup paperSize="9" orientation="portrait" horizontalDpi="1200" verticalDpi="12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369CA1D-004B-47E3-9333-856BF72F5176}">
          <x14:formula1>
            <xm:f>'Lista Suspensa'!$C$4:$C$62</xm:f>
          </x14:formula1>
          <xm:sqref>I6:M6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6:E1000"/>
  <sheetViews>
    <sheetView showGridLines="0" topLeftCell="A16" workbookViewId="0"/>
  </sheetViews>
  <sheetFormatPr defaultColWidth="12.625" defaultRowHeight="15" customHeight="1"/>
  <cols>
    <col min="1" max="2" width="7.625" customWidth="1"/>
    <col min="3" max="3" width="55.625" customWidth="1"/>
    <col min="4" max="4" width="24.125" customWidth="1"/>
    <col min="5" max="5" width="41.125" customWidth="1"/>
    <col min="6" max="26" width="7.625" customWidth="1"/>
  </cols>
  <sheetData>
    <row r="6" spans="2:5" ht="14.45">
      <c r="B6" s="1" t="s">
        <v>509</v>
      </c>
    </row>
    <row r="7" spans="2:5" ht="29.45">
      <c r="B7" s="17" t="s">
        <v>510</v>
      </c>
      <c r="C7" s="18" t="s">
        <v>511</v>
      </c>
      <c r="D7" s="19" t="s">
        <v>315</v>
      </c>
      <c r="E7" s="20" t="s">
        <v>512</v>
      </c>
    </row>
    <row r="8" spans="2:5" ht="18">
      <c r="B8" s="17" t="s">
        <v>513</v>
      </c>
      <c r="C8" s="18" t="s">
        <v>514</v>
      </c>
      <c r="D8" s="19" t="s">
        <v>315</v>
      </c>
      <c r="E8" s="20" t="s">
        <v>515</v>
      </c>
    </row>
    <row r="9" spans="2:5" ht="27.6">
      <c r="B9" s="17" t="s">
        <v>516</v>
      </c>
      <c r="C9" s="18" t="s">
        <v>517</v>
      </c>
      <c r="D9" s="19" t="s">
        <v>315</v>
      </c>
      <c r="E9" s="20" t="s">
        <v>518</v>
      </c>
    </row>
    <row r="10" spans="2:5" ht="27.6">
      <c r="B10" s="17" t="s">
        <v>519</v>
      </c>
      <c r="C10" s="18" t="s">
        <v>290</v>
      </c>
      <c r="D10" s="19" t="s">
        <v>315</v>
      </c>
      <c r="E10" s="20" t="s">
        <v>518</v>
      </c>
    </row>
    <row r="11" spans="2:5" ht="27.6">
      <c r="B11" s="17" t="s">
        <v>520</v>
      </c>
      <c r="C11" s="18" t="s">
        <v>302</v>
      </c>
      <c r="D11" s="19" t="s">
        <v>315</v>
      </c>
      <c r="E11" s="20" t="s">
        <v>518</v>
      </c>
    </row>
    <row r="12" spans="2:5" ht="18">
      <c r="B12" s="17" t="s">
        <v>521</v>
      </c>
      <c r="C12" s="18" t="s">
        <v>522</v>
      </c>
      <c r="D12" s="19" t="s">
        <v>315</v>
      </c>
      <c r="E12" s="20" t="s">
        <v>523</v>
      </c>
    </row>
    <row r="13" spans="2:5" ht="18">
      <c r="B13" s="21" t="s">
        <v>524</v>
      </c>
      <c r="C13" s="18" t="s">
        <v>525</v>
      </c>
      <c r="D13" s="22" t="s">
        <v>526</v>
      </c>
      <c r="E13" s="20" t="s">
        <v>523</v>
      </c>
    </row>
    <row r="14" spans="2:5" ht="18">
      <c r="B14" s="23" t="s">
        <v>527</v>
      </c>
      <c r="C14" s="24" t="s">
        <v>528</v>
      </c>
      <c r="D14" s="25" t="s">
        <v>352</v>
      </c>
      <c r="E14" s="20" t="s">
        <v>529</v>
      </c>
    </row>
    <row r="15" spans="2:5" ht="31.15">
      <c r="B15" s="17" t="s">
        <v>530</v>
      </c>
      <c r="C15" s="18" t="s">
        <v>531</v>
      </c>
      <c r="D15" s="19" t="s">
        <v>315</v>
      </c>
      <c r="E15" s="20" t="s">
        <v>532</v>
      </c>
    </row>
    <row r="16" spans="2:5" ht="30.75" customHeight="1">
      <c r="B16" s="17" t="s">
        <v>533</v>
      </c>
      <c r="C16" s="18" t="s">
        <v>534</v>
      </c>
      <c r="D16" s="19" t="s">
        <v>315</v>
      </c>
      <c r="E16" s="20" t="s">
        <v>535</v>
      </c>
    </row>
    <row r="17" spans="2:5" ht="27.6">
      <c r="B17" s="26" t="s">
        <v>536</v>
      </c>
      <c r="C17" s="27" t="s">
        <v>537</v>
      </c>
      <c r="D17" s="25" t="s">
        <v>352</v>
      </c>
      <c r="E17" s="20" t="s">
        <v>538</v>
      </c>
    </row>
    <row r="18" spans="2:5" ht="18">
      <c r="B18" s="21" t="s">
        <v>539</v>
      </c>
      <c r="C18" s="18" t="s">
        <v>540</v>
      </c>
      <c r="D18" s="22" t="s">
        <v>526</v>
      </c>
      <c r="E18" s="20" t="s">
        <v>538</v>
      </c>
    </row>
    <row r="19" spans="2:5" ht="18">
      <c r="B19" s="21" t="s">
        <v>541</v>
      </c>
      <c r="C19" s="18" t="s">
        <v>542</v>
      </c>
      <c r="D19" s="22" t="s">
        <v>526</v>
      </c>
      <c r="E19" s="20" t="s">
        <v>538</v>
      </c>
    </row>
    <row r="20" spans="2:5" ht="13.9">
      <c r="B20" s="23"/>
      <c r="C20" s="18"/>
      <c r="D20" s="25"/>
    </row>
    <row r="21" spans="2:5" ht="15.75" customHeight="1">
      <c r="B21" s="17"/>
      <c r="C21" s="18"/>
      <c r="D21" s="19"/>
    </row>
    <row r="22" spans="2:5" ht="31.5" customHeight="1">
      <c r="B22" s="23"/>
      <c r="C22" s="18"/>
      <c r="D22" s="25"/>
    </row>
    <row r="23" spans="2:5" ht="15.75" customHeight="1"/>
    <row r="24" spans="2:5" ht="15.75" customHeight="1"/>
    <row r="25" spans="2:5" ht="15.75" customHeight="1"/>
    <row r="26" spans="2:5" ht="15.75" customHeight="1"/>
    <row r="27" spans="2:5" ht="15.75" customHeight="1"/>
    <row r="28" spans="2:5" ht="15.75" customHeight="1"/>
    <row r="29" spans="2:5" ht="15.75" customHeight="1"/>
    <row r="30" spans="2:5" ht="15.75" customHeight="1"/>
    <row r="31" spans="2:5" ht="15.75" customHeight="1"/>
    <row r="32" spans="2: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499999996" bottom="0.78740157499999996"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92D7-428D-4D53-9743-CF8BB2C36BBC}">
  <dimension ref="A2:Z1006"/>
  <sheetViews>
    <sheetView showGridLines="0" topLeftCell="A40" workbookViewId="0">
      <selection activeCell="D22" sqref="D22"/>
    </sheetView>
  </sheetViews>
  <sheetFormatPr defaultColWidth="12.625" defaultRowHeight="15" customHeight="1"/>
  <cols>
    <col min="1" max="1" width="4.125" customWidth="1"/>
    <col min="2" max="2" width="7.625" customWidth="1"/>
    <col min="3" max="3" width="55.625" customWidth="1"/>
    <col min="4" max="4" width="46.125" customWidth="1"/>
    <col min="5" max="5" width="48.625" customWidth="1"/>
    <col min="6" max="6" width="26.5" customWidth="1"/>
    <col min="7" max="7" width="61.125" customWidth="1"/>
    <col min="8" max="8" width="12.625" customWidth="1"/>
    <col min="9" max="9" width="26.5" customWidth="1"/>
    <col min="10" max="10" width="27.625" customWidth="1"/>
    <col min="11" max="11" width="32.125" customWidth="1"/>
    <col min="12" max="12" width="32.625" customWidth="1"/>
    <col min="13" max="26" width="7.625" customWidth="1"/>
  </cols>
  <sheetData>
    <row r="2" spans="2:12" ht="3" customHeight="1"/>
    <row r="3" spans="2:12" ht="33.6" customHeight="1">
      <c r="F3" s="423" t="s">
        <v>272</v>
      </c>
      <c r="I3" s="28" t="s">
        <v>543</v>
      </c>
      <c r="J3" s="424" t="s">
        <v>544</v>
      </c>
      <c r="L3" s="424" t="s">
        <v>545</v>
      </c>
    </row>
    <row r="4" spans="2:12" ht="14.45">
      <c r="B4" s="29">
        <v>1</v>
      </c>
      <c r="C4" s="29">
        <v>2</v>
      </c>
      <c r="D4" s="29">
        <v>3</v>
      </c>
      <c r="E4" s="29">
        <v>4</v>
      </c>
      <c r="F4" s="29">
        <v>5</v>
      </c>
      <c r="G4" s="29">
        <v>6</v>
      </c>
      <c r="H4" s="29">
        <v>7</v>
      </c>
      <c r="I4" s="29">
        <v>8</v>
      </c>
      <c r="J4" s="29">
        <v>9</v>
      </c>
      <c r="K4" s="29" t="s">
        <v>274</v>
      </c>
      <c r="L4" t="s">
        <v>546</v>
      </c>
    </row>
    <row r="5" spans="2:12" thickBot="1">
      <c r="B5" s="1" t="s">
        <v>232</v>
      </c>
      <c r="C5" s="1" t="s">
        <v>277</v>
      </c>
      <c r="D5" s="1" t="s">
        <v>278</v>
      </c>
      <c r="E5" s="1" t="s">
        <v>279</v>
      </c>
      <c r="F5" s="1" t="s">
        <v>280</v>
      </c>
      <c r="G5" s="1" t="s">
        <v>281</v>
      </c>
      <c r="H5" s="1" t="s">
        <v>17</v>
      </c>
      <c r="I5" s="1" t="s">
        <v>282</v>
      </c>
    </row>
    <row r="6" spans="2:12" ht="70.150000000000006" hidden="1" thickTop="1" thickBot="1">
      <c r="B6" s="62" t="s">
        <v>285</v>
      </c>
      <c r="C6" s="18" t="s">
        <v>547</v>
      </c>
      <c r="D6" s="31" t="s">
        <v>548</v>
      </c>
      <c r="E6" s="425" t="s">
        <v>549</v>
      </c>
      <c r="F6" s="426" t="s">
        <v>396</v>
      </c>
      <c r="G6" s="425" t="s">
        <v>550</v>
      </c>
      <c r="H6" s="425" t="s">
        <v>331</v>
      </c>
      <c r="I6" s="427" t="s">
        <v>512</v>
      </c>
      <c r="J6" s="416" t="s">
        <v>457</v>
      </c>
      <c r="K6" s="428" t="s">
        <v>551</v>
      </c>
      <c r="L6" s="429" t="s">
        <v>552</v>
      </c>
    </row>
    <row r="7" spans="2:12" ht="42.6" hidden="1" thickTop="1" thickBot="1">
      <c r="B7" s="62" t="s">
        <v>289</v>
      </c>
      <c r="C7" s="18" t="s">
        <v>517</v>
      </c>
      <c r="D7" s="31" t="s">
        <v>553</v>
      </c>
      <c r="E7" s="425" t="s">
        <v>554</v>
      </c>
      <c r="F7" s="426" t="s">
        <v>396</v>
      </c>
      <c r="G7" s="425" t="s">
        <v>555</v>
      </c>
      <c r="H7" s="425" t="s">
        <v>384</v>
      </c>
      <c r="I7" s="427" t="s">
        <v>515</v>
      </c>
      <c r="J7" s="416" t="s">
        <v>450</v>
      </c>
      <c r="K7" s="429" t="s">
        <v>556</v>
      </c>
    </row>
    <row r="8" spans="2:12" ht="56.45" hidden="1" thickTop="1" thickBot="1">
      <c r="B8" s="62" t="s">
        <v>292</v>
      </c>
      <c r="C8" s="18" t="s">
        <v>290</v>
      </c>
      <c r="D8" s="31" t="s">
        <v>557</v>
      </c>
      <c r="E8" s="425" t="s">
        <v>558</v>
      </c>
      <c r="F8" s="426" t="s">
        <v>396</v>
      </c>
      <c r="G8" s="425" t="s">
        <v>559</v>
      </c>
      <c r="H8" s="425" t="s">
        <v>384</v>
      </c>
      <c r="I8" s="427" t="s">
        <v>518</v>
      </c>
      <c r="J8" s="416" t="s">
        <v>458</v>
      </c>
      <c r="K8" s="429" t="s">
        <v>556</v>
      </c>
    </row>
    <row r="9" spans="2:12" ht="42.6" hidden="1" thickTop="1" thickBot="1">
      <c r="B9" s="62" t="s">
        <v>560</v>
      </c>
      <c r="C9" s="18" t="s">
        <v>561</v>
      </c>
      <c r="D9" s="31" t="s">
        <v>562</v>
      </c>
      <c r="E9" s="425" t="s">
        <v>563</v>
      </c>
      <c r="F9" s="426" t="s">
        <v>396</v>
      </c>
      <c r="G9" s="425" t="s">
        <v>564</v>
      </c>
      <c r="H9" s="425" t="s">
        <v>384</v>
      </c>
      <c r="I9" s="427" t="s">
        <v>565</v>
      </c>
      <c r="J9" s="416" t="s">
        <v>457</v>
      </c>
      <c r="K9" s="429" t="s">
        <v>556</v>
      </c>
    </row>
    <row r="10" spans="2:12" ht="42.6" hidden="1" thickTop="1" thickBot="1">
      <c r="B10" s="62" t="s">
        <v>566</v>
      </c>
      <c r="C10" s="18" t="s">
        <v>567</v>
      </c>
      <c r="D10" s="31" t="s">
        <v>568</v>
      </c>
      <c r="E10" s="425" t="s">
        <v>569</v>
      </c>
      <c r="F10" s="426" t="s">
        <v>396</v>
      </c>
      <c r="G10" s="425" t="s">
        <v>570</v>
      </c>
      <c r="H10" s="425" t="s">
        <v>331</v>
      </c>
      <c r="I10" s="427" t="s">
        <v>523</v>
      </c>
      <c r="J10" s="416" t="s">
        <v>450</v>
      </c>
      <c r="K10" s="429" t="s">
        <v>556</v>
      </c>
    </row>
    <row r="11" spans="2:12" ht="42.6" hidden="1" thickTop="1" thickBot="1">
      <c r="B11" s="62" t="s">
        <v>571</v>
      </c>
      <c r="C11" s="18" t="s">
        <v>572</v>
      </c>
      <c r="D11" s="31" t="s">
        <v>573</v>
      </c>
      <c r="E11" s="425" t="s">
        <v>574</v>
      </c>
      <c r="F11" s="426" t="s">
        <v>396</v>
      </c>
      <c r="G11" s="425" t="s">
        <v>575</v>
      </c>
      <c r="H11" s="425" t="s">
        <v>384</v>
      </c>
      <c r="I11" s="427" t="s">
        <v>529</v>
      </c>
      <c r="J11" s="416" t="s">
        <v>458</v>
      </c>
      <c r="K11" s="429" t="s">
        <v>556</v>
      </c>
    </row>
    <row r="12" spans="2:12" ht="42.6" hidden="1" thickTop="1" thickBot="1">
      <c r="B12" s="62" t="s">
        <v>576</v>
      </c>
      <c r="C12" s="18" t="s">
        <v>577</v>
      </c>
      <c r="D12" s="31" t="s">
        <v>578</v>
      </c>
      <c r="E12" s="425" t="s">
        <v>579</v>
      </c>
      <c r="F12" s="426" t="s">
        <v>396</v>
      </c>
      <c r="G12" s="425" t="s">
        <v>580</v>
      </c>
      <c r="H12" s="425" t="s">
        <v>331</v>
      </c>
      <c r="I12" s="427" t="s">
        <v>581</v>
      </c>
      <c r="J12" s="416" t="s">
        <v>457</v>
      </c>
      <c r="K12" s="429" t="s">
        <v>556</v>
      </c>
    </row>
    <row r="13" spans="2:12" ht="56.45" thickTop="1" thickBot="1">
      <c r="B13" s="30" t="s">
        <v>582</v>
      </c>
      <c r="C13" s="18" t="s">
        <v>293</v>
      </c>
      <c r="D13" s="31" t="s">
        <v>475</v>
      </c>
      <c r="E13" s="425" t="s">
        <v>583</v>
      </c>
      <c r="F13" s="426" t="s">
        <v>396</v>
      </c>
      <c r="G13" s="425" t="s">
        <v>584</v>
      </c>
      <c r="H13" s="425" t="s">
        <v>384</v>
      </c>
      <c r="I13" s="427" t="s">
        <v>585</v>
      </c>
      <c r="J13" s="416" t="s">
        <v>450</v>
      </c>
      <c r="K13" s="428" t="s">
        <v>551</v>
      </c>
    </row>
    <row r="14" spans="2:12" ht="42.6" hidden="1" thickTop="1" thickBot="1">
      <c r="B14" s="62" t="s">
        <v>586</v>
      </c>
      <c r="C14" s="32" t="s">
        <v>587</v>
      </c>
      <c r="D14" s="31" t="s">
        <v>588</v>
      </c>
      <c r="E14" s="425" t="s">
        <v>589</v>
      </c>
      <c r="F14" s="426" t="s">
        <v>396</v>
      </c>
      <c r="G14" s="425" t="s">
        <v>590</v>
      </c>
      <c r="H14" s="425" t="s">
        <v>384</v>
      </c>
      <c r="I14" s="427" t="s">
        <v>518</v>
      </c>
      <c r="J14" s="416" t="s">
        <v>458</v>
      </c>
      <c r="K14" s="429" t="s">
        <v>556</v>
      </c>
    </row>
    <row r="15" spans="2:12" ht="56.45" thickTop="1" thickBot="1">
      <c r="B15" s="30" t="s">
        <v>591</v>
      </c>
      <c r="C15" s="18" t="s">
        <v>592</v>
      </c>
      <c r="D15" s="31" t="s">
        <v>593</v>
      </c>
      <c r="E15" s="425" t="s">
        <v>594</v>
      </c>
      <c r="F15" s="426" t="s">
        <v>396</v>
      </c>
      <c r="G15" s="425" t="s">
        <v>595</v>
      </c>
      <c r="H15" s="425" t="s">
        <v>384</v>
      </c>
      <c r="I15" s="427" t="s">
        <v>585</v>
      </c>
      <c r="J15" s="416" t="s">
        <v>457</v>
      </c>
      <c r="K15" s="428" t="s">
        <v>551</v>
      </c>
    </row>
    <row r="16" spans="2:12" ht="56.45" hidden="1" thickTop="1" thickBot="1">
      <c r="B16" s="62" t="s">
        <v>596</v>
      </c>
      <c r="C16" s="18" t="s">
        <v>597</v>
      </c>
      <c r="D16" s="31" t="s">
        <v>598</v>
      </c>
      <c r="E16" s="425" t="s">
        <v>599</v>
      </c>
      <c r="F16" s="426" t="s">
        <v>396</v>
      </c>
      <c r="G16" s="425" t="s">
        <v>600</v>
      </c>
      <c r="H16" s="425" t="s">
        <v>351</v>
      </c>
      <c r="I16" s="427" t="s">
        <v>518</v>
      </c>
      <c r="J16" s="416" t="s">
        <v>450</v>
      </c>
      <c r="K16" s="428" t="s">
        <v>551</v>
      </c>
    </row>
    <row r="17" spans="1:26" ht="42.6" hidden="1" thickTop="1" thickBot="1">
      <c r="B17" s="62" t="s">
        <v>601</v>
      </c>
      <c r="C17" s="18" t="s">
        <v>602</v>
      </c>
      <c r="D17" s="31" t="s">
        <v>603</v>
      </c>
      <c r="E17" s="425" t="s">
        <v>604</v>
      </c>
      <c r="F17" s="426" t="s">
        <v>396</v>
      </c>
      <c r="G17" s="425" t="s">
        <v>605</v>
      </c>
      <c r="H17" s="425" t="s">
        <v>384</v>
      </c>
      <c r="I17" s="427" t="s">
        <v>518</v>
      </c>
      <c r="J17" s="416" t="s">
        <v>458</v>
      </c>
      <c r="K17" s="429" t="s">
        <v>556</v>
      </c>
    </row>
    <row r="18" spans="1:26" ht="56.45" hidden="1" thickTop="1" thickBot="1">
      <c r="B18" s="62" t="s">
        <v>606</v>
      </c>
      <c r="C18" s="18" t="s">
        <v>607</v>
      </c>
      <c r="D18" s="31" t="s">
        <v>608</v>
      </c>
      <c r="E18" s="425" t="s">
        <v>609</v>
      </c>
      <c r="F18" s="426" t="s">
        <v>396</v>
      </c>
      <c r="G18" s="425" t="s">
        <v>610</v>
      </c>
      <c r="H18" s="425" t="s">
        <v>384</v>
      </c>
      <c r="I18" s="427" t="s">
        <v>518</v>
      </c>
      <c r="J18" s="416" t="s">
        <v>457</v>
      </c>
      <c r="K18" s="429" t="s">
        <v>556</v>
      </c>
    </row>
    <row r="19" spans="1:26" ht="125.45" hidden="1" thickTop="1" thickBot="1">
      <c r="B19" s="62" t="s">
        <v>611</v>
      </c>
      <c r="C19" s="18" t="s">
        <v>567</v>
      </c>
      <c r="D19" s="31" t="s">
        <v>568</v>
      </c>
      <c r="E19" s="425" t="s">
        <v>569</v>
      </c>
      <c r="F19" s="426" t="s">
        <v>396</v>
      </c>
      <c r="G19" s="425" t="s">
        <v>570</v>
      </c>
      <c r="H19" s="425" t="s">
        <v>331</v>
      </c>
      <c r="I19" s="427" t="s">
        <v>523</v>
      </c>
      <c r="J19" s="416" t="s">
        <v>450</v>
      </c>
      <c r="K19" s="430" t="s">
        <v>612</v>
      </c>
      <c r="L19" s="9"/>
      <c r="M19" s="9"/>
      <c r="N19" s="9"/>
      <c r="O19" s="9"/>
      <c r="P19" s="9"/>
      <c r="Q19" s="9"/>
      <c r="R19" s="9"/>
      <c r="S19" s="9"/>
      <c r="T19" s="9"/>
      <c r="U19" s="9"/>
      <c r="V19" s="9"/>
      <c r="W19" s="9"/>
      <c r="X19" s="9"/>
      <c r="Y19" s="9"/>
      <c r="Z19" s="9"/>
    </row>
    <row r="20" spans="1:26" ht="125.45" hidden="1" thickTop="1" thickBot="1">
      <c r="B20" s="62" t="s">
        <v>613</v>
      </c>
      <c r="C20" s="18" t="s">
        <v>302</v>
      </c>
      <c r="D20" s="31" t="s">
        <v>614</v>
      </c>
      <c r="E20" s="425" t="s">
        <v>615</v>
      </c>
      <c r="F20" s="426" t="s">
        <v>396</v>
      </c>
      <c r="G20" s="425" t="s">
        <v>488</v>
      </c>
      <c r="H20" s="425" t="s">
        <v>384</v>
      </c>
      <c r="I20" s="427" t="s">
        <v>518</v>
      </c>
      <c r="J20" s="416" t="s">
        <v>458</v>
      </c>
      <c r="K20" s="430" t="s">
        <v>616</v>
      </c>
    </row>
    <row r="21" spans="1:26" ht="42.6" hidden="1" thickTop="1" thickBot="1">
      <c r="B21" s="62" t="s">
        <v>617</v>
      </c>
      <c r="C21" s="18" t="s">
        <v>618</v>
      </c>
      <c r="D21" s="31" t="s">
        <v>619</v>
      </c>
      <c r="E21" s="425" t="s">
        <v>620</v>
      </c>
      <c r="F21" s="426" t="s">
        <v>396</v>
      </c>
      <c r="G21" s="425" t="s">
        <v>605</v>
      </c>
      <c r="H21" s="425" t="s">
        <v>351</v>
      </c>
      <c r="I21" s="427" t="s">
        <v>518</v>
      </c>
      <c r="J21" s="416" t="s">
        <v>457</v>
      </c>
      <c r="K21" s="430" t="s">
        <v>621</v>
      </c>
    </row>
    <row r="22" spans="1:26" ht="56.45" thickTop="1" thickBot="1">
      <c r="B22" s="30" t="s">
        <v>393</v>
      </c>
      <c r="C22" s="18" t="s">
        <v>622</v>
      </c>
      <c r="D22" s="31" t="s">
        <v>623</v>
      </c>
      <c r="E22" s="425" t="s">
        <v>624</v>
      </c>
      <c r="F22" s="426" t="s">
        <v>396</v>
      </c>
      <c r="G22" s="425" t="s">
        <v>625</v>
      </c>
      <c r="H22" s="425" t="s">
        <v>351</v>
      </c>
      <c r="I22" s="427" t="s">
        <v>626</v>
      </c>
      <c r="J22" s="416" t="s">
        <v>450</v>
      </c>
      <c r="K22" s="428" t="s">
        <v>627</v>
      </c>
    </row>
    <row r="23" spans="1:26" ht="56.45" thickTop="1" thickBot="1">
      <c r="B23" s="30" t="s">
        <v>399</v>
      </c>
      <c r="C23" s="18" t="s">
        <v>628</v>
      </c>
      <c r="D23" s="31" t="s">
        <v>629</v>
      </c>
      <c r="E23" s="425" t="s">
        <v>630</v>
      </c>
      <c r="F23" s="426" t="s">
        <v>396</v>
      </c>
      <c r="G23" s="425" t="s">
        <v>631</v>
      </c>
      <c r="H23" s="425" t="s">
        <v>351</v>
      </c>
      <c r="I23" s="427" t="s">
        <v>585</v>
      </c>
      <c r="J23" s="416" t="s">
        <v>458</v>
      </c>
      <c r="K23" s="428" t="s">
        <v>627</v>
      </c>
    </row>
    <row r="24" spans="1:26" ht="56.45" thickTop="1" thickBot="1">
      <c r="B24" s="30" t="s">
        <v>403</v>
      </c>
      <c r="C24" s="18" t="s">
        <v>632</v>
      </c>
      <c r="D24" s="31" t="s">
        <v>633</v>
      </c>
      <c r="E24" s="425" t="s">
        <v>634</v>
      </c>
      <c r="F24" s="426" t="s">
        <v>396</v>
      </c>
      <c r="G24" s="425" t="s">
        <v>635</v>
      </c>
      <c r="H24" s="425" t="s">
        <v>384</v>
      </c>
      <c r="I24" s="427" t="s">
        <v>636</v>
      </c>
      <c r="J24" s="416" t="s">
        <v>450</v>
      </c>
      <c r="K24" s="428" t="s">
        <v>627</v>
      </c>
    </row>
    <row r="25" spans="1:26" ht="56.45" thickTop="1" thickBot="1">
      <c r="B25" s="30" t="s">
        <v>408</v>
      </c>
      <c r="C25" s="18" t="s">
        <v>637</v>
      </c>
      <c r="D25" s="31" t="s">
        <v>638</v>
      </c>
      <c r="E25" s="425" t="s">
        <v>639</v>
      </c>
      <c r="F25" s="426" t="s">
        <v>396</v>
      </c>
      <c r="G25" s="425" t="s">
        <v>640</v>
      </c>
      <c r="H25" s="425" t="s">
        <v>384</v>
      </c>
      <c r="I25" s="427" t="s">
        <v>641</v>
      </c>
      <c r="J25" s="416" t="s">
        <v>450</v>
      </c>
      <c r="K25" s="428" t="s">
        <v>627</v>
      </c>
    </row>
    <row r="26" spans="1:26" ht="74.849999999999994" customHeight="1" thickTop="1" thickBot="1">
      <c r="B26" s="30" t="s">
        <v>412</v>
      </c>
      <c r="C26" s="18" t="s">
        <v>642</v>
      </c>
      <c r="D26" s="31" t="s">
        <v>643</v>
      </c>
      <c r="E26" s="425" t="s">
        <v>644</v>
      </c>
      <c r="F26" s="426" t="s">
        <v>396</v>
      </c>
      <c r="G26" s="425" t="s">
        <v>645</v>
      </c>
      <c r="H26" s="425" t="s">
        <v>384</v>
      </c>
      <c r="I26" s="427" t="s">
        <v>636</v>
      </c>
      <c r="J26" s="416" t="s">
        <v>450</v>
      </c>
      <c r="K26" s="431" t="s">
        <v>627</v>
      </c>
    </row>
    <row r="27" spans="1:26" ht="56.45" thickTop="1" thickBot="1">
      <c r="B27" s="30" t="s">
        <v>419</v>
      </c>
      <c r="C27" s="18" t="s">
        <v>646</v>
      </c>
      <c r="D27" s="31" t="s">
        <v>647</v>
      </c>
      <c r="E27" s="425" t="s">
        <v>648</v>
      </c>
      <c r="F27" s="426" t="s">
        <v>396</v>
      </c>
      <c r="G27" s="425" t="s">
        <v>649</v>
      </c>
      <c r="H27" s="425" t="s">
        <v>384</v>
      </c>
      <c r="I27" s="427" t="s">
        <v>650</v>
      </c>
      <c r="J27" s="416" t="s">
        <v>450</v>
      </c>
      <c r="K27" s="431" t="s">
        <v>627</v>
      </c>
    </row>
    <row r="28" spans="1:26" ht="97.9" thickTop="1" thickBot="1">
      <c r="B28" s="30" t="s">
        <v>424</v>
      </c>
      <c r="C28" s="18" t="s">
        <v>651</v>
      </c>
      <c r="D28" s="31" t="s">
        <v>652</v>
      </c>
      <c r="E28" s="425" t="s">
        <v>653</v>
      </c>
      <c r="F28" s="426" t="s">
        <v>396</v>
      </c>
      <c r="G28" s="425" t="s">
        <v>654</v>
      </c>
      <c r="H28" s="425" t="s">
        <v>384</v>
      </c>
      <c r="I28" s="427" t="s">
        <v>655</v>
      </c>
      <c r="J28" s="416" t="s">
        <v>450</v>
      </c>
      <c r="K28" s="428" t="s">
        <v>551</v>
      </c>
    </row>
    <row r="29" spans="1:26" ht="70.150000000000006" thickTop="1" thickBot="1">
      <c r="B29" s="30" t="s">
        <v>428</v>
      </c>
      <c r="C29" s="18" t="s">
        <v>656</v>
      </c>
      <c r="D29" s="31" t="s">
        <v>657</v>
      </c>
      <c r="E29" s="425" t="s">
        <v>658</v>
      </c>
      <c r="F29" s="426" t="s">
        <v>396</v>
      </c>
      <c r="G29" s="425" t="s">
        <v>659</v>
      </c>
      <c r="H29" s="425" t="s">
        <v>384</v>
      </c>
      <c r="I29" s="427" t="s">
        <v>655</v>
      </c>
      <c r="J29" s="416" t="s">
        <v>458</v>
      </c>
      <c r="K29" s="428" t="s">
        <v>551</v>
      </c>
    </row>
    <row r="30" spans="1:26" ht="139.15" thickTop="1" thickBot="1">
      <c r="B30" s="30" t="s">
        <v>434</v>
      </c>
      <c r="C30" s="18" t="s">
        <v>660</v>
      </c>
      <c r="D30" s="31" t="s">
        <v>661</v>
      </c>
      <c r="E30" s="425" t="s">
        <v>662</v>
      </c>
      <c r="F30" s="426" t="s">
        <v>396</v>
      </c>
      <c r="G30" s="425" t="s">
        <v>663</v>
      </c>
      <c r="H30" s="425" t="s">
        <v>384</v>
      </c>
      <c r="I30" s="427" t="s">
        <v>664</v>
      </c>
      <c r="J30" s="416" t="s">
        <v>450</v>
      </c>
      <c r="K30" s="432" t="s">
        <v>551</v>
      </c>
    </row>
    <row r="31" spans="1:26" ht="84" thickTop="1" thickBot="1">
      <c r="A31" s="1"/>
      <c r="B31" s="30" t="s">
        <v>438</v>
      </c>
      <c r="C31" s="18" t="s">
        <v>665</v>
      </c>
      <c r="D31" s="31" t="s">
        <v>666</v>
      </c>
      <c r="E31" s="425" t="s">
        <v>667</v>
      </c>
      <c r="F31" s="433">
        <v>1086628.73</v>
      </c>
      <c r="G31" s="425" t="s">
        <v>668</v>
      </c>
      <c r="H31" s="425" t="s">
        <v>384</v>
      </c>
      <c r="I31" s="427" t="s">
        <v>669</v>
      </c>
      <c r="J31" s="416" t="s">
        <v>458</v>
      </c>
      <c r="K31" s="431" t="s">
        <v>627</v>
      </c>
    </row>
    <row r="32" spans="1:26" ht="84" thickTop="1" thickBot="1">
      <c r="B32" s="30" t="s">
        <v>459</v>
      </c>
      <c r="C32" s="18" t="s">
        <v>670</v>
      </c>
      <c r="D32" s="31" t="s">
        <v>671</v>
      </c>
      <c r="E32" s="425" t="s">
        <v>672</v>
      </c>
      <c r="F32" s="426" t="s">
        <v>396</v>
      </c>
      <c r="G32" s="425" t="s">
        <v>673</v>
      </c>
      <c r="H32" s="425" t="s">
        <v>351</v>
      </c>
      <c r="I32" s="427" t="s">
        <v>538</v>
      </c>
      <c r="J32" s="416" t="s">
        <v>450</v>
      </c>
      <c r="K32" s="431" t="s">
        <v>627</v>
      </c>
    </row>
    <row r="33" spans="2:11" ht="97.9" thickTop="1" thickBot="1">
      <c r="B33" s="30" t="s">
        <v>460</v>
      </c>
      <c r="C33" s="18" t="s">
        <v>674</v>
      </c>
      <c r="D33" s="31" t="s">
        <v>675</v>
      </c>
      <c r="E33" s="425" t="s">
        <v>676</v>
      </c>
      <c r="F33" s="426" t="s">
        <v>396</v>
      </c>
      <c r="G33" s="425" t="s">
        <v>677</v>
      </c>
      <c r="H33" s="425" t="s">
        <v>351</v>
      </c>
      <c r="I33" s="427" t="s">
        <v>678</v>
      </c>
      <c r="J33" s="416" t="s">
        <v>450</v>
      </c>
      <c r="K33" s="431" t="s">
        <v>627</v>
      </c>
    </row>
    <row r="34" spans="2:11" ht="56.45" thickTop="1" thickBot="1">
      <c r="B34" s="30" t="s">
        <v>679</v>
      </c>
      <c r="C34" s="18" t="s">
        <v>680</v>
      </c>
      <c r="D34" s="31" t="s">
        <v>681</v>
      </c>
      <c r="E34" s="425" t="s">
        <v>682</v>
      </c>
      <c r="F34" s="426" t="s">
        <v>396</v>
      </c>
      <c r="G34" s="425" t="s">
        <v>683</v>
      </c>
      <c r="H34" s="425" t="s">
        <v>313</v>
      </c>
      <c r="I34" s="427" t="s">
        <v>684</v>
      </c>
      <c r="J34" s="416" t="s">
        <v>457</v>
      </c>
      <c r="K34" s="431" t="s">
        <v>627</v>
      </c>
    </row>
    <row r="35" spans="2:11" ht="56.45" thickTop="1" thickBot="1">
      <c r="B35" s="30" t="s">
        <v>685</v>
      </c>
      <c r="C35" s="18" t="s">
        <v>686</v>
      </c>
      <c r="D35" s="31" t="s">
        <v>687</v>
      </c>
      <c r="E35" s="425" t="s">
        <v>688</v>
      </c>
      <c r="F35" s="426" t="s">
        <v>396</v>
      </c>
      <c r="G35" s="425" t="s">
        <v>689</v>
      </c>
      <c r="H35" s="425" t="s">
        <v>384</v>
      </c>
      <c r="I35" s="427" t="s">
        <v>690</v>
      </c>
      <c r="J35" s="416" t="s">
        <v>457</v>
      </c>
      <c r="K35" s="428" t="s">
        <v>551</v>
      </c>
    </row>
    <row r="36" spans="2:11" ht="15.75" customHeight="1" thickTop="1"/>
    <row r="37" spans="2:11" ht="15.75" customHeight="1"/>
    <row r="38" spans="2:11" ht="15.75" customHeight="1"/>
    <row r="39" spans="2:11" ht="15.75" customHeight="1"/>
    <row r="40" spans="2:11" ht="15.75" customHeight="1">
      <c r="D40" s="9"/>
    </row>
    <row r="41" spans="2:11" ht="15.75" customHeight="1">
      <c r="D41" s="9"/>
      <c r="E41" s="9"/>
    </row>
    <row r="42" spans="2:11" ht="15.75" customHeight="1">
      <c r="D42" s="13"/>
    </row>
    <row r="43" spans="2:11" ht="15.75" customHeight="1"/>
    <row r="44" spans="2:11" ht="15.75" customHeight="1"/>
    <row r="45" spans="2:11" ht="15.75" customHeight="1"/>
    <row r="46" spans="2:11" ht="15.75" customHeight="1"/>
    <row r="47" spans="2:11" ht="15.75" customHeight="1"/>
    <row r="48" spans="2: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B4:J36" xr:uid="{00000000-0009-0000-0000-000003000000}"/>
  <conditionalFormatting sqref="J6:J8 J22:J35">
    <cfRule type="containsText" dxfId="131" priority="1" operator="containsText" text="BAIXO IMPACTO">
      <formula>NOT(ISERROR(SEARCH(("BAIXO IMPACTO"),(J6))))</formula>
    </cfRule>
    <cfRule type="containsText" dxfId="130" priority="2" operator="containsText" text="MÉDIO IMPACTO">
      <formula>NOT(ISERROR(SEARCH(("MÉDIO IMPACTO"),(J6))))</formula>
    </cfRule>
    <cfRule type="containsText" dxfId="129" priority="3" operator="containsText" text="ALTO IMPACTO">
      <formula>NOT(ISERROR(SEARCH(("ALTO IMPACTO"),(J6))))</formula>
    </cfRule>
  </conditionalFormatting>
  <conditionalFormatting sqref="J9:J22">
    <cfRule type="containsText" dxfId="128" priority="4" operator="containsText" text="BAIXO IMPACTO">
      <formula>NOT(ISERROR(SEARCH(("BAIXO IMPACTO"),(J9))))</formula>
    </cfRule>
    <cfRule type="containsText" dxfId="127" priority="5" operator="containsText" text="MÉDIO IMPACTO">
      <formula>NOT(ISERROR(SEARCH(("MÉDIO IMPACTO"),(J9))))</formula>
    </cfRule>
    <cfRule type="containsText" dxfId="126" priority="6" operator="containsText" text="ALTO IMPACTO">
      <formula>NOT(ISERROR(SEARCH(("ALTO IMPACTO"),(J9))))</formula>
    </cfRule>
  </conditionalFormatting>
  <conditionalFormatting sqref="J24:J27">
    <cfRule type="containsText" dxfId="125" priority="19" operator="containsText" text="BAIXO IMPACTO">
      <formula>NOT(ISERROR(SEARCH(("BAIXO IMPACTO"),(J24))))</formula>
    </cfRule>
    <cfRule type="containsText" dxfId="124" priority="20" operator="containsText" text="MÉDIO IMPACTO">
      <formula>NOT(ISERROR(SEARCH(("MÉDIO IMPACTO"),(J24))))</formula>
    </cfRule>
    <cfRule type="containsText" dxfId="123" priority="21" operator="containsText" text="ALTO IMPACTO">
      <formula>NOT(ISERROR(SEARCH(("ALTO IMPACTO"),(J24))))</formula>
    </cfRule>
  </conditionalFormatting>
  <dataValidations count="2">
    <dataValidation type="list" allowBlank="1" showErrorMessage="1" sqref="J6:J35" xr:uid="{F44D95F0-1125-4750-B11B-20F9495C34A7}">
      <formula1>"ALTO IMPACTO,MÉDIO IMPACTO,BAIXO IMPACTO"</formula1>
    </dataValidation>
    <dataValidation type="list" allowBlank="1" showErrorMessage="1" sqref="H6:H35" xr:uid="{A42C6F8E-99F9-4E93-BF09-D0AE7C4EFB53}">
      <formula1>"Estratégico,Financeiro,Operacional,Legal,Tecnologia,Imagem"</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EEEC6EA2-BA65-4717-A535-58911EFB0EC9}">
          <x14:formula1>
            <xm:f>'Lista Suspensa'!#REF!</xm:f>
          </x14:formula1>
          <xm:sqref>I1:I1048576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87BF2-3D9C-4457-A0EE-37479535D32A}">
  <sheetPr>
    <tabColor rgb="FF273A77"/>
  </sheetPr>
  <dimension ref="A1:J26"/>
  <sheetViews>
    <sheetView showGridLines="0" zoomScale="50" zoomScaleNormal="50" workbookViewId="0">
      <selection activeCell="J2" sqref="J2"/>
    </sheetView>
  </sheetViews>
  <sheetFormatPr defaultRowHeight="13.9"/>
  <cols>
    <col min="2" max="2" width="6.625" bestFit="1" customWidth="1"/>
    <col min="3" max="3" width="58.625" style="75" customWidth="1"/>
    <col min="4" max="4" width="65" style="75" customWidth="1"/>
    <col min="6" max="6" width="10.375" customWidth="1"/>
    <col min="7" max="7" width="10.75" customWidth="1"/>
    <col min="8" max="8" width="14.75" customWidth="1"/>
    <col min="9" max="9" width="15.75" customWidth="1"/>
    <col min="10" max="10" width="6.375" bestFit="1" customWidth="1"/>
    <col min="11" max="11" width="20.625" bestFit="1" customWidth="1"/>
    <col min="12" max="12" width="19.5" bestFit="1" customWidth="1"/>
    <col min="13" max="13" width="15.75" bestFit="1" customWidth="1"/>
    <col min="14" max="14" width="19.5" bestFit="1" customWidth="1"/>
    <col min="15" max="15" width="15.5" bestFit="1" customWidth="1"/>
    <col min="17" max="17" width="32.125" bestFit="1" customWidth="1"/>
    <col min="18" max="18" width="28.625" bestFit="1" customWidth="1"/>
    <col min="19" max="19" width="15.5" bestFit="1" customWidth="1"/>
    <col min="20" max="20" width="38.125" bestFit="1" customWidth="1"/>
    <col min="21" max="21" width="60.125" bestFit="1" customWidth="1"/>
    <col min="22" max="25" width="11.75" bestFit="1" customWidth="1"/>
  </cols>
  <sheetData>
    <row r="1" spans="1:10" ht="34.15" customHeight="1" thickBot="1">
      <c r="A1" s="238" t="s">
        <v>691</v>
      </c>
      <c r="B1" s="238" t="s">
        <v>692</v>
      </c>
      <c r="C1" s="239" t="s">
        <v>693</v>
      </c>
      <c r="D1" s="240" t="s">
        <v>694</v>
      </c>
      <c r="E1" s="240"/>
      <c r="F1" s="241" t="s">
        <v>232</v>
      </c>
      <c r="G1" s="242" t="s">
        <v>695</v>
      </c>
      <c r="H1" s="243" t="s">
        <v>444</v>
      </c>
      <c r="I1" s="243" t="s">
        <v>696</v>
      </c>
      <c r="J1" s="244" t="s">
        <v>697</v>
      </c>
    </row>
    <row r="2" spans="1:10" ht="27.6">
      <c r="A2" s="154"/>
      <c r="B2" s="291" t="s">
        <v>234</v>
      </c>
      <c r="C2" s="292" t="s">
        <v>286</v>
      </c>
      <c r="D2" s="305" t="s">
        <v>548</v>
      </c>
      <c r="E2" s="160"/>
      <c r="F2" s="269" t="s">
        <v>234</v>
      </c>
      <c r="G2" s="270">
        <v>8</v>
      </c>
      <c r="H2" s="271">
        <v>0.2857142857142857</v>
      </c>
      <c r="I2" s="303" t="s">
        <v>698</v>
      </c>
      <c r="J2" s="272">
        <v>4</v>
      </c>
    </row>
    <row r="3" spans="1:10" ht="27.6">
      <c r="A3" s="154"/>
      <c r="B3" s="291" t="s">
        <v>237</v>
      </c>
      <c r="C3" s="292" t="s">
        <v>517</v>
      </c>
      <c r="D3" s="305" t="s">
        <v>553</v>
      </c>
      <c r="E3" s="161"/>
      <c r="F3" s="273" t="s">
        <v>237</v>
      </c>
      <c r="G3" s="274">
        <v>0</v>
      </c>
      <c r="H3" s="275" t="s">
        <v>699</v>
      </c>
      <c r="I3" s="276" t="s">
        <v>699</v>
      </c>
      <c r="J3" s="277" t="s">
        <v>699</v>
      </c>
    </row>
    <row r="4" spans="1:10" ht="41.45">
      <c r="A4" s="154"/>
      <c r="B4" s="291" t="s">
        <v>239</v>
      </c>
      <c r="C4" s="292" t="s">
        <v>290</v>
      </c>
      <c r="D4" s="305" t="s">
        <v>557</v>
      </c>
      <c r="E4" s="161"/>
      <c r="F4" s="273" t="s">
        <v>239</v>
      </c>
      <c r="G4" s="274">
        <v>4</v>
      </c>
      <c r="H4" s="275">
        <v>0.14285714285714285</v>
      </c>
      <c r="I4" s="276" t="s">
        <v>700</v>
      </c>
      <c r="J4" s="277">
        <v>3</v>
      </c>
    </row>
    <row r="5" spans="1:10" ht="28.9">
      <c r="A5" s="154"/>
      <c r="B5" s="291" t="s">
        <v>241</v>
      </c>
      <c r="C5" s="292" t="s">
        <v>561</v>
      </c>
      <c r="D5" s="306" t="s">
        <v>562</v>
      </c>
      <c r="E5" s="161"/>
      <c r="F5" s="273" t="s">
        <v>241</v>
      </c>
      <c r="G5" s="274">
        <v>0</v>
      </c>
      <c r="H5" s="275" t="s">
        <v>699</v>
      </c>
      <c r="I5" s="276" t="s">
        <v>699</v>
      </c>
      <c r="J5" s="277" t="s">
        <v>699</v>
      </c>
    </row>
    <row r="6" spans="1:10" ht="28.9">
      <c r="A6" s="154"/>
      <c r="B6" s="291" t="s">
        <v>242</v>
      </c>
      <c r="C6" s="292" t="s">
        <v>701</v>
      </c>
      <c r="D6" s="306" t="s">
        <v>568</v>
      </c>
      <c r="E6" s="161"/>
      <c r="F6" s="273" t="s">
        <v>242</v>
      </c>
      <c r="G6" s="274">
        <v>0</v>
      </c>
      <c r="H6" s="275" t="s">
        <v>699</v>
      </c>
      <c r="I6" s="276" t="s">
        <v>699</v>
      </c>
      <c r="J6" s="277" t="s">
        <v>699</v>
      </c>
    </row>
    <row r="7" spans="1:10" ht="27.6">
      <c r="A7" s="154"/>
      <c r="B7" s="291" t="s">
        <v>243</v>
      </c>
      <c r="C7" s="292" t="s">
        <v>572</v>
      </c>
      <c r="D7" s="305" t="s">
        <v>573</v>
      </c>
      <c r="E7" s="161"/>
      <c r="F7" s="273" t="s">
        <v>243</v>
      </c>
      <c r="G7" s="274">
        <v>0</v>
      </c>
      <c r="H7" s="275" t="s">
        <v>699</v>
      </c>
      <c r="I7" s="276" t="s">
        <v>699</v>
      </c>
      <c r="J7" s="277" t="s">
        <v>699</v>
      </c>
    </row>
    <row r="8" spans="1:10" ht="27.6">
      <c r="A8" s="154"/>
      <c r="B8" s="291" t="s">
        <v>244</v>
      </c>
      <c r="C8" s="292" t="s">
        <v>577</v>
      </c>
      <c r="D8" s="305" t="s">
        <v>578</v>
      </c>
      <c r="E8" s="161"/>
      <c r="F8" s="273" t="s">
        <v>244</v>
      </c>
      <c r="G8" s="274">
        <v>0</v>
      </c>
      <c r="H8" s="275" t="s">
        <v>699</v>
      </c>
      <c r="I8" s="276" t="s">
        <v>699</v>
      </c>
      <c r="J8" s="277" t="s">
        <v>699</v>
      </c>
    </row>
    <row r="9" spans="1:10" ht="28.9">
      <c r="A9" s="154"/>
      <c r="B9" s="291" t="s">
        <v>246</v>
      </c>
      <c r="C9" s="292" t="s">
        <v>293</v>
      </c>
      <c r="D9" s="306" t="s">
        <v>475</v>
      </c>
      <c r="E9" s="161"/>
      <c r="F9" s="273" t="s">
        <v>246</v>
      </c>
      <c r="G9" s="274">
        <v>3</v>
      </c>
      <c r="H9" s="275">
        <v>0.10714285714285714</v>
      </c>
      <c r="I9" s="278" t="s">
        <v>700</v>
      </c>
      <c r="J9" s="277">
        <v>3</v>
      </c>
    </row>
    <row r="10" spans="1:10" ht="28.9">
      <c r="A10" s="154"/>
      <c r="B10" s="291" t="s">
        <v>248</v>
      </c>
      <c r="C10" s="292" t="s">
        <v>587</v>
      </c>
      <c r="D10" s="306" t="s">
        <v>593</v>
      </c>
      <c r="E10" s="161"/>
      <c r="F10" s="273" t="s">
        <v>248</v>
      </c>
      <c r="G10" s="274">
        <v>0</v>
      </c>
      <c r="H10" s="275" t="s">
        <v>699</v>
      </c>
      <c r="I10" s="276" t="s">
        <v>699</v>
      </c>
      <c r="J10" s="277" t="s">
        <v>699</v>
      </c>
    </row>
    <row r="11" spans="1:10" ht="28.9">
      <c r="A11" s="154"/>
      <c r="B11" s="291" t="s">
        <v>249</v>
      </c>
      <c r="C11" s="292" t="s">
        <v>592</v>
      </c>
      <c r="D11" s="306" t="s">
        <v>593</v>
      </c>
      <c r="E11" s="161"/>
      <c r="F11" s="273" t="s">
        <v>249</v>
      </c>
      <c r="G11" s="274">
        <v>0</v>
      </c>
      <c r="H11" s="275" t="s">
        <v>699</v>
      </c>
      <c r="I11" s="276" t="s">
        <v>699</v>
      </c>
      <c r="J11" s="277" t="s">
        <v>699</v>
      </c>
    </row>
    <row r="12" spans="1:10" ht="27.6">
      <c r="A12" s="154"/>
      <c r="B12" s="291" t="s">
        <v>250</v>
      </c>
      <c r="C12" s="292" t="s">
        <v>597</v>
      </c>
      <c r="D12" s="305" t="s">
        <v>598</v>
      </c>
      <c r="E12" s="161"/>
      <c r="F12" s="273" t="s">
        <v>250</v>
      </c>
      <c r="G12" s="274">
        <v>0</v>
      </c>
      <c r="H12" s="275" t="s">
        <v>699</v>
      </c>
      <c r="I12" s="276" t="s">
        <v>699</v>
      </c>
      <c r="J12" s="277" t="s">
        <v>699</v>
      </c>
    </row>
    <row r="13" spans="1:10" ht="28.9">
      <c r="A13" s="154"/>
      <c r="B13" s="291" t="s">
        <v>251</v>
      </c>
      <c r="C13" s="292" t="s">
        <v>296</v>
      </c>
      <c r="D13" s="305" t="s">
        <v>478</v>
      </c>
      <c r="E13" s="161"/>
      <c r="F13" s="273" t="s">
        <v>251</v>
      </c>
      <c r="G13" s="274">
        <v>1</v>
      </c>
      <c r="H13" s="275">
        <v>3.5714285714285712E-2</v>
      </c>
      <c r="I13" s="276" t="s">
        <v>702</v>
      </c>
      <c r="J13" s="277">
        <v>1</v>
      </c>
    </row>
    <row r="14" spans="1:10" ht="28.9">
      <c r="A14" s="154"/>
      <c r="B14" s="291" t="s">
        <v>252</v>
      </c>
      <c r="C14" s="294" t="s">
        <v>299</v>
      </c>
      <c r="D14" s="307" t="s">
        <v>608</v>
      </c>
      <c r="E14" s="161"/>
      <c r="F14" s="273" t="s">
        <v>252</v>
      </c>
      <c r="G14" s="274">
        <v>1</v>
      </c>
      <c r="H14" s="275">
        <v>3.5714285714285712E-2</v>
      </c>
      <c r="I14" s="276" t="s">
        <v>702</v>
      </c>
      <c r="J14" s="277">
        <v>1</v>
      </c>
    </row>
    <row r="15" spans="1:10" ht="28.9">
      <c r="A15" s="154"/>
      <c r="B15" s="291" t="s">
        <v>253</v>
      </c>
      <c r="C15" s="293" t="s">
        <v>607</v>
      </c>
      <c r="D15" s="308" t="s">
        <v>614</v>
      </c>
      <c r="E15" s="161"/>
      <c r="F15" s="273" t="s">
        <v>253</v>
      </c>
      <c r="G15" s="274">
        <v>0</v>
      </c>
      <c r="H15" s="275" t="s">
        <v>699</v>
      </c>
      <c r="I15" s="276" t="s">
        <v>699</v>
      </c>
      <c r="J15" s="277" t="s">
        <v>699</v>
      </c>
    </row>
    <row r="16" spans="1:10" ht="28.9">
      <c r="A16" s="154"/>
      <c r="B16" s="291" t="s">
        <v>254</v>
      </c>
      <c r="C16" s="293" t="s">
        <v>703</v>
      </c>
      <c r="D16" s="308" t="s">
        <v>619</v>
      </c>
      <c r="E16" s="161"/>
      <c r="F16" s="273" t="s">
        <v>254</v>
      </c>
      <c r="G16" s="274">
        <v>0</v>
      </c>
      <c r="H16" s="275" t="s">
        <v>699</v>
      </c>
      <c r="I16" s="276" t="s">
        <v>699</v>
      </c>
      <c r="J16" s="277" t="s">
        <v>699</v>
      </c>
    </row>
    <row r="17" spans="1:10" ht="28.9">
      <c r="A17" s="154"/>
      <c r="B17" s="291" t="s">
        <v>255</v>
      </c>
      <c r="C17" s="292" t="s">
        <v>302</v>
      </c>
      <c r="D17" s="306" t="s">
        <v>489</v>
      </c>
      <c r="E17" s="161"/>
      <c r="F17" s="273" t="s">
        <v>255</v>
      </c>
      <c r="G17" s="274">
        <v>3</v>
      </c>
      <c r="H17" s="275">
        <v>0.10714285714285714</v>
      </c>
      <c r="I17" s="276" t="s">
        <v>700</v>
      </c>
      <c r="J17" s="277">
        <v>3</v>
      </c>
    </row>
    <row r="18" spans="1:10" ht="28.9">
      <c r="A18" s="154"/>
      <c r="B18" s="295" t="s">
        <v>256</v>
      </c>
      <c r="C18" s="292" t="s">
        <v>618</v>
      </c>
      <c r="D18" s="306" t="s">
        <v>704</v>
      </c>
      <c r="E18" s="161"/>
      <c r="F18" s="273" t="s">
        <v>256</v>
      </c>
      <c r="G18" s="274">
        <v>0</v>
      </c>
      <c r="H18" s="275" t="s">
        <v>699</v>
      </c>
      <c r="I18" s="276" t="s">
        <v>699</v>
      </c>
      <c r="J18" s="277" t="s">
        <v>699</v>
      </c>
    </row>
    <row r="19" spans="1:10" ht="28.9">
      <c r="A19" s="154"/>
      <c r="B19" s="295" t="s">
        <v>257</v>
      </c>
      <c r="C19" s="292" t="s">
        <v>455</v>
      </c>
      <c r="D19" s="306" t="s">
        <v>481</v>
      </c>
      <c r="E19" s="161"/>
      <c r="F19" s="273" t="s">
        <v>257</v>
      </c>
      <c r="G19" s="274">
        <v>2</v>
      </c>
      <c r="H19" s="275">
        <v>7.1428571428571425E-2</v>
      </c>
      <c r="I19" s="276" t="s">
        <v>705</v>
      </c>
      <c r="J19" s="277">
        <v>2</v>
      </c>
    </row>
    <row r="20" spans="1:10" ht="14.45">
      <c r="A20" s="154"/>
      <c r="B20" s="295" t="s">
        <v>258</v>
      </c>
      <c r="C20" s="296" t="s">
        <v>305</v>
      </c>
      <c r="D20" s="309"/>
      <c r="E20" s="246"/>
      <c r="F20" s="279" t="s">
        <v>258</v>
      </c>
      <c r="G20" s="274">
        <v>5</v>
      </c>
      <c r="H20" s="281">
        <v>0.17857142857142858</v>
      </c>
      <c r="I20" s="282" t="s">
        <v>700</v>
      </c>
      <c r="J20" s="283">
        <v>3</v>
      </c>
    </row>
    <row r="21" spans="1:10" ht="14.45">
      <c r="A21" s="154"/>
      <c r="B21" s="295" t="s">
        <v>259</v>
      </c>
      <c r="C21" s="296" t="s">
        <v>456</v>
      </c>
      <c r="D21" s="309"/>
      <c r="E21" s="246"/>
      <c r="F21" s="279" t="s">
        <v>259</v>
      </c>
      <c r="G21" s="274">
        <v>1</v>
      </c>
      <c r="H21" s="281">
        <v>3.5714285714285712E-2</v>
      </c>
      <c r="I21" s="282" t="s">
        <v>702</v>
      </c>
      <c r="J21" s="283">
        <v>1</v>
      </c>
    </row>
    <row r="22" spans="1:10" ht="14.45">
      <c r="A22" s="154"/>
      <c r="B22" s="295" t="s">
        <v>260</v>
      </c>
      <c r="C22" s="296"/>
      <c r="D22" s="309"/>
      <c r="E22" s="246"/>
      <c r="F22" s="279"/>
      <c r="G22" s="274"/>
      <c r="H22" s="281"/>
      <c r="I22" s="282"/>
      <c r="J22" s="283"/>
    </row>
    <row r="23" spans="1:10" ht="14.45">
      <c r="A23" s="154"/>
      <c r="B23" s="157"/>
      <c r="C23" s="155"/>
      <c r="D23" s="245"/>
      <c r="E23" s="246"/>
      <c r="F23" s="279"/>
      <c r="G23" s="280"/>
      <c r="H23" s="281"/>
      <c r="I23" s="282"/>
      <c r="J23" s="283"/>
    </row>
    <row r="24" spans="1:10" ht="15" thickBot="1">
      <c r="A24" s="156"/>
      <c r="B24" s="158"/>
      <c r="C24" s="156"/>
      <c r="D24" s="159"/>
      <c r="E24" s="162"/>
      <c r="F24" s="284"/>
      <c r="G24" s="285"/>
      <c r="H24" s="286" t="s">
        <v>699</v>
      </c>
      <c r="I24" s="287" t="s">
        <v>699</v>
      </c>
      <c r="J24" s="288" t="s">
        <v>699</v>
      </c>
    </row>
    <row r="26" spans="1:10">
      <c r="G26" s="88"/>
      <c r="H26" s="89">
        <v>1</v>
      </c>
    </row>
  </sheetData>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991A1-8144-4DA6-8471-439AFB4F6DD5}">
  <dimension ref="B2:J62"/>
  <sheetViews>
    <sheetView showGridLines="0" topLeftCell="B37" workbookViewId="0">
      <selection activeCell="C7" sqref="C7"/>
    </sheetView>
  </sheetViews>
  <sheetFormatPr defaultColWidth="8.625" defaultRowHeight="14.45"/>
  <cols>
    <col min="1" max="1" width="8.625" style="64"/>
    <col min="2" max="2" width="5.125" style="63" customWidth="1"/>
    <col min="3" max="3" width="113.125" style="64" bestFit="1" customWidth="1"/>
    <col min="4" max="4" width="6.125" style="64" customWidth="1"/>
    <col min="5" max="7" width="8.625" style="64"/>
    <col min="8" max="8" width="5.5" style="64" customWidth="1"/>
    <col min="9" max="16384" width="8.625" style="64"/>
  </cols>
  <sheetData>
    <row r="2" spans="3:10" ht="15" thickBot="1"/>
    <row r="3" spans="3:10" ht="15" thickBot="1">
      <c r="C3" s="65" t="s">
        <v>706</v>
      </c>
      <c r="D3" s="80"/>
      <c r="H3" s="373" t="s">
        <v>707</v>
      </c>
      <c r="I3" s="374"/>
      <c r="J3" s="375"/>
    </row>
    <row r="4" spans="3:10">
      <c r="C4" s="434" t="s">
        <v>708</v>
      </c>
      <c r="D4" s="434"/>
      <c r="H4" s="66" t="s">
        <v>25</v>
      </c>
      <c r="I4" s="67" t="s">
        <v>709</v>
      </c>
      <c r="J4" s="68"/>
    </row>
    <row r="5" spans="3:10">
      <c r="C5" s="64" t="s">
        <v>710</v>
      </c>
      <c r="H5" s="69" t="s">
        <v>34</v>
      </c>
      <c r="I5" s="64" t="s">
        <v>35</v>
      </c>
      <c r="J5" s="70"/>
    </row>
    <row r="6" spans="3:10">
      <c r="C6" s="64" t="s">
        <v>711</v>
      </c>
      <c r="H6" s="69" t="s">
        <v>712</v>
      </c>
      <c r="I6" s="64" t="s">
        <v>713</v>
      </c>
      <c r="J6" s="70"/>
    </row>
    <row r="7" spans="3:10" ht="15" thickBot="1">
      <c r="C7" s="64" t="s">
        <v>714</v>
      </c>
      <c r="H7" s="71" t="s">
        <v>24</v>
      </c>
      <c r="I7" s="72" t="s">
        <v>715</v>
      </c>
      <c r="J7" s="73"/>
    </row>
    <row r="8" spans="3:10">
      <c r="C8" s="64" t="s">
        <v>716</v>
      </c>
      <c r="D8" s="63"/>
    </row>
    <row r="9" spans="3:10">
      <c r="C9" s="64" t="s">
        <v>717</v>
      </c>
      <c r="D9" s="63"/>
    </row>
    <row r="10" spans="3:10">
      <c r="C10" s="64" t="s">
        <v>718</v>
      </c>
      <c r="D10" s="63"/>
    </row>
    <row r="11" spans="3:10">
      <c r="C11" s="434" t="s">
        <v>719</v>
      </c>
    </row>
    <row r="12" spans="3:10">
      <c r="C12" s="64" t="s">
        <v>720</v>
      </c>
      <c r="D12" s="63"/>
    </row>
    <row r="13" spans="3:10">
      <c r="C13" s="64" t="s">
        <v>721</v>
      </c>
      <c r="D13" s="63"/>
    </row>
    <row r="14" spans="3:10">
      <c r="C14" s="64" t="s">
        <v>722</v>
      </c>
      <c r="D14" s="63"/>
    </row>
    <row r="15" spans="3:10">
      <c r="C15" s="64" t="s">
        <v>723</v>
      </c>
      <c r="D15" s="63"/>
    </row>
    <row r="16" spans="3:10">
      <c r="C16" s="64" t="s">
        <v>724</v>
      </c>
      <c r="D16" s="63"/>
    </row>
    <row r="17" spans="3:3">
      <c r="C17" s="64" t="s">
        <v>725</v>
      </c>
    </row>
    <row r="18" spans="3:3">
      <c r="C18" s="64" t="s">
        <v>726</v>
      </c>
    </row>
    <row r="19" spans="3:3">
      <c r="C19" s="64" t="s">
        <v>727</v>
      </c>
    </row>
    <row r="20" spans="3:3">
      <c r="C20" s="64" t="s">
        <v>728</v>
      </c>
    </row>
    <row r="21" spans="3:3">
      <c r="C21" s="64" t="s">
        <v>729</v>
      </c>
    </row>
    <row r="22" spans="3:3">
      <c r="C22" s="64" t="s">
        <v>730</v>
      </c>
    </row>
    <row r="23" spans="3:3">
      <c r="C23" s="64" t="s">
        <v>731</v>
      </c>
    </row>
    <row r="24" spans="3:3">
      <c r="C24" s="64" t="s">
        <v>732</v>
      </c>
    </row>
    <row r="25" spans="3:3">
      <c r="C25" s="64" t="s">
        <v>733</v>
      </c>
    </row>
    <row r="26" spans="3:3">
      <c r="C26" s="64" t="s">
        <v>734</v>
      </c>
    </row>
    <row r="27" spans="3:3">
      <c r="C27" s="64" t="s">
        <v>735</v>
      </c>
    </row>
    <row r="28" spans="3:3">
      <c r="C28" s="64" t="s">
        <v>736</v>
      </c>
    </row>
    <row r="29" spans="3:3">
      <c r="C29" s="64" t="s">
        <v>737</v>
      </c>
    </row>
    <row r="30" spans="3:3">
      <c r="C30" s="64" t="s">
        <v>738</v>
      </c>
    </row>
    <row r="31" spans="3:3">
      <c r="C31" s="64" t="s">
        <v>739</v>
      </c>
    </row>
    <row r="32" spans="3:3">
      <c r="C32" s="64" t="s">
        <v>740</v>
      </c>
    </row>
    <row r="33" spans="3:3">
      <c r="C33" s="64" t="s">
        <v>741</v>
      </c>
    </row>
    <row r="34" spans="3:3">
      <c r="C34" s="64" t="s">
        <v>742</v>
      </c>
    </row>
    <row r="35" spans="3:3">
      <c r="C35" s="64" t="s">
        <v>743</v>
      </c>
    </row>
    <row r="36" spans="3:3">
      <c r="C36" s="64" t="s">
        <v>744</v>
      </c>
    </row>
    <row r="37" spans="3:3">
      <c r="C37" s="64" t="s">
        <v>745</v>
      </c>
    </row>
    <row r="38" spans="3:3">
      <c r="C38" s="64" t="s">
        <v>746</v>
      </c>
    </row>
    <row r="39" spans="3:3">
      <c r="C39" s="64" t="s">
        <v>747</v>
      </c>
    </row>
    <row r="40" spans="3:3">
      <c r="C40" s="64" t="s">
        <v>748</v>
      </c>
    </row>
    <row r="41" spans="3:3">
      <c r="C41" s="64" t="s">
        <v>749</v>
      </c>
    </row>
    <row r="42" spans="3:3">
      <c r="C42" s="64" t="s">
        <v>750</v>
      </c>
    </row>
    <row r="43" spans="3:3">
      <c r="C43" s="64" t="s">
        <v>751</v>
      </c>
    </row>
    <row r="44" spans="3:3">
      <c r="C44" s="64" t="s">
        <v>752</v>
      </c>
    </row>
    <row r="45" spans="3:3">
      <c r="C45" s="64" t="s">
        <v>753</v>
      </c>
    </row>
    <row r="46" spans="3:3">
      <c r="C46" s="64" t="s">
        <v>754</v>
      </c>
    </row>
    <row r="47" spans="3:3">
      <c r="C47" s="64" t="s">
        <v>755</v>
      </c>
    </row>
    <row r="48" spans="3:3">
      <c r="C48" s="64" t="s">
        <v>756</v>
      </c>
    </row>
    <row r="49" spans="3:3">
      <c r="C49" s="64" t="s">
        <v>757</v>
      </c>
    </row>
    <row r="50" spans="3:3">
      <c r="C50" s="64" t="s">
        <v>758</v>
      </c>
    </row>
    <row r="51" spans="3:3">
      <c r="C51" s="64" t="s">
        <v>759</v>
      </c>
    </row>
    <row r="52" spans="3:3">
      <c r="C52" s="64" t="s">
        <v>760</v>
      </c>
    </row>
    <row r="53" spans="3:3">
      <c r="C53" s="64" t="s">
        <v>761</v>
      </c>
    </row>
    <row r="54" spans="3:3">
      <c r="C54" s="64" t="s">
        <v>762</v>
      </c>
    </row>
    <row r="55" spans="3:3">
      <c r="C55" s="64" t="s">
        <v>763</v>
      </c>
    </row>
    <row r="56" spans="3:3">
      <c r="C56" s="64" t="s">
        <v>764</v>
      </c>
    </row>
    <row r="57" spans="3:3">
      <c r="C57" s="64" t="s">
        <v>765</v>
      </c>
    </row>
    <row r="58" spans="3:3">
      <c r="C58" s="64" t="s">
        <v>766</v>
      </c>
    </row>
    <row r="59" spans="3:3">
      <c r="C59" s="64" t="s">
        <v>767</v>
      </c>
    </row>
    <row r="60" spans="3:3">
      <c r="C60" s="64" t="s">
        <v>768</v>
      </c>
    </row>
    <row r="61" spans="3:3">
      <c r="C61" s="64" t="s">
        <v>769</v>
      </c>
    </row>
    <row r="62" spans="3:3">
      <c r="C62" s="64" t="s">
        <v>770</v>
      </c>
    </row>
  </sheetData>
  <mergeCells count="1">
    <mergeCell ref="H3:J3"/>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73A77"/>
  </sheetPr>
  <dimension ref="A1:U965"/>
  <sheetViews>
    <sheetView showGridLines="0" topLeftCell="A43" zoomScale="70" zoomScaleNormal="70" workbookViewId="0">
      <selection activeCell="K78" sqref="K78"/>
    </sheetView>
  </sheetViews>
  <sheetFormatPr defaultColWidth="12.625" defaultRowHeight="15" customHeight="1"/>
  <cols>
    <col min="1" max="1" width="7.625" customWidth="1"/>
    <col min="2" max="2" width="2.625" customWidth="1"/>
    <col min="3" max="3" width="21.25" customWidth="1"/>
    <col min="4" max="4" width="33.125" customWidth="1"/>
    <col min="5" max="5" width="12.125" customWidth="1"/>
    <col min="6" max="6" width="14.25" customWidth="1"/>
    <col min="7" max="7" width="15.75" style="75" customWidth="1"/>
    <col min="8" max="8" width="18" bestFit="1" customWidth="1"/>
    <col min="9" max="9" width="16.75" bestFit="1" customWidth="1"/>
    <col min="10" max="10" width="15" customWidth="1"/>
    <col min="11" max="11" width="15.625" bestFit="1" customWidth="1"/>
    <col min="12" max="12" width="13.75" style="323" customWidth="1"/>
    <col min="13" max="13" width="13.625" customWidth="1"/>
    <col min="14" max="14" width="7.625" customWidth="1"/>
    <col min="15" max="15" width="15.125" bestFit="1" customWidth="1"/>
    <col min="16" max="16" width="17.5" bestFit="1" customWidth="1"/>
    <col min="17" max="29" width="7.625" customWidth="1"/>
  </cols>
  <sheetData>
    <row r="1" spans="2:11" ht="14.45">
      <c r="B1" s="85"/>
      <c r="K1" s="33"/>
    </row>
    <row r="2" spans="2:11" ht="15.6">
      <c r="B2" s="85"/>
      <c r="C2" s="117" t="s">
        <v>771</v>
      </c>
      <c r="D2" s="118" t="s">
        <v>464</v>
      </c>
      <c r="K2" s="33"/>
    </row>
    <row r="3" spans="2:11" ht="14.45">
      <c r="B3" s="85"/>
      <c r="C3" s="231" t="s">
        <v>449</v>
      </c>
      <c r="D3" s="122" t="s">
        <v>458</v>
      </c>
      <c r="K3" s="33"/>
    </row>
    <row r="4" spans="2:11" ht="46.9">
      <c r="B4" s="85"/>
      <c r="C4" s="119" t="s">
        <v>274</v>
      </c>
      <c r="D4" s="120" t="s">
        <v>772</v>
      </c>
      <c r="K4" s="33"/>
    </row>
    <row r="5" spans="2:11" ht="31.15">
      <c r="B5" s="85"/>
      <c r="C5" s="232" t="s">
        <v>276</v>
      </c>
      <c r="D5" s="233" t="s">
        <v>773</v>
      </c>
      <c r="K5" s="33"/>
    </row>
    <row r="6" spans="2:11" ht="31.15">
      <c r="B6" s="85"/>
      <c r="C6" s="119" t="s">
        <v>443</v>
      </c>
      <c r="D6" s="120" t="s">
        <v>774</v>
      </c>
      <c r="K6" s="33"/>
    </row>
    <row r="7" spans="2:11" ht="46.9">
      <c r="B7" s="85"/>
      <c r="C7" s="232" t="s">
        <v>17</v>
      </c>
      <c r="D7" s="234" t="s">
        <v>775</v>
      </c>
      <c r="K7" s="33"/>
    </row>
    <row r="8" spans="2:11" ht="31.15">
      <c r="B8" s="85"/>
      <c r="C8" s="119" t="s">
        <v>444</v>
      </c>
      <c r="D8" s="237" t="s">
        <v>776</v>
      </c>
      <c r="K8" s="33"/>
    </row>
    <row r="9" spans="2:11" ht="46.9">
      <c r="B9" s="85"/>
      <c r="C9" s="232" t="s">
        <v>449</v>
      </c>
      <c r="D9" s="234" t="s">
        <v>777</v>
      </c>
      <c r="K9" s="33"/>
    </row>
    <row r="10" spans="2:11" ht="31.15">
      <c r="B10" s="85"/>
      <c r="C10" s="119" t="s">
        <v>446</v>
      </c>
      <c r="D10" s="120" t="s">
        <v>778</v>
      </c>
      <c r="K10" s="33"/>
    </row>
    <row r="11" spans="2:11" ht="31.15">
      <c r="B11" s="85"/>
      <c r="C11" s="232" t="s">
        <v>447</v>
      </c>
      <c r="D11" s="234" t="s">
        <v>779</v>
      </c>
      <c r="K11" s="33"/>
    </row>
    <row r="12" spans="2:11" ht="31.15">
      <c r="B12" s="85"/>
      <c r="C12" s="119" t="s">
        <v>464</v>
      </c>
      <c r="D12" s="120" t="s">
        <v>780</v>
      </c>
      <c r="K12" s="33"/>
    </row>
    <row r="13" spans="2:11" ht="46.9">
      <c r="B13" s="85"/>
      <c r="C13" s="232" t="s">
        <v>279</v>
      </c>
      <c r="D13" s="234" t="s">
        <v>781</v>
      </c>
      <c r="K13" s="33"/>
    </row>
    <row r="14" spans="2:11" ht="46.9">
      <c r="B14" s="85"/>
      <c r="C14" s="119" t="s">
        <v>281</v>
      </c>
      <c r="D14" s="120" t="s">
        <v>782</v>
      </c>
      <c r="K14" s="33"/>
    </row>
    <row r="15" spans="2:11" ht="72">
      <c r="B15" s="85"/>
      <c r="C15" s="235" t="s">
        <v>783</v>
      </c>
      <c r="D15" s="236" t="s">
        <v>784</v>
      </c>
      <c r="K15" s="33"/>
    </row>
    <row r="16" spans="2:11" ht="43.15">
      <c r="B16" s="85"/>
      <c r="C16" s="123" t="s">
        <v>785</v>
      </c>
      <c r="D16" s="124" t="s">
        <v>786</v>
      </c>
      <c r="K16" s="33"/>
    </row>
    <row r="17" spans="2:12" ht="57.6">
      <c r="B17" s="85"/>
      <c r="C17" s="235" t="s">
        <v>787</v>
      </c>
      <c r="D17" s="236" t="s">
        <v>788</v>
      </c>
      <c r="K17" s="33"/>
    </row>
    <row r="18" spans="2:12" ht="15.6">
      <c r="B18" s="85"/>
      <c r="C18" s="37"/>
      <c r="D18" s="38"/>
      <c r="K18" s="33"/>
    </row>
    <row r="19" spans="2:12" ht="17.45">
      <c r="B19" s="85"/>
      <c r="C19" s="39" t="s">
        <v>789</v>
      </c>
      <c r="K19" s="33"/>
    </row>
    <row r="20" spans="2:12" ht="15.6">
      <c r="B20" s="85"/>
      <c r="C20" s="40" t="s">
        <v>790</v>
      </c>
      <c r="K20" s="33"/>
    </row>
    <row r="21" spans="2:12" ht="15.75" hidden="1" customHeight="1">
      <c r="B21" s="85"/>
      <c r="C21" s="34" t="s">
        <v>17</v>
      </c>
      <c r="D21" s="35" t="s">
        <v>464</v>
      </c>
      <c r="E21" s="35" t="s">
        <v>697</v>
      </c>
      <c r="K21" s="33"/>
    </row>
    <row r="22" spans="2:12" ht="15.75" hidden="1" customHeight="1">
      <c r="B22" s="85"/>
      <c r="C22" s="435" t="s">
        <v>331</v>
      </c>
      <c r="D22" s="436" t="s">
        <v>791</v>
      </c>
      <c r="E22" s="437">
        <v>4</v>
      </c>
      <c r="K22" s="33"/>
    </row>
    <row r="23" spans="2:12" ht="15.75" hidden="1" customHeight="1">
      <c r="B23" s="85"/>
      <c r="C23" s="36" t="s">
        <v>351</v>
      </c>
      <c r="D23" s="41" t="s">
        <v>792</v>
      </c>
      <c r="E23" s="42">
        <v>5</v>
      </c>
      <c r="K23" s="33"/>
    </row>
    <row r="24" spans="2:12" ht="15.75" hidden="1" customHeight="1">
      <c r="B24" s="85"/>
      <c r="C24" s="435" t="s">
        <v>384</v>
      </c>
      <c r="D24" s="436" t="s">
        <v>793</v>
      </c>
      <c r="E24" s="437">
        <v>4</v>
      </c>
      <c r="K24" s="33"/>
    </row>
    <row r="25" spans="2:12" ht="15.75" hidden="1" customHeight="1">
      <c r="B25" s="85"/>
      <c r="C25" s="36" t="s">
        <v>313</v>
      </c>
      <c r="D25" s="41" t="s">
        <v>794</v>
      </c>
      <c r="E25" s="42">
        <v>3</v>
      </c>
      <c r="K25" s="33"/>
    </row>
    <row r="26" spans="2:12" ht="15.75" hidden="1" customHeight="1">
      <c r="B26" s="85"/>
      <c r="C26" s="435" t="s">
        <v>795</v>
      </c>
      <c r="D26" s="436" t="s">
        <v>796</v>
      </c>
      <c r="E26" s="437">
        <v>3</v>
      </c>
      <c r="K26" s="33"/>
    </row>
    <row r="27" spans="2:12" ht="15.75" hidden="1" customHeight="1">
      <c r="B27" s="85"/>
      <c r="C27" s="36" t="s">
        <v>797</v>
      </c>
      <c r="D27" s="41" t="s">
        <v>798</v>
      </c>
      <c r="E27" s="42">
        <v>3</v>
      </c>
      <c r="K27" s="33"/>
    </row>
    <row r="28" spans="2:12" ht="15.75" customHeight="1">
      <c r="B28" s="85"/>
      <c r="C28" s="37"/>
      <c r="D28" s="38"/>
      <c r="E28" s="43"/>
      <c r="K28" s="33"/>
    </row>
    <row r="29" spans="2:12" ht="15.75" customHeight="1" thickBot="1">
      <c r="B29" s="85"/>
      <c r="C29" s="207" t="s">
        <v>17</v>
      </c>
      <c r="D29" s="207" t="s">
        <v>464</v>
      </c>
      <c r="E29" s="207" t="s">
        <v>697</v>
      </c>
      <c r="F29" s="207" t="s">
        <v>17</v>
      </c>
      <c r="G29" s="207" t="s">
        <v>17</v>
      </c>
      <c r="H29" s="207" t="s">
        <v>799</v>
      </c>
      <c r="I29" s="207" t="s">
        <v>17</v>
      </c>
      <c r="L29" s="324"/>
    </row>
    <row r="30" spans="2:12" ht="46.9">
      <c r="B30" s="85"/>
      <c r="C30" s="178" t="s">
        <v>331</v>
      </c>
      <c r="D30" s="177" t="s">
        <v>791</v>
      </c>
      <c r="E30" s="180">
        <v>4</v>
      </c>
      <c r="F30" s="178" t="s">
        <v>331</v>
      </c>
      <c r="G30" s="178" t="s">
        <v>331</v>
      </c>
      <c r="H30" s="14">
        <f t="shared" ref="H30:H35" si="0">I30/$J$36</f>
        <v>6.8965517241379309E-2</v>
      </c>
      <c r="I30" s="1">
        <f t="shared" ref="I30:I35" si="1">COUNTIFS($E$78:$E$106,$C30)</f>
        <v>2</v>
      </c>
      <c r="L30" s="324"/>
    </row>
    <row r="31" spans="2:12" ht="46.9">
      <c r="B31" s="85"/>
      <c r="C31" s="119" t="s">
        <v>351</v>
      </c>
      <c r="D31" s="120" t="s">
        <v>792</v>
      </c>
      <c r="E31" s="121">
        <v>5</v>
      </c>
      <c r="F31" s="119" t="s">
        <v>351</v>
      </c>
      <c r="G31" s="119" t="s">
        <v>351</v>
      </c>
      <c r="H31" s="14">
        <f t="shared" si="0"/>
        <v>0.48275862068965519</v>
      </c>
      <c r="I31" s="1">
        <f t="shared" si="1"/>
        <v>14</v>
      </c>
      <c r="L31" s="324"/>
    </row>
    <row r="32" spans="2:12" ht="46.9">
      <c r="B32" s="85"/>
      <c r="C32" s="178" t="s">
        <v>384</v>
      </c>
      <c r="D32" s="177" t="s">
        <v>793</v>
      </c>
      <c r="E32" s="180">
        <v>4</v>
      </c>
      <c r="F32" s="178" t="s">
        <v>384</v>
      </c>
      <c r="G32" s="178" t="s">
        <v>384</v>
      </c>
      <c r="H32" s="14">
        <f t="shared" si="0"/>
        <v>0.10344827586206896</v>
      </c>
      <c r="I32" s="1">
        <f t="shared" si="1"/>
        <v>3</v>
      </c>
      <c r="L32" s="324"/>
    </row>
    <row r="33" spans="2:12" ht="31.15">
      <c r="B33" s="85"/>
      <c r="C33" s="119" t="s">
        <v>313</v>
      </c>
      <c r="D33" s="120" t="s">
        <v>794</v>
      </c>
      <c r="E33" s="121">
        <v>3</v>
      </c>
      <c r="F33" s="119" t="s">
        <v>313</v>
      </c>
      <c r="G33" s="119" t="s">
        <v>313</v>
      </c>
      <c r="H33" s="14">
        <f t="shared" si="0"/>
        <v>0.34482758620689657</v>
      </c>
      <c r="I33" s="1">
        <f t="shared" si="1"/>
        <v>10</v>
      </c>
      <c r="L33" s="324"/>
    </row>
    <row r="34" spans="2:12" ht="31.15">
      <c r="B34" s="85"/>
      <c r="C34" s="178" t="s">
        <v>795</v>
      </c>
      <c r="D34" s="177" t="s">
        <v>796</v>
      </c>
      <c r="E34" s="180">
        <v>3</v>
      </c>
      <c r="F34" s="178" t="s">
        <v>795</v>
      </c>
      <c r="G34" s="178" t="s">
        <v>795</v>
      </c>
      <c r="H34" s="14">
        <f t="shared" si="0"/>
        <v>0</v>
      </c>
      <c r="I34" s="1">
        <f t="shared" si="1"/>
        <v>0</v>
      </c>
      <c r="L34" s="324"/>
    </row>
    <row r="35" spans="2:12" ht="46.9">
      <c r="B35" s="85"/>
      <c r="C35" s="119" t="s">
        <v>797</v>
      </c>
      <c r="D35" s="120" t="s">
        <v>798</v>
      </c>
      <c r="E35" s="121">
        <v>3</v>
      </c>
      <c r="F35" s="119" t="s">
        <v>797</v>
      </c>
      <c r="G35" s="119" t="s">
        <v>797</v>
      </c>
      <c r="H35" s="14">
        <f t="shared" si="0"/>
        <v>0</v>
      </c>
      <c r="I35" s="1">
        <f t="shared" si="1"/>
        <v>0</v>
      </c>
      <c r="L35" s="324"/>
    </row>
    <row r="36" spans="2:12" ht="15.75" customHeight="1">
      <c r="B36" s="85"/>
      <c r="G36"/>
      <c r="I36" s="14">
        <f>SUM(H30:H35)</f>
        <v>1</v>
      </c>
      <c r="J36" s="1">
        <f>SUM(I30:I35)</f>
        <v>29</v>
      </c>
    </row>
    <row r="37" spans="2:12" ht="15.6">
      <c r="B37" s="85"/>
      <c r="C37" s="44" t="s">
        <v>800</v>
      </c>
    </row>
    <row r="38" spans="2:12" ht="16.149999999999999" thickBot="1">
      <c r="B38" s="85"/>
      <c r="C38" s="207" t="s">
        <v>444</v>
      </c>
      <c r="D38" s="207" t="s">
        <v>801</v>
      </c>
      <c r="E38" s="207" t="s">
        <v>697</v>
      </c>
      <c r="K38" s="33"/>
    </row>
    <row r="39" spans="2:12" ht="31.15">
      <c r="B39" s="85"/>
      <c r="C39" s="178" t="s">
        <v>802</v>
      </c>
      <c r="D39" s="179" t="s">
        <v>803</v>
      </c>
      <c r="E39" s="180">
        <v>5</v>
      </c>
      <c r="K39" s="33"/>
    </row>
    <row r="40" spans="2:12" ht="31.15">
      <c r="B40" s="85"/>
      <c r="C40" s="119" t="s">
        <v>698</v>
      </c>
      <c r="D40" s="120" t="s">
        <v>804</v>
      </c>
      <c r="E40" s="121">
        <v>4</v>
      </c>
      <c r="K40" s="33"/>
    </row>
    <row r="41" spans="2:12" ht="31.15">
      <c r="B41" s="85"/>
      <c r="C41" s="178" t="s">
        <v>700</v>
      </c>
      <c r="D41" s="177" t="s">
        <v>805</v>
      </c>
      <c r="E41" s="180">
        <v>3</v>
      </c>
      <c r="K41" s="33"/>
    </row>
    <row r="42" spans="2:12" ht="31.15">
      <c r="B42" s="85"/>
      <c r="C42" s="119" t="s">
        <v>705</v>
      </c>
      <c r="D42" s="120" t="s">
        <v>806</v>
      </c>
      <c r="E42" s="121">
        <v>2</v>
      </c>
      <c r="K42" s="33"/>
    </row>
    <row r="43" spans="2:12" ht="31.15">
      <c r="B43" s="85"/>
      <c r="C43" s="178" t="s">
        <v>702</v>
      </c>
      <c r="D43" s="177" t="s">
        <v>807</v>
      </c>
      <c r="E43" s="180">
        <v>1</v>
      </c>
      <c r="K43" s="33"/>
    </row>
    <row r="44" spans="2:12" ht="15.75" customHeight="1">
      <c r="B44" s="85"/>
      <c r="C44" s="45" t="s">
        <v>808</v>
      </c>
      <c r="K44" s="33"/>
    </row>
    <row r="45" spans="2:12" ht="15.75" customHeight="1">
      <c r="B45" s="85"/>
      <c r="C45" s="45"/>
      <c r="K45" s="33"/>
    </row>
    <row r="46" spans="2:12" ht="15.75" customHeight="1" thickBot="1">
      <c r="B46" s="85"/>
      <c r="C46" s="176" t="s">
        <v>809</v>
      </c>
      <c r="K46" s="33"/>
    </row>
    <row r="47" spans="2:12" ht="15.75" customHeight="1">
      <c r="B47" s="85"/>
      <c r="C47" s="199"/>
      <c r="D47" s="200"/>
      <c r="E47" s="200"/>
      <c r="F47" s="200"/>
      <c r="G47" s="200"/>
      <c r="H47" s="200"/>
      <c r="I47" s="200"/>
      <c r="J47" s="201" t="str">
        <f>'RESUMO DE PONTOS'!E3</f>
        <v>Materialidade</v>
      </c>
      <c r="K47" s="126">
        <f>'RESUMO DE PONTOS'!F3</f>
        <v>149800</v>
      </c>
      <c r="L47" s="325">
        <f>K47/$H$49</f>
        <v>2.9992879514210175E-2</v>
      </c>
    </row>
    <row r="48" spans="2:12" ht="15.75" customHeight="1">
      <c r="B48" s="85"/>
      <c r="C48" s="202"/>
      <c r="D48" s="203"/>
      <c r="E48" s="203"/>
      <c r="F48" s="399" t="s">
        <v>810</v>
      </c>
      <c r="G48" s="204"/>
      <c r="H48" s="205">
        <f>'RESUMO DE PONTOS'!G3</f>
        <v>0</v>
      </c>
      <c r="I48" s="203"/>
      <c r="J48" s="206" t="str">
        <f>'RESUMO DE PONTOS'!E4</f>
        <v>PM</v>
      </c>
      <c r="K48" s="126">
        <f>'RESUMO DE PONTOS'!F4</f>
        <v>93650</v>
      </c>
      <c r="L48" s="325">
        <f>K48/$H$49</f>
        <v>1.8750555183616707E-2</v>
      </c>
    </row>
    <row r="49" spans="2:17" ht="15.75" customHeight="1" thickBot="1">
      <c r="B49" s="85"/>
      <c r="C49" s="222" t="s">
        <v>449</v>
      </c>
      <c r="D49" s="223" t="s">
        <v>811</v>
      </c>
      <c r="E49" s="223" t="s">
        <v>697</v>
      </c>
      <c r="F49" s="399"/>
      <c r="G49" s="204"/>
      <c r="H49" s="224">
        <f>'RESUMO DE PONTOS'!G4</f>
        <v>4994518.78</v>
      </c>
      <c r="I49" s="203"/>
      <c r="J49" s="206" t="str">
        <f>'RESUMO DE PONTOS'!E5</f>
        <v>AMPT</v>
      </c>
      <c r="K49" s="126">
        <f>'RESUMO DE PONTOS'!F5</f>
        <v>7490</v>
      </c>
      <c r="L49" s="325">
        <f>K49/$H$49</f>
        <v>1.4996439757105086E-3</v>
      </c>
    </row>
    <row r="50" spans="2:17" ht="15.75" customHeight="1">
      <c r="B50" s="85"/>
      <c r="C50" s="386" t="s">
        <v>812</v>
      </c>
      <c r="D50" s="225" t="s">
        <v>813</v>
      </c>
      <c r="E50" s="391">
        <v>5</v>
      </c>
      <c r="F50" s="393">
        <f>G54+0.0000001%</f>
        <v>2.9992880514210174E-2</v>
      </c>
      <c r="G50" s="400"/>
      <c r="H50" s="403">
        <f>$H$49*F50</f>
        <v>149800.00499451879</v>
      </c>
      <c r="I50" s="403">
        <v>10000000</v>
      </c>
      <c r="J50" s="402">
        <v>5</v>
      </c>
      <c r="K50" s="125"/>
      <c r="L50" s="326"/>
    </row>
    <row r="51" spans="2:17" ht="15.75" customHeight="1">
      <c r="B51" s="85"/>
      <c r="C51" s="387"/>
      <c r="D51" s="226" t="s">
        <v>814</v>
      </c>
      <c r="E51" s="389"/>
      <c r="F51" s="394"/>
      <c r="G51" s="401"/>
      <c r="H51" s="384"/>
      <c r="I51" s="384"/>
      <c r="J51" s="381"/>
      <c r="K51" s="33"/>
    </row>
    <row r="52" spans="2:17" ht="15.75" customHeight="1">
      <c r="B52" s="85"/>
      <c r="C52" s="387"/>
      <c r="D52" s="226" t="s">
        <v>815</v>
      </c>
      <c r="E52" s="389"/>
      <c r="F52" s="394"/>
      <c r="G52" s="401"/>
      <c r="H52" s="384"/>
      <c r="I52" s="384"/>
      <c r="J52" s="381"/>
      <c r="K52" s="33"/>
    </row>
    <row r="53" spans="2:17" ht="15.75" customHeight="1">
      <c r="B53" s="85"/>
      <c r="C53" s="387"/>
      <c r="D53" s="226" t="s">
        <v>816</v>
      </c>
      <c r="E53" s="389"/>
      <c r="F53" s="394"/>
      <c r="G53" s="401"/>
      <c r="H53" s="384"/>
      <c r="I53" s="384"/>
      <c r="J53" s="381"/>
      <c r="K53" s="33"/>
    </row>
    <row r="54" spans="2:17" ht="15.75" customHeight="1">
      <c r="B54" s="85"/>
      <c r="C54" s="395" t="s">
        <v>817</v>
      </c>
      <c r="D54" s="227" t="s">
        <v>818</v>
      </c>
      <c r="E54" s="397">
        <v>4</v>
      </c>
      <c r="F54" s="377">
        <f>G60+0.0000001%</f>
        <v>1.8750556183616707E-2</v>
      </c>
      <c r="G54" s="378">
        <f>L47</f>
        <v>2.9992879514210175E-2</v>
      </c>
      <c r="H54" s="385">
        <f>$H$49*F54</f>
        <v>93650.004994518778</v>
      </c>
      <c r="I54" s="383">
        <f>$H$49*G54</f>
        <v>149800</v>
      </c>
      <c r="J54" s="380">
        <v>4</v>
      </c>
      <c r="K54" s="33"/>
    </row>
    <row r="55" spans="2:17" ht="15.75" customHeight="1">
      <c r="B55" s="85"/>
      <c r="C55" s="396"/>
      <c r="D55" s="228" t="s">
        <v>819</v>
      </c>
      <c r="E55" s="397"/>
      <c r="F55" s="377"/>
      <c r="G55" s="378"/>
      <c r="H55" s="385"/>
      <c r="I55" s="383"/>
      <c r="J55" s="380"/>
      <c r="K55" s="33"/>
    </row>
    <row r="56" spans="2:17" ht="15.75" customHeight="1">
      <c r="B56" s="85"/>
      <c r="C56" s="396"/>
      <c r="D56" s="228" t="s">
        <v>820</v>
      </c>
      <c r="E56" s="397"/>
      <c r="F56" s="377"/>
      <c r="G56" s="378"/>
      <c r="H56" s="385"/>
      <c r="I56" s="383"/>
      <c r="J56" s="380"/>
      <c r="K56" s="33"/>
    </row>
    <row r="57" spans="2:17" ht="15.75" customHeight="1">
      <c r="B57" s="85"/>
      <c r="C57" s="396"/>
      <c r="D57" s="228" t="s">
        <v>821</v>
      </c>
      <c r="E57" s="397"/>
      <c r="F57" s="377"/>
      <c r="G57" s="378"/>
      <c r="H57" s="385"/>
      <c r="I57" s="383"/>
      <c r="J57" s="380"/>
      <c r="K57" s="33"/>
    </row>
    <row r="58" spans="2:17" ht="15.75" customHeight="1">
      <c r="B58" s="85"/>
      <c r="C58" s="396"/>
      <c r="D58" s="228" t="s">
        <v>822</v>
      </c>
      <c r="E58" s="397"/>
      <c r="F58" s="377"/>
      <c r="G58" s="378"/>
      <c r="H58" s="385"/>
      <c r="I58" s="383"/>
      <c r="J58" s="380"/>
      <c r="K58" s="33"/>
      <c r="O58" s="127">
        <f>H70</f>
        <v>0</v>
      </c>
      <c r="P58" s="127">
        <f>I70</f>
        <v>7490</v>
      </c>
      <c r="Q58" s="128">
        <v>1</v>
      </c>
    </row>
    <row r="59" spans="2:17" ht="15.75" customHeight="1">
      <c r="B59" s="85"/>
      <c r="C59" s="396"/>
      <c r="D59" s="228" t="s">
        <v>823</v>
      </c>
      <c r="E59" s="397"/>
      <c r="F59" s="377"/>
      <c r="G59" s="378"/>
      <c r="H59" s="385"/>
      <c r="I59" s="383"/>
      <c r="J59" s="380"/>
      <c r="K59" s="33"/>
      <c r="O59" s="127">
        <f>H66</f>
        <v>7490.0499451877995</v>
      </c>
      <c r="P59" s="127">
        <f>I66</f>
        <v>70237.5</v>
      </c>
      <c r="Q59" s="128">
        <v>2</v>
      </c>
    </row>
    <row r="60" spans="2:17" ht="15.75" customHeight="1">
      <c r="B60" s="85"/>
      <c r="C60" s="387" t="s">
        <v>824</v>
      </c>
      <c r="D60" s="229" t="s">
        <v>825</v>
      </c>
      <c r="E60" s="389">
        <v>3</v>
      </c>
      <c r="F60" s="379">
        <f>G66+0.000001%</f>
        <v>1.406292638771253E-2</v>
      </c>
      <c r="G60" s="379">
        <f>L48</f>
        <v>1.8750555183616707E-2</v>
      </c>
      <c r="H60" s="384">
        <f>$H$49*F60-0.01</f>
        <v>70237.539945187804</v>
      </c>
      <c r="I60" s="384">
        <f>$H$49*G60-0.01</f>
        <v>93649.99</v>
      </c>
      <c r="J60" s="381">
        <v>3</v>
      </c>
      <c r="K60" s="33"/>
      <c r="O60" s="127">
        <f>H60</f>
        <v>70237.539945187804</v>
      </c>
      <c r="P60" s="127">
        <f>I60</f>
        <v>93649.99</v>
      </c>
      <c r="Q60" s="128">
        <v>3</v>
      </c>
    </row>
    <row r="61" spans="2:17" ht="15.75" customHeight="1">
      <c r="B61" s="85"/>
      <c r="C61" s="398"/>
      <c r="D61" s="226" t="s">
        <v>826</v>
      </c>
      <c r="E61" s="389"/>
      <c r="F61" s="379"/>
      <c r="G61" s="379"/>
      <c r="H61" s="384"/>
      <c r="I61" s="384"/>
      <c r="J61" s="381"/>
      <c r="K61" s="33"/>
      <c r="O61" s="129">
        <f>H54</f>
        <v>93650.004994518778</v>
      </c>
      <c r="P61" s="127">
        <f>I54</f>
        <v>149800</v>
      </c>
      <c r="Q61" s="128">
        <v>4</v>
      </c>
    </row>
    <row r="62" spans="2:17" ht="15.75" customHeight="1">
      <c r="B62" s="85"/>
      <c r="C62" s="398"/>
      <c r="D62" s="226" t="s">
        <v>827</v>
      </c>
      <c r="E62" s="389"/>
      <c r="F62" s="379"/>
      <c r="G62" s="379"/>
      <c r="H62" s="384"/>
      <c r="I62" s="384"/>
      <c r="J62" s="381"/>
      <c r="K62" s="33"/>
      <c r="O62" s="127">
        <f>H50</f>
        <v>149800.00499451879</v>
      </c>
      <c r="P62" s="127">
        <f>I50</f>
        <v>10000000</v>
      </c>
      <c r="Q62" s="128">
        <v>5</v>
      </c>
    </row>
    <row r="63" spans="2:17" ht="15.75" customHeight="1">
      <c r="B63" s="85"/>
      <c r="C63" s="398"/>
      <c r="D63" s="226" t="s">
        <v>828</v>
      </c>
      <c r="E63" s="389"/>
      <c r="F63" s="379"/>
      <c r="G63" s="379"/>
      <c r="H63" s="384"/>
      <c r="I63" s="384"/>
      <c r="J63" s="381"/>
      <c r="K63" s="33"/>
      <c r="O63" s="127">
        <f>H49</f>
        <v>4994518.78</v>
      </c>
      <c r="P63" s="128"/>
      <c r="Q63" s="128"/>
    </row>
    <row r="64" spans="2:17" ht="15.75" customHeight="1">
      <c r="B64" s="85"/>
      <c r="C64" s="398"/>
      <c r="D64" s="226" t="s">
        <v>829</v>
      </c>
      <c r="E64" s="389"/>
      <c r="F64" s="379"/>
      <c r="G64" s="379"/>
      <c r="H64" s="384"/>
      <c r="I64" s="384"/>
      <c r="J64" s="381"/>
      <c r="K64" s="33"/>
    </row>
    <row r="65" spans="1:15" ht="15.75" customHeight="1">
      <c r="B65" s="85"/>
      <c r="C65" s="398"/>
      <c r="D65" s="226" t="s">
        <v>830</v>
      </c>
      <c r="E65" s="389"/>
      <c r="F65" s="379"/>
      <c r="G65" s="379"/>
      <c r="H65" s="384"/>
      <c r="I65" s="384"/>
      <c r="J65" s="381"/>
      <c r="K65" s="33"/>
      <c r="L65" s="323" t="e">
        <f>VLOOKUP($L$78,H50:J71,2,1)</f>
        <v>#N/A</v>
      </c>
    </row>
    <row r="66" spans="1:15" ht="15.75" customHeight="1">
      <c r="B66" s="85"/>
      <c r="C66" s="395" t="s">
        <v>831</v>
      </c>
      <c r="D66" s="227" t="s">
        <v>832</v>
      </c>
      <c r="E66" s="397">
        <v>2</v>
      </c>
      <c r="F66" s="377">
        <f>L49+0.000001%</f>
        <v>1.4996539757105086E-3</v>
      </c>
      <c r="G66" s="377">
        <f>L48*75%</f>
        <v>1.406291638771253E-2</v>
      </c>
      <c r="H66" s="383">
        <f>$H$49*F66</f>
        <v>7490.0499451877995</v>
      </c>
      <c r="I66" s="383">
        <f>$H$49*G66</f>
        <v>70237.5</v>
      </c>
      <c r="J66" s="382">
        <v>2</v>
      </c>
      <c r="K66" s="376"/>
    </row>
    <row r="67" spans="1:15" ht="15.75" customHeight="1">
      <c r="B67" s="85"/>
      <c r="C67" s="395"/>
      <c r="D67" s="228" t="s">
        <v>833</v>
      </c>
      <c r="E67" s="397"/>
      <c r="F67" s="377"/>
      <c r="G67" s="377"/>
      <c r="H67" s="383"/>
      <c r="I67" s="383"/>
      <c r="J67" s="382"/>
      <c r="K67" s="376"/>
    </row>
    <row r="68" spans="1:15" ht="15.75" customHeight="1">
      <c r="B68" s="85"/>
      <c r="C68" s="396"/>
      <c r="D68" s="228" t="s">
        <v>834</v>
      </c>
      <c r="E68" s="397"/>
      <c r="F68" s="377"/>
      <c r="G68" s="377"/>
      <c r="H68" s="383"/>
      <c r="I68" s="383"/>
      <c r="J68" s="382"/>
      <c r="K68" s="376"/>
    </row>
    <row r="69" spans="1:15" ht="15.75" customHeight="1">
      <c r="B69" s="85"/>
      <c r="C69" s="396"/>
      <c r="D69" s="228" t="s">
        <v>835</v>
      </c>
      <c r="E69" s="397"/>
      <c r="F69" s="377"/>
      <c r="G69" s="377"/>
      <c r="H69" s="383"/>
      <c r="I69" s="383"/>
      <c r="J69" s="382"/>
      <c r="K69" s="376"/>
    </row>
    <row r="70" spans="1:15" ht="15.75" customHeight="1">
      <c r="B70" s="85"/>
      <c r="C70" s="387" t="s">
        <v>836</v>
      </c>
      <c r="D70" s="229" t="s">
        <v>837</v>
      </c>
      <c r="E70" s="389">
        <v>1</v>
      </c>
      <c r="F70" s="379">
        <v>0</v>
      </c>
      <c r="G70" s="379">
        <f>L49</f>
        <v>1.4996439757105086E-3</v>
      </c>
      <c r="H70" s="384">
        <f>$H$49*F70</f>
        <v>0</v>
      </c>
      <c r="I70" s="384">
        <f>$H$49*G70</f>
        <v>7490</v>
      </c>
      <c r="J70" s="381">
        <v>1</v>
      </c>
      <c r="K70" s="33"/>
    </row>
    <row r="71" spans="1:15" ht="47.45" thickBot="1">
      <c r="B71" s="85"/>
      <c r="C71" s="388"/>
      <c r="D71" s="230" t="s">
        <v>838</v>
      </c>
      <c r="E71" s="390"/>
      <c r="F71" s="392"/>
      <c r="G71" s="392"/>
      <c r="H71" s="405"/>
      <c r="I71" s="405"/>
      <c r="J71" s="404"/>
      <c r="K71" s="33"/>
      <c r="L71" s="323" t="s">
        <v>317</v>
      </c>
    </row>
    <row r="72" spans="1:15" ht="15.75" customHeight="1">
      <c r="B72" s="85"/>
      <c r="K72" s="33"/>
    </row>
    <row r="73" spans="1:15" ht="15.75" customHeight="1">
      <c r="B73" s="85"/>
      <c r="K73" s="33"/>
    </row>
    <row r="74" spans="1:15" ht="15.75" customHeight="1">
      <c r="B74" s="85"/>
      <c r="J74" s="9"/>
      <c r="K74" s="33"/>
    </row>
    <row r="75" spans="1:15" ht="15.75" customHeight="1">
      <c r="B75" s="85"/>
      <c r="C75" s="46" t="s">
        <v>839</v>
      </c>
      <c r="K75" s="33"/>
      <c r="M75" s="47" t="s">
        <v>840</v>
      </c>
    </row>
    <row r="76" spans="1:15" ht="17.45">
      <c r="B76" s="85"/>
      <c r="C76" s="48" t="s">
        <v>841</v>
      </c>
      <c r="D76" s="438" t="s">
        <v>842</v>
      </c>
      <c r="E76" s="438" t="s">
        <v>842</v>
      </c>
      <c r="F76" s="438" t="s">
        <v>842</v>
      </c>
      <c r="G76" s="439" t="s">
        <v>843</v>
      </c>
      <c r="H76" s="439" t="s">
        <v>843</v>
      </c>
      <c r="I76" s="438" t="s">
        <v>842</v>
      </c>
      <c r="J76" s="438" t="s">
        <v>842</v>
      </c>
      <c r="K76" s="438" t="s">
        <v>842</v>
      </c>
      <c r="L76" s="327"/>
      <c r="M76" s="440" t="s">
        <v>844</v>
      </c>
    </row>
    <row r="77" spans="1:15" ht="47.45" thickBot="1">
      <c r="A77" s="135" t="s">
        <v>845</v>
      </c>
      <c r="B77" s="85"/>
      <c r="C77" s="130" t="s">
        <v>442</v>
      </c>
      <c r="D77" s="131" t="s">
        <v>443</v>
      </c>
      <c r="E77" s="131" t="s">
        <v>17</v>
      </c>
      <c r="F77" s="131" t="s">
        <v>17</v>
      </c>
      <c r="G77" s="132" t="s">
        <v>444</v>
      </c>
      <c r="H77" s="133" t="s">
        <v>846</v>
      </c>
      <c r="I77" s="131" t="s">
        <v>446</v>
      </c>
      <c r="J77" s="131" t="s">
        <v>447</v>
      </c>
      <c r="K77" s="131" t="s">
        <v>448</v>
      </c>
      <c r="L77" s="328" t="s">
        <v>847</v>
      </c>
      <c r="M77" s="441" t="s">
        <v>848</v>
      </c>
    </row>
    <row r="78" spans="1:15" ht="60.4" customHeight="1">
      <c r="A78" s="136" t="s">
        <v>285</v>
      </c>
      <c r="B78" s="134"/>
      <c r="C78" s="208" t="str">
        <f>'RESUMO DE PONTOS'!C9</f>
        <v>[P1]</v>
      </c>
      <c r="D78" s="209" t="str">
        <f>IFERROR(VLOOKUP(C78,'RESUMO DE PONTOS'!$C$9:$D$38,2,),"")</f>
        <v xml:space="preserve">Pagamento sem documento fiscal </v>
      </c>
      <c r="E78" s="210" t="str">
        <f>IFERROR(VLOOKUP($C78,'RESUMO DE PONTOS'!$C$9:$L$38,7,),"")</f>
        <v>Legal</v>
      </c>
      <c r="F78" s="210">
        <f t="shared" ref="F78:F84" si="2">VLOOKUP(E78,$C$30:$E$35,3,)</f>
        <v>3</v>
      </c>
      <c r="G78" s="297">
        <f>_xlfn.XLOOKUP(D78,Planilha1!C:C,Planilha1!F:F)</f>
        <v>4</v>
      </c>
      <c r="H78" s="211">
        <f>_xlfn.XLOOKUP(D78,Planilha1!C:C,Planilha1!G:G)</f>
        <v>2</v>
      </c>
      <c r="I78" s="210">
        <v>48</v>
      </c>
      <c r="J78" s="210" t="str">
        <f>IFERROR(VLOOKUP(C78,'RESUMO DE PONTOS'!$C$9:$J$38,8,),"")</f>
        <v>Voucher documental</v>
      </c>
      <c r="K78" s="289" t="str">
        <f>IF(I78&gt;=75,"ALTO IMPACTO",IF(I78&lt;=50,"BAIXO IMPACTO","MÉDIO IMPACTO"))</f>
        <v>BAIXO IMPACTO</v>
      </c>
      <c r="L78" s="329">
        <f>_xlfn.XLOOKUP(D78,'BASE DE PONTOS V+'!C:C,'BASE DE PONTOS V+'!E:E)</f>
        <v>17679.82</v>
      </c>
      <c r="M78" s="212" t="str">
        <f>_xlfn.XLOOKUP(C78,'RESUMO DE PONTOS'!C:C,'RESUMO DE PONTOS'!L:L)</f>
        <v>Alto Impacto</v>
      </c>
      <c r="N78" s="213" t="str">
        <f>C78</f>
        <v>[P1]</v>
      </c>
      <c r="O78" s="214">
        <f t="shared" ref="O78:O81" si="3">I78</f>
        <v>48</v>
      </c>
    </row>
    <row r="79" spans="1:15" ht="60.4" customHeight="1">
      <c r="A79" s="137" t="s">
        <v>451</v>
      </c>
      <c r="B79" s="134"/>
      <c r="C79" s="215" t="str">
        <f>'RESUMO DE PONTOS'!C10</f>
        <v>[P2]</v>
      </c>
      <c r="D79" s="216" t="str">
        <f>IFERROR(VLOOKUP(C79,'RESUMO DE PONTOS'!$C$9:$D$38,2,),"")</f>
        <v>Pagamentos realizados sem os respectivos comprovantes de pagamento anexados</v>
      </c>
      <c r="E79" s="217" t="str">
        <f>IFERROR(VLOOKUP($C79,'RESUMO DE PONTOS'!$C$9:$L$38,7,),"")</f>
        <v>Financeiro</v>
      </c>
      <c r="F79" s="217">
        <f t="shared" si="2"/>
        <v>5</v>
      </c>
      <c r="G79" s="298">
        <f>_xlfn.XLOOKUP(D79,Planilha1!C:C,Planilha1!F:F)</f>
        <v>3</v>
      </c>
      <c r="H79" s="322">
        <f>_xlfn.XLOOKUP(D79,Planilha1!C:C,Planilha1!G:G)</f>
        <v>1</v>
      </c>
      <c r="I79" s="218">
        <v>45</v>
      </c>
      <c r="J79" s="217" t="str">
        <f>IFERROR(VLOOKUP(C79,'RESUMO DE PONTOS'!$C$9:$J$38,8,),"")</f>
        <v>Voucher documental</v>
      </c>
      <c r="K79" s="290" t="str">
        <f t="shared" ref="K79:K81" si="4">IF(I79&gt;=75,"ALTO IMPACTO",IF(I79&lt;=50,"BAIXO IMPACTO","MÉDIO IMPACTO"))</f>
        <v>BAIXO IMPACTO</v>
      </c>
      <c r="L79" s="330">
        <f>_xlfn.XLOOKUP(D79,'BASE DE PONTOS V+'!C:C,'BASE DE PONTOS V+'!E:E)</f>
        <v>1558.2399999999998</v>
      </c>
      <c r="M79" s="219" t="str">
        <f>_xlfn.XLOOKUP(C79,'RESUMO DE PONTOS'!C:C,'RESUMO DE PONTOS'!L:L)</f>
        <v>Baixo Impacto</v>
      </c>
      <c r="N79" s="220" t="str">
        <f t="shared" ref="N79:N81" si="5">C79</f>
        <v>[P2]</v>
      </c>
      <c r="O79" s="221">
        <f t="shared" si="3"/>
        <v>45</v>
      </c>
    </row>
    <row r="80" spans="1:15" ht="60.4" customHeight="1">
      <c r="A80" s="137" t="s">
        <v>452</v>
      </c>
      <c r="B80" s="134"/>
      <c r="C80" s="215" t="str">
        <f>'RESUMO DE PONTOS'!C11</f>
        <v>[P3]</v>
      </c>
      <c r="D80" s="216" t="str">
        <f>IFERROR(VLOOKUP(C80,'RESUMO DE PONTOS'!$C$9:$D$38,2,),"")</f>
        <v>Negligência na gestão dos Documentos que compõe os Demonstrativos</v>
      </c>
      <c r="E80" s="217" t="str">
        <f>IFERROR(VLOOKUP($C80,'RESUMO DE PONTOS'!$C$9:$L$38,7,),"")</f>
        <v>Operacional</v>
      </c>
      <c r="F80" s="217">
        <f t="shared" si="2"/>
        <v>4</v>
      </c>
      <c r="G80" s="298">
        <f>_xlfn.XLOOKUP(D80,Planilha1!C:C,Planilha1!F:F)</f>
        <v>3</v>
      </c>
      <c r="H80" s="322">
        <f>_xlfn.XLOOKUP(D80,Planilha1!C:C,Planilha1!G:G)</f>
        <v>1</v>
      </c>
      <c r="I80" s="218">
        <v>24</v>
      </c>
      <c r="J80" s="217" t="str">
        <f>IFERROR(VLOOKUP(C80,'RESUMO DE PONTOS'!$C$9:$J$38,8,),"")</f>
        <v>Voucher documental</v>
      </c>
      <c r="K80" s="290" t="str">
        <f t="shared" si="4"/>
        <v>BAIXO IMPACTO</v>
      </c>
      <c r="L80" s="330">
        <f>_xlfn.XLOOKUP(D80,'BASE DE PONTOS V+'!C:C,'BASE DE PONTOS V+'!E:E)</f>
        <v>118.82000000000001</v>
      </c>
      <c r="M80" s="219" t="str">
        <f>_xlfn.XLOOKUP(C80,'RESUMO DE PONTOS'!C:C,'RESUMO DE PONTOS'!L:L)</f>
        <v>Baixo Impacto</v>
      </c>
      <c r="N80" s="220" t="str">
        <f t="shared" si="5"/>
        <v>[P3]</v>
      </c>
      <c r="O80" s="221">
        <f t="shared" si="3"/>
        <v>24</v>
      </c>
    </row>
    <row r="81" spans="1:21" ht="60.4" customHeight="1">
      <c r="A81" s="137" t="s">
        <v>453</v>
      </c>
      <c r="B81" s="134"/>
      <c r="C81" s="215" t="str">
        <f>'RESUMO DE PONTOS'!C12</f>
        <v>[P4]</v>
      </c>
      <c r="D81" s="216" t="str">
        <f>IFERROR(VLOOKUP(C81,'RESUMO DE PONTOS'!$C$9:$D$38,2,),"")</f>
        <v>Conjunto de documentos anexados fora do mês correspondente no Balancete.</v>
      </c>
      <c r="E81" s="217" t="str">
        <f>IFERROR(VLOOKUP($C81,'RESUMO DE PONTOS'!$C$9:$L$38,7,),"")</f>
        <v>Operacional</v>
      </c>
      <c r="F81" s="217">
        <f t="shared" si="2"/>
        <v>4</v>
      </c>
      <c r="G81" s="298">
        <f>_xlfn.XLOOKUP(D81,Planilha1!C:C,Planilha1!F:F)</f>
        <v>1</v>
      </c>
      <c r="H81" s="322">
        <f>_xlfn.XLOOKUP(D81,Planilha1!C:C,Planilha1!G:G)</f>
        <v>1</v>
      </c>
      <c r="I81" s="218">
        <v>40</v>
      </c>
      <c r="J81" s="217" t="str">
        <f>IFERROR(VLOOKUP(C81,'RESUMO DE PONTOS'!$C$9:$J$38,8,),"")</f>
        <v>Voucher documental</v>
      </c>
      <c r="K81" s="290" t="str">
        <f t="shared" si="4"/>
        <v>BAIXO IMPACTO</v>
      </c>
      <c r="L81" s="330">
        <f>_xlfn.XLOOKUP(D81,'BASE DE PONTOS V+'!C:C,'BASE DE PONTOS V+'!E:E)</f>
        <v>418.07</v>
      </c>
      <c r="M81" s="219" t="str">
        <f>_xlfn.XLOOKUP(C81,'RESUMO DE PONTOS'!C:C,'RESUMO DE PONTOS'!L:L)</f>
        <v>Baixo Impacto</v>
      </c>
      <c r="N81" s="220" t="str">
        <f t="shared" si="5"/>
        <v>[P4]</v>
      </c>
      <c r="O81" s="221">
        <f t="shared" si="3"/>
        <v>40</v>
      </c>
    </row>
    <row r="82" spans="1:21" ht="60.4" customHeight="1">
      <c r="A82" s="137"/>
      <c r="B82" s="134"/>
      <c r="C82" s="215" t="str">
        <f>'RESUMO DE PONTOS'!C13</f>
        <v>[P5]</v>
      </c>
      <c r="D82" s="216" t="str">
        <f>IFERROR(VLOOKUP(C82,'RESUMO DE PONTOS'!$C$9:$D$38,2,),"")</f>
        <v>Informações apresentado fora do mês correspondente na demonstração financeira.</v>
      </c>
      <c r="E82" s="217" t="str">
        <f>IFERROR(VLOOKUP($C82,'RESUMO DE PONTOS'!$C$9:$L$38,7,),"")</f>
        <v>Financeiro</v>
      </c>
      <c r="F82" s="217">
        <f t="shared" si="2"/>
        <v>5</v>
      </c>
      <c r="G82" s="298">
        <f>_xlfn.XLOOKUP(D82,Planilha1!C:C,Planilha1!F:F)</f>
        <v>1</v>
      </c>
      <c r="H82" s="322">
        <f>_xlfn.XLOOKUP(D82,Planilha1!C:C,Planilha1!G:G)</f>
        <v>1</v>
      </c>
      <c r="I82" s="218">
        <v>12</v>
      </c>
      <c r="J82" s="217" t="str">
        <f>IFERROR(VLOOKUP(C82,'RESUMO DE PONTOS'!$C$9:$J$38,8,),"")</f>
        <v>Voucher documental</v>
      </c>
      <c r="K82" s="290" t="str">
        <f t="shared" ref="K82:K83" si="6">IF(I82&gt;=75,"ALTO IMPACTO",IF(I82&lt;=50,"BAIXO IMPACTO","MÉDIO IMPACTO"))</f>
        <v>BAIXO IMPACTO</v>
      </c>
      <c r="L82" s="330">
        <f>_xlfn.XLOOKUP(D82,'BASE DE PONTOS V+'!C:C,'BASE DE PONTOS V+'!E:E)</f>
        <v>418.07</v>
      </c>
      <c r="M82" s="219" t="str">
        <f>_xlfn.XLOOKUP(C82,'RESUMO DE PONTOS'!C:C,'RESUMO DE PONTOS'!L:L)</f>
        <v>Baixo Impacto</v>
      </c>
      <c r="N82" s="220" t="str">
        <f t="shared" ref="N82:N83" si="7">C82</f>
        <v>[P5]</v>
      </c>
      <c r="O82" s="221">
        <f t="shared" ref="O82:O83" si="8">I82</f>
        <v>12</v>
      </c>
    </row>
    <row r="83" spans="1:21" ht="60.4" customHeight="1">
      <c r="A83" s="137"/>
      <c r="B83" s="134"/>
      <c r="C83" s="215" t="str">
        <f>'RESUMO DE PONTOS'!C14</f>
        <v>[P6]</v>
      </c>
      <c r="D83" s="216" t="str">
        <f>IFERROR(VLOOKUP(C83,'RESUMO DE PONTOS'!$C$9:$D$38,2,),"")</f>
        <v>Diferenças entre: Valor do comprovante de pagamento X Valor da documentação suporte.</v>
      </c>
      <c r="E83" s="217" t="str">
        <f>IFERROR(VLOOKUP($C83,'RESUMO DE PONTOS'!$C$9:$L$38,7,),"")</f>
        <v>Financeiro</v>
      </c>
      <c r="F83" s="217">
        <f t="shared" si="2"/>
        <v>5</v>
      </c>
      <c r="G83" s="298">
        <f>_xlfn.XLOOKUP(D83,Planilha1!C:C,Planilha1!F:F)</f>
        <v>3</v>
      </c>
      <c r="H83" s="322">
        <f>_xlfn.XLOOKUP(D83,Planilha1!C:C,Planilha1!G:G)</f>
        <v>1</v>
      </c>
      <c r="I83" s="218">
        <v>20</v>
      </c>
      <c r="J83" s="217" t="str">
        <f>IFERROR(VLOOKUP(C83,'RESUMO DE PONTOS'!$C$9:$J$38,8,),"")</f>
        <v>Voucher documental</v>
      </c>
      <c r="K83" s="290" t="str">
        <f t="shared" si="6"/>
        <v>BAIXO IMPACTO</v>
      </c>
      <c r="L83" s="330" t="str">
        <f>_xlfn.XLOOKUP(D83,'BASE DE PONTOS V+'!C:C,'BASE DE PONTOS V+'!E:E)</f>
        <v>De - R$ 1.062,75 até R$ 3.750,00</v>
      </c>
      <c r="M83" s="219" t="str">
        <f>_xlfn.XLOOKUP(C83,'RESUMO DE PONTOS'!C:C,'RESUMO DE PONTOS'!L:L)</f>
        <v>Baixo Impacto</v>
      </c>
      <c r="N83" s="220" t="str">
        <f t="shared" si="7"/>
        <v>[P6]</v>
      </c>
      <c r="O83" s="221">
        <f t="shared" si="8"/>
        <v>20</v>
      </c>
    </row>
    <row r="84" spans="1:21" ht="60.4" customHeight="1">
      <c r="A84" s="137"/>
      <c r="B84" s="134"/>
      <c r="C84" s="215" t="str">
        <f>'RESUMO DE PONTOS'!C15</f>
        <v>[P7]</v>
      </c>
      <c r="D84" s="216" t="str">
        <f>IFERROR(VLOOKUP(C84,'RESUMO DE PONTOS'!$C$9:$D$38,2,),"")</f>
        <v>Pagamentos realizados antes da emissão da nota fiscal.</v>
      </c>
      <c r="E84" s="217" t="str">
        <f>IFERROR(VLOOKUP($C84,'RESUMO DE PONTOS'!$C$9:$L$38,7,),"")</f>
        <v>Legal</v>
      </c>
      <c r="F84" s="217">
        <f t="shared" si="2"/>
        <v>3</v>
      </c>
      <c r="G84" s="298">
        <f>_xlfn.XLOOKUP(D84,Planilha1!C:C,Planilha1!F:F)</f>
        <v>3</v>
      </c>
      <c r="H84" s="322">
        <f>_xlfn.XLOOKUP(D84,Planilha1!C:C,Planilha1!G:G)</f>
        <v>1</v>
      </c>
      <c r="I84" s="218">
        <v>125</v>
      </c>
      <c r="J84" s="217" t="str">
        <f>IFERROR(VLOOKUP(C84,'RESUMO DE PONTOS'!$C$9:$J$38,8,),"")</f>
        <v>Voucher documental</v>
      </c>
      <c r="K84" s="290" t="str">
        <f t="shared" ref="K84" si="9">IF(I84&gt;=75,"ALTO IMPACTO",IF(I84&lt;=50,"BAIXO IMPACTO","MÉDIO IMPACTO"))</f>
        <v>ALTO IMPACTO</v>
      </c>
      <c r="L84" s="330">
        <f>_xlfn.XLOOKUP(D84,'BASE DE PONTOS V+'!C:C,'BASE DE PONTOS V+'!E:E)</f>
        <v>3563.1600000000003</v>
      </c>
      <c r="M84" s="219" t="str">
        <f>_xlfn.XLOOKUP(C84,'RESUMO DE PONTOS'!C:C,'RESUMO DE PONTOS'!L:L)</f>
        <v>médio impacto</v>
      </c>
      <c r="N84" s="220" t="str">
        <f t="shared" ref="N84" si="10">C84</f>
        <v>[P7]</v>
      </c>
      <c r="O84" s="221">
        <f t="shared" ref="O84" si="11">I84</f>
        <v>125</v>
      </c>
    </row>
    <row r="85" spans="1:21" ht="60.4" customHeight="1">
      <c r="A85" s="137"/>
      <c r="B85" s="134"/>
      <c r="C85" s="215" t="str">
        <f>'RESUMO DE PONTOS'!C16</f>
        <v>[P8]</v>
      </c>
      <c r="D85" s="216" t="str">
        <f>IFERROR(VLOOKUP(C85,'RESUMO DE PONTOS'!$C$9:$D$38,2,),"")</f>
        <v>Os balancetes sem aprovação dos conselheiros fiscais e do síndico no termo de aprovação.</v>
      </c>
      <c r="E85" s="217" t="str">
        <f>IFERROR(VLOOKUP($C85,'RESUMO DE PONTOS'!$C$9:$L$38,7,),"")</f>
        <v>Legal</v>
      </c>
      <c r="F85" s="217">
        <f t="shared" ref="F85:F91" si="12">VLOOKUP(E85,$C$30:$E$35,3,)</f>
        <v>3</v>
      </c>
      <c r="G85" s="298">
        <f>_xlfn.XLOOKUP(D85,Planilha1!C:C,Planilha1!F:F)</f>
        <v>5</v>
      </c>
      <c r="H85" s="322">
        <f>_xlfn.XLOOKUP(D85,Planilha1!C:C,Planilha1!G:G)</f>
        <v>4</v>
      </c>
      <c r="I85" s="218">
        <v>60</v>
      </c>
      <c r="J85" s="217" t="str">
        <f>IFERROR(VLOOKUP(C85,'RESUMO DE PONTOS'!$C$9:$J$38,8,),"")</f>
        <v>Resumo Convenção</v>
      </c>
      <c r="K85" s="290" t="str">
        <f t="shared" ref="K85:K91" si="13">IF(I85&gt;=75,"ALTO IMPACTO",IF(I85&lt;=50,"BAIXO IMPACTO","MÉDIO IMPACTO"))</f>
        <v>MÉDIO IMPACTO</v>
      </c>
      <c r="L85" s="330" t="str">
        <f>_xlfn.XLOOKUP(D85,'BASE DE PONTOS V+'!C:C,'BASE DE PONTOS V+'!E:E)</f>
        <v>NA</v>
      </c>
      <c r="M85" s="219" t="str">
        <f>_xlfn.XLOOKUP(C85,'RESUMO DE PONTOS'!C:C,'RESUMO DE PONTOS'!L:L)</f>
        <v>Alto Impacto</v>
      </c>
      <c r="N85" s="220" t="str">
        <f t="shared" ref="N85:N91" si="14">C85</f>
        <v>[P8]</v>
      </c>
      <c r="O85" s="221">
        <f t="shared" ref="O85:O91" si="15">I85</f>
        <v>60</v>
      </c>
    </row>
    <row r="86" spans="1:21" ht="60.4" customHeight="1">
      <c r="A86" s="138"/>
      <c r="B86" s="134"/>
      <c r="C86" s="215" t="str">
        <f>'RESUMO DE PONTOS'!C17</f>
        <v>[P9]</v>
      </c>
      <c r="D86" s="216" t="str">
        <f>IFERROR(VLOOKUP(C86,'RESUMO DE PONTOS'!$C$9:$D$38,2,),"")</f>
        <v>Falta de registro de Ata's em cartório</v>
      </c>
      <c r="E86" s="217" t="str">
        <f>IFERROR(VLOOKUP($C86,'RESUMO DE PONTOS'!$C$9:$L$38,7,),"")</f>
        <v>Legal</v>
      </c>
      <c r="F86" s="217">
        <f t="shared" si="12"/>
        <v>3</v>
      </c>
      <c r="G86" s="298">
        <f>_xlfn.XLOOKUP(D86,Planilha1!C:C,Planilha1!F:F)</f>
        <v>5</v>
      </c>
      <c r="H86" s="322">
        <f>_xlfn.XLOOKUP(D86,Planilha1!C:C,Planilha1!G:G)</f>
        <v>4</v>
      </c>
      <c r="I86" s="218">
        <v>45</v>
      </c>
      <c r="J86" s="217" t="str">
        <f>IFERROR(VLOOKUP(C86,'RESUMO DE PONTOS'!$C$9:$J$38,8,),"")</f>
        <v>Resumo Convenção</v>
      </c>
      <c r="K86" s="290" t="str">
        <f t="shared" si="13"/>
        <v>BAIXO IMPACTO</v>
      </c>
      <c r="L86" s="330" t="str">
        <f>_xlfn.XLOOKUP(D86,'BASE DE PONTOS V+'!C:C,'BASE DE PONTOS V+'!E:E)</f>
        <v>NA</v>
      </c>
      <c r="M86" s="219" t="str">
        <f>_xlfn.XLOOKUP(C86,'RESUMO DE PONTOS'!C:C,'RESUMO DE PONTOS'!L:L)</f>
        <v>médio impacto</v>
      </c>
      <c r="N86" s="220" t="str">
        <f t="shared" si="14"/>
        <v>[P9]</v>
      </c>
      <c r="O86" s="221">
        <f t="shared" si="15"/>
        <v>45</v>
      </c>
    </row>
    <row r="87" spans="1:21" ht="60.4" customHeight="1">
      <c r="A87" s="138"/>
      <c r="B87" s="134"/>
      <c r="C87" s="215" t="str">
        <f>'RESUMO DE PONTOS'!C18</f>
        <v>[P10]</v>
      </c>
      <c r="D87" s="216" t="str">
        <f>IFERROR(VLOOKUP(C87,'RESUMO DE PONTOS'!$C$9:$D$38,2,),"")</f>
        <v>Falta relatório de auditoria do período anterior.</v>
      </c>
      <c r="E87" s="217" t="str">
        <f>IFERROR(VLOOKUP($C87,'RESUMO DE PONTOS'!$C$9:$L$38,7,),"")</f>
        <v>Estratégico</v>
      </c>
      <c r="F87" s="217">
        <f t="shared" si="12"/>
        <v>4</v>
      </c>
      <c r="G87" s="298">
        <f>_xlfn.XLOOKUP(D87,Planilha1!C:C,Planilha1!F:F)</f>
        <v>5</v>
      </c>
      <c r="H87" s="322">
        <f>_xlfn.XLOOKUP(D87,Planilha1!C:C,Planilha1!G:G)</f>
        <v>4</v>
      </c>
      <c r="I87" s="218">
        <v>125</v>
      </c>
      <c r="J87" s="217" t="str">
        <f>IFERROR(VLOOKUP(C87,'RESUMO DE PONTOS'!$C$9:$J$38,8,),"")</f>
        <v>Follow Up CCI</v>
      </c>
      <c r="K87" s="290" t="str">
        <f t="shared" si="13"/>
        <v>ALTO IMPACTO</v>
      </c>
      <c r="L87" s="330" t="str">
        <f>_xlfn.XLOOKUP(D87,'BASE DE PONTOS V+'!C:C,'BASE DE PONTOS V+'!E:E)</f>
        <v>NA</v>
      </c>
      <c r="M87" s="219" t="str">
        <f>_xlfn.XLOOKUP(C87,'RESUMO DE PONTOS'!C:C,'RESUMO DE PONTOS'!L:L)</f>
        <v>Alto Impacto</v>
      </c>
      <c r="N87" s="220" t="str">
        <f t="shared" si="14"/>
        <v>[P10]</v>
      </c>
      <c r="O87" s="221">
        <f t="shared" si="15"/>
        <v>125</v>
      </c>
    </row>
    <row r="88" spans="1:21" ht="60.4" customHeight="1">
      <c r="A88" s="138"/>
      <c r="B88" s="134"/>
      <c r="C88" s="215" t="str">
        <f>'RESUMO DE PONTOS'!C19</f>
        <v>[P11]</v>
      </c>
      <c r="D88" s="216" t="str">
        <f>IFERROR(VLOOKUP(C88,'RESUMO DE PONTOS'!$C$9:$D$38,2,),"")</f>
        <v>Falta de Planejamento Orçamentário Anual</v>
      </c>
      <c r="E88" s="217" t="str">
        <f>IFERROR(VLOOKUP($C88,'RESUMO DE PONTOS'!$C$9:$L$38,7,),"")</f>
        <v>Estratégico</v>
      </c>
      <c r="F88" s="217">
        <f t="shared" si="12"/>
        <v>4</v>
      </c>
      <c r="G88" s="298">
        <f>_xlfn.XLOOKUP(D88,Planilha1!C:C,Planilha1!F:F)</f>
        <v>5</v>
      </c>
      <c r="H88" s="322">
        <f>_xlfn.XLOOKUP(D88,Planilha1!C:C,Planilha1!G:G)</f>
        <v>5</v>
      </c>
      <c r="I88" s="218">
        <v>100</v>
      </c>
      <c r="J88" s="217" t="str">
        <f>IFERROR(VLOOKUP(C88,'RESUMO DE PONTOS'!$C$9:$J$38,8,),"")</f>
        <v>Orçado X Realizado</v>
      </c>
      <c r="K88" s="290" t="str">
        <f t="shared" si="13"/>
        <v>ALTO IMPACTO</v>
      </c>
      <c r="L88" s="330" t="str">
        <f>_xlfn.XLOOKUP(D88,'BASE DE PONTOS V+'!C:C,'BASE DE PONTOS V+'!E:E)</f>
        <v>NA</v>
      </c>
      <c r="M88" s="219" t="str">
        <f>_xlfn.XLOOKUP(C88,'RESUMO DE PONTOS'!C:C,'RESUMO DE PONTOS'!L:L)</f>
        <v>Alto Impacto</v>
      </c>
      <c r="N88" s="220" t="str">
        <f t="shared" si="14"/>
        <v>[P11]</v>
      </c>
      <c r="O88" s="221">
        <f t="shared" si="15"/>
        <v>100</v>
      </c>
    </row>
    <row r="89" spans="1:21" ht="60.4" customHeight="1">
      <c r="A89" s="138"/>
      <c r="B89" s="85"/>
      <c r="C89" s="215" t="str">
        <f>'RESUMO DE PONTOS'!C20</f>
        <v>[P12]</v>
      </c>
      <c r="D89" s="216" t="str">
        <f>IFERROR(VLOOKUP(C89,'RESUMO DE PONTOS'!$C$9:$D$38,2,),"")</f>
        <v>Sistema de medição da água realizado de forma não individualizada</v>
      </c>
      <c r="E89" s="217" t="str">
        <f>IFERROR(VLOOKUP($C89,'RESUMO DE PONTOS'!$C$9:$L$38,7,),"")</f>
        <v>Legal</v>
      </c>
      <c r="F89" s="217">
        <f t="shared" si="12"/>
        <v>3</v>
      </c>
      <c r="G89" s="298">
        <f>_xlfn.XLOOKUP(D89,Planilha1!C:C,Planilha1!F:F)</f>
        <v>5</v>
      </c>
      <c r="H89" s="322">
        <f>_xlfn.XLOOKUP(D89,Planilha1!C:C,Planilha1!G:G)</f>
        <v>4</v>
      </c>
      <c r="I89" s="218">
        <v>64</v>
      </c>
      <c r="J89" s="217" t="str">
        <f>IFERROR(VLOOKUP(C89,'RESUMO DE PONTOS'!$C$9:$J$38,8,),"")</f>
        <v>Resumo Convenção</v>
      </c>
      <c r="K89" s="290" t="str">
        <f t="shared" si="13"/>
        <v>MÉDIO IMPACTO</v>
      </c>
      <c r="L89" s="330" t="e">
        <f>-_xlfn.XLOOKUP(D89,'BASE DE PONTOS V+'!C:C,'BASE DE PONTOS V+'!E:E)</f>
        <v>#VALUE!</v>
      </c>
      <c r="M89" s="219" t="str">
        <f>_xlfn.XLOOKUP(C89,'RESUMO DE PONTOS'!C:C,'RESUMO DE PONTOS'!L:L)</f>
        <v>médio impacto</v>
      </c>
      <c r="N89" s="220" t="str">
        <f t="shared" si="14"/>
        <v>[P12]</v>
      </c>
      <c r="O89" s="221">
        <f t="shared" si="15"/>
        <v>64</v>
      </c>
    </row>
    <row r="90" spans="1:21" ht="60.4" customHeight="1">
      <c r="A90" s="138"/>
      <c r="B90" s="85"/>
      <c r="C90" s="215" t="str">
        <f>'RESUMO DE PONTOS'!C21</f>
        <v>[P13]</v>
      </c>
      <c r="D90" s="216" t="str">
        <f>IFERROR(VLOOKUP(C90,'RESUMO DE PONTOS'!$C$9:$D$38,2,),"")</f>
        <v>Valor apresentado no comprovante de pagamento, mas que não consta no extrato bancário</v>
      </c>
      <c r="E90" s="217" t="str">
        <f>IFERROR(VLOOKUP($C90,'RESUMO DE PONTOS'!$C$9:$L$38,7,),"")</f>
        <v>Financeiro</v>
      </c>
      <c r="F90" s="217">
        <f t="shared" si="12"/>
        <v>5</v>
      </c>
      <c r="G90" s="298">
        <f>_xlfn.XLOOKUP(D90,Planilha1!C:C,Planilha1!F:F)</f>
        <v>3</v>
      </c>
      <c r="H90" s="322">
        <f>_xlfn.XLOOKUP(D90,Planilha1!C:C,Planilha1!G:G)</f>
        <v>3</v>
      </c>
      <c r="I90" s="218">
        <v>36</v>
      </c>
      <c r="J90" s="217" t="str">
        <f>IFERROR(VLOOKUP(C90,'RESUMO DE PONTOS'!$C$9:$J$38,8,),"")</f>
        <v>Demonstrativo Financeiro + voucher nos extratos</v>
      </c>
      <c r="K90" s="290" t="str">
        <f t="shared" si="13"/>
        <v>BAIXO IMPACTO</v>
      </c>
      <c r="L90" s="330" t="e">
        <f>_xlfn.XLOOKUP(D90,'BASE DE PONTOS V+'!C:C,'BASE DE PONTOS V+'!E:E)</f>
        <v>#N/A</v>
      </c>
      <c r="M90" s="219" t="str">
        <f>_xlfn.XLOOKUP(C90,'RESUMO DE PONTOS'!C:C,'RESUMO DE PONTOS'!L:L)</f>
        <v>Baixo Impacto</v>
      </c>
      <c r="N90" s="220" t="str">
        <f t="shared" si="14"/>
        <v>[P13]</v>
      </c>
      <c r="O90" s="221">
        <f t="shared" si="15"/>
        <v>36</v>
      </c>
    </row>
    <row r="91" spans="1:21" ht="60.4" customHeight="1">
      <c r="A91" s="138"/>
      <c r="B91" s="85"/>
      <c r="C91" s="215" t="str">
        <f>'RESUMO DE PONTOS'!C22</f>
        <v>[P14]</v>
      </c>
      <c r="D91" s="216" t="str">
        <f>IFERROR(VLOOKUP(C91,'RESUMO DE PONTOS'!$C$9:$D$38,2,),"")</f>
        <v xml:space="preserve">Falta de apresentação de extratos bancários </v>
      </c>
      <c r="E91" s="217" t="str">
        <f>IFERROR(VLOOKUP($C91,'RESUMO DE PONTOS'!$C$9:$L$38,7,),"")</f>
        <v>Financeiro</v>
      </c>
      <c r="F91" s="217">
        <f t="shared" si="12"/>
        <v>5</v>
      </c>
      <c r="G91" s="298">
        <f>_xlfn.XLOOKUP(D91,Planilha1!C:C,Planilha1!F:F)</f>
        <v>4</v>
      </c>
      <c r="H91" s="322">
        <f>_xlfn.XLOOKUP(D91,Planilha1!C:C,Planilha1!G:G)</f>
        <v>4</v>
      </c>
      <c r="I91" s="218">
        <v>48</v>
      </c>
      <c r="J91" s="217" t="str">
        <f>IFERROR(VLOOKUP(C91,'RESUMO DE PONTOS'!$C$9:$J$38,8,),"")</f>
        <v>Demonstrativo Financeiro + voucher nos extratos</v>
      </c>
      <c r="K91" s="290" t="str">
        <f t="shared" si="13"/>
        <v>BAIXO IMPACTO</v>
      </c>
      <c r="L91" s="330" t="str">
        <f>_xlfn.XLOOKUP(D91,'BASE DE PONTOS V+'!C:C,'BASE DE PONTOS V+'!E:E)</f>
        <v>NA</v>
      </c>
      <c r="M91" s="219" t="str">
        <f>_xlfn.XLOOKUP(C91,'RESUMO DE PONTOS'!C:C,'RESUMO DE PONTOS'!L:L)</f>
        <v>Baixo Impacto</v>
      </c>
      <c r="N91" s="220" t="str">
        <f t="shared" si="14"/>
        <v>[P14]</v>
      </c>
      <c r="O91" s="221">
        <f t="shared" si="15"/>
        <v>48</v>
      </c>
    </row>
    <row r="92" spans="1:21" ht="60.4" customHeight="1">
      <c r="A92" s="138"/>
      <c r="B92" s="85"/>
      <c r="C92" s="215" t="str">
        <f>'RESUMO DE PONTOS'!C23</f>
        <v>[P15]</v>
      </c>
      <c r="D92" s="216" t="str">
        <f>IFERROR(VLOOKUP(C92,'RESUMO DE PONTOS'!$C$9:$D$38,2,),"")</f>
        <v>Saídas nos extratos não validados com a voucher</v>
      </c>
      <c r="E92" s="217" t="str">
        <f>IFERROR(VLOOKUP($C92,'RESUMO DE PONTOS'!$C$9:$L$38,7,),"")</f>
        <v>Financeiro</v>
      </c>
      <c r="F92" s="217">
        <f t="shared" ref="F92:F93" si="16">VLOOKUP(E92,$C$30:$E$35,3,)</f>
        <v>5</v>
      </c>
      <c r="G92" s="298">
        <f>_xlfn.XLOOKUP(D92,Planilha1!C:C,Planilha1!F:F)</f>
        <v>3</v>
      </c>
      <c r="H92" s="322">
        <f>_xlfn.XLOOKUP(D92,Planilha1!C:C,Planilha1!G:G)</f>
        <v>3</v>
      </c>
      <c r="I92" s="218">
        <v>36</v>
      </c>
      <c r="J92" s="217" t="str">
        <f>IFERROR(VLOOKUP(C92,'RESUMO DE PONTOS'!$C$9:$J$38,8,),"")</f>
        <v>Demonstrativo Financeiro + voucher nos extratos</v>
      </c>
      <c r="K92" s="290" t="str">
        <f t="shared" ref="K92:K93" si="17">IF(I92&gt;=75,"ALTO IMPACTO",IF(I92&lt;=50,"BAIXO IMPACTO","MÉDIO IMPACTO"))</f>
        <v>BAIXO IMPACTO</v>
      </c>
      <c r="L92" s="330">
        <f>_xlfn.XLOOKUP(D92,'BASE DE PONTOS V+'!C:C,'BASE DE PONTOS V+'!E:E)</f>
        <v>2117.9899999999998</v>
      </c>
      <c r="M92" s="219" t="str">
        <f>_xlfn.XLOOKUP(C92,'RESUMO DE PONTOS'!C:C,'RESUMO DE PONTOS'!L:L)</f>
        <v>Baixo Impacto</v>
      </c>
      <c r="N92" s="220" t="str">
        <f t="shared" ref="N92:N93" si="18">C92</f>
        <v>[P15]</v>
      </c>
      <c r="O92" s="221">
        <f t="shared" ref="O92:O93" si="19">I92</f>
        <v>36</v>
      </c>
      <c r="U92" s="312"/>
    </row>
    <row r="93" spans="1:21" ht="60.4" customHeight="1">
      <c r="A93" s="138"/>
      <c r="B93" s="85"/>
      <c r="C93" s="215" t="str">
        <f>'RESUMO DE PONTOS'!C24</f>
        <v>[P16]</v>
      </c>
      <c r="D93" s="216" t="str">
        <f>IFERROR(VLOOKUP(C93,'RESUMO DE PONTOS'!$C$9:$D$38,2,),"")</f>
        <v xml:space="preserve">Apresentação incompleta de extrato bancário </v>
      </c>
      <c r="E93" s="217" t="str">
        <f>IFERROR(VLOOKUP($C93,'RESUMO DE PONTOS'!$C$9:$L$38,7,),"")</f>
        <v>Financeiro</v>
      </c>
      <c r="F93" s="217">
        <f t="shared" si="16"/>
        <v>5</v>
      </c>
      <c r="G93" s="298">
        <f>_xlfn.XLOOKUP(D93,Planilha1!C:C,Planilha1!F:F)</f>
        <v>3</v>
      </c>
      <c r="H93" s="322">
        <f>_xlfn.XLOOKUP(D93,Planilha1!C:C,Planilha1!G:G)</f>
        <v>4</v>
      </c>
      <c r="I93" s="218">
        <v>125</v>
      </c>
      <c r="J93" s="217" t="str">
        <f>IFERROR(VLOOKUP(C93,'RESUMO DE PONTOS'!$C$9:$J$38,8,),"")</f>
        <v>Demonstrativo Financeiro + voucher nos extratos</v>
      </c>
      <c r="K93" s="290" t="str">
        <f t="shared" si="17"/>
        <v>ALTO IMPACTO</v>
      </c>
      <c r="L93" s="330" t="str">
        <f>_xlfn.XLOOKUP(D93,'BASE DE PONTOS V+'!C:C,'BASE DE PONTOS V+'!E:E)</f>
        <v>NA</v>
      </c>
      <c r="M93" s="219" t="str">
        <f>_xlfn.XLOOKUP(C93,'RESUMO DE PONTOS'!C:C,'RESUMO DE PONTOS'!L:L)</f>
        <v>Baixo Impacto</v>
      </c>
      <c r="N93" s="220" t="str">
        <f t="shared" si="18"/>
        <v>[P16]</v>
      </c>
      <c r="O93" s="221">
        <f t="shared" si="19"/>
        <v>125</v>
      </c>
    </row>
    <row r="94" spans="1:21" ht="60.4" customHeight="1">
      <c r="A94" s="138"/>
      <c r="B94" s="85"/>
      <c r="C94" s="215" t="str">
        <f>'RESUMO DE PONTOS'!C25</f>
        <v>[P17]</v>
      </c>
      <c r="D94" s="216" t="str">
        <f>IFERROR(VLOOKUP(C94,'RESUMO DE PONTOS'!$C$9:$D$38,2,),"")</f>
        <v>Diferenças entre os saldos dos Demonstrativos Financeiros de Receitas e Despesas em relação a Demonstração dos Saldos Financeiros.</v>
      </c>
      <c r="E94" s="217" t="str">
        <f>IFERROR(VLOOKUP($C94,'RESUMO DE PONTOS'!$C$9:$L$38,7,),"")</f>
        <v>Financeiro</v>
      </c>
      <c r="F94" s="217">
        <f t="shared" ref="F94:F101" si="20">VLOOKUP(E94,$C$30:$E$35,3,)</f>
        <v>5</v>
      </c>
      <c r="G94" s="298">
        <f>_xlfn.XLOOKUP(D94,Planilha1!C:C,Planilha1!F:F)</f>
        <v>2</v>
      </c>
      <c r="H94" s="322">
        <f>_xlfn.XLOOKUP(D94,Planilha1!C:C,Planilha1!G:G)</f>
        <v>2</v>
      </c>
      <c r="I94" s="218">
        <v>125</v>
      </c>
      <c r="J94" s="217" t="str">
        <f>IFERROR(VLOOKUP(C94,'RESUMO DE PONTOS'!$C$9:$J$38,8,),"")</f>
        <v>Conciliação Bancária + Elaboração dos quadros dos Demonstrativos Financeiros</v>
      </c>
      <c r="K94" s="290" t="str">
        <f t="shared" ref="K94:K101" si="21">IF(I94&gt;=75,"ALTO IMPACTO",IF(I94&lt;=50,"BAIXO IMPACTO","MÉDIO IMPACTO"))</f>
        <v>ALTO IMPACTO</v>
      </c>
      <c r="L94" s="330">
        <f>_xlfn.XLOOKUP(D94,'BASE DE PONTOS V+'!C:C,'BASE DE PONTOS V+'!E:E)</f>
        <v>109</v>
      </c>
      <c r="M94" s="219" t="str">
        <f>_xlfn.XLOOKUP(C94,'RESUMO DE PONTOS'!C:C,'RESUMO DE PONTOS'!L:L)</f>
        <v>Baixo Impacto</v>
      </c>
      <c r="N94" s="220" t="str">
        <f t="shared" ref="N94:N101" si="22">C94</f>
        <v>[P17]</v>
      </c>
      <c r="O94" s="221">
        <f t="shared" ref="O94:O101" si="23">I94</f>
        <v>125</v>
      </c>
    </row>
    <row r="95" spans="1:21" ht="60.4" customHeight="1">
      <c r="A95" s="138"/>
      <c r="B95" s="85"/>
      <c r="C95" s="215" t="str">
        <f>'RESUMO DE PONTOS'!C26</f>
        <v>[P18]</v>
      </c>
      <c r="D95" s="216" t="str">
        <f>IFERROR(VLOOKUP(C95,'RESUMO DE PONTOS'!$C$9:$D$38,2,),"")</f>
        <v>Ausência de apresentação de mapa de cotação</v>
      </c>
      <c r="E95" s="217" t="str">
        <f>IFERROR(VLOOKUP($C95,'RESUMO DE PONTOS'!$C$9:$L$38,7,),"")</f>
        <v>Operacional</v>
      </c>
      <c r="F95" s="217">
        <f t="shared" si="20"/>
        <v>4</v>
      </c>
      <c r="G95" s="298">
        <f>_xlfn.XLOOKUP(D95,Planilha1!C:C,Planilha1!F:F)</f>
        <v>4</v>
      </c>
      <c r="H95" s="322">
        <f>_xlfn.XLOOKUP(D95,Planilha1!C:C,Planilha1!G:G)</f>
        <v>3</v>
      </c>
      <c r="I95" s="218">
        <v>60</v>
      </c>
      <c r="J95" s="217" t="str">
        <f>IFERROR(VLOOKUP(C95,'RESUMO DE PONTOS'!$C$9:$J$38,8,),"")</f>
        <v>Voucher documental</v>
      </c>
      <c r="K95" s="290" t="str">
        <f t="shared" si="21"/>
        <v>MÉDIO IMPACTO</v>
      </c>
      <c r="L95" s="330" t="str">
        <f>_xlfn.XLOOKUP(D95,'BASE DE PONTOS V+'!C:C,'BASE DE PONTOS V+'!E:E)</f>
        <v>NA</v>
      </c>
      <c r="M95" s="219" t="str">
        <f>_xlfn.XLOOKUP(C95,'RESUMO DE PONTOS'!C:C,'RESUMO DE PONTOS'!L:L)</f>
        <v>Baixo Impacto</v>
      </c>
      <c r="N95" s="220" t="str">
        <f t="shared" si="22"/>
        <v>[P18]</v>
      </c>
      <c r="O95" s="221">
        <f t="shared" si="23"/>
        <v>60</v>
      </c>
    </row>
    <row r="96" spans="1:21" ht="60.4" customHeight="1">
      <c r="A96" s="139"/>
      <c r="B96" s="85"/>
      <c r="C96" s="215" t="str">
        <f>'RESUMO DE PONTOS'!C27</f>
        <v>[P19]</v>
      </c>
      <c r="D96" s="216" t="str">
        <f>IFERROR(VLOOKUP(C96,'RESUMO DE PONTOS'!$C$9:$D$38,2,),"")</f>
        <v>Ausência de inventário dos ativos imobilizados</v>
      </c>
      <c r="E96" s="217" t="str">
        <f>IFERROR(VLOOKUP($C96,'RESUMO DE PONTOS'!$C$9:$L$38,7,),"")</f>
        <v>Financeiro</v>
      </c>
      <c r="F96" s="217">
        <f t="shared" si="20"/>
        <v>5</v>
      </c>
      <c r="G96" s="298">
        <f>_xlfn.XLOOKUP(D96,Planilha1!C:C,Planilha1!F:F)</f>
        <v>4</v>
      </c>
      <c r="H96" s="322">
        <f>_xlfn.XLOOKUP(D96,Planilha1!C:C,Planilha1!G:G)</f>
        <v>3</v>
      </c>
      <c r="I96" s="218">
        <f t="shared" ref="I96:I106" si="24">F96*G96*H96</f>
        <v>60</v>
      </c>
      <c r="J96" s="217" t="str">
        <f>IFERROR(VLOOKUP(C96,'RESUMO DE PONTOS'!$C$9:$J$38,8,),"")</f>
        <v>Inspeção estatística dos itens do Imobilizado</v>
      </c>
      <c r="K96" s="290" t="str">
        <f t="shared" si="21"/>
        <v>MÉDIO IMPACTO</v>
      </c>
      <c r="L96" s="330" t="e">
        <f>-_xlfn.XLOOKUP(D96,'BASE DE PONTOS V+'!C:C,'BASE DE PONTOS V+'!E:E)</f>
        <v>#VALUE!</v>
      </c>
      <c r="M96" s="219" t="str">
        <f>_xlfn.XLOOKUP(C96,'RESUMO DE PONTOS'!C:C,'RESUMO DE PONTOS'!L:L)</f>
        <v>Alto Impacto</v>
      </c>
      <c r="N96" s="220" t="str">
        <f t="shared" si="22"/>
        <v>[P19]</v>
      </c>
      <c r="O96" s="221">
        <f t="shared" si="23"/>
        <v>60</v>
      </c>
    </row>
    <row r="97" spans="1:15" ht="60.4" customHeight="1">
      <c r="A97" s="138"/>
      <c r="B97" s="85"/>
      <c r="C97" s="215" t="str">
        <f>'RESUMO DE PONTOS'!C28</f>
        <v>[P20]</v>
      </c>
      <c r="D97" s="216" t="str">
        <f>IFERROR(VLOOKUP(C97,'RESUMO DE PONTOS'!$C$9:$D$38,2,),"")</f>
        <v>Inexistência de valor estimado dos honorários advocatícios</v>
      </c>
      <c r="E97" s="217" t="str">
        <f>IFERROR(VLOOKUP($C97,'RESUMO DE PONTOS'!$C$9:$L$38,7,),"")</f>
        <v>Financeiro</v>
      </c>
      <c r="F97" s="217">
        <f t="shared" si="20"/>
        <v>5</v>
      </c>
      <c r="G97" s="298">
        <v>3</v>
      </c>
      <c r="H97" s="322">
        <v>1</v>
      </c>
      <c r="I97" s="218">
        <f t="shared" si="24"/>
        <v>15</v>
      </c>
      <c r="J97" s="217" t="str">
        <f>IFERROR(VLOOKUP(C97,'RESUMO DE PONTOS'!$C$9:$J$38,8,),"")</f>
        <v>Teste de Contingência</v>
      </c>
      <c r="K97" s="290" t="str">
        <f t="shared" si="21"/>
        <v>BAIXO IMPACTO</v>
      </c>
      <c r="L97" s="330" t="e">
        <f>-_xlfn.XLOOKUP(D97,'BASE DE PONTOS V+'!C:C,'BASE DE PONTOS V+'!E:E)</f>
        <v>#N/A</v>
      </c>
      <c r="M97" s="219" t="str">
        <f>_xlfn.XLOOKUP(C97,'RESUMO DE PONTOS'!C:C,'RESUMO DE PONTOS'!L:L)</f>
        <v>médio impacto</v>
      </c>
      <c r="N97" s="220" t="str">
        <f t="shared" si="22"/>
        <v>[P20]</v>
      </c>
      <c r="O97" s="221">
        <f t="shared" si="23"/>
        <v>15</v>
      </c>
    </row>
    <row r="98" spans="1:15" ht="60.4" customHeight="1">
      <c r="A98" s="138"/>
      <c r="B98" s="85"/>
      <c r="C98" s="215" t="str">
        <f>'RESUMO DE PONTOS'!C29</f>
        <v>[P21]</v>
      </c>
      <c r="D98" s="216" t="str">
        <f>IFERROR(VLOOKUP(C98,'RESUMO DE PONTOS'!$C$9:$D$38,2,),"")</f>
        <v xml:space="preserve">Perda Possível de Causa Judicial </v>
      </c>
      <c r="E98" s="217" t="str">
        <f>IFERROR(VLOOKUP($C98,'RESUMO DE PONTOS'!$C$9:$L$38,7,),"")</f>
        <v>Legal</v>
      </c>
      <c r="F98" s="217">
        <f t="shared" si="20"/>
        <v>3</v>
      </c>
      <c r="G98" s="298">
        <f>_xlfn.XLOOKUP(D98,Planilha1!C:C,Planilha1!F:F)</f>
        <v>5</v>
      </c>
      <c r="H98" s="322">
        <f>_xlfn.XLOOKUP(D98,Planilha1!C:C,Planilha1!G:G)</f>
        <v>4</v>
      </c>
      <c r="I98" s="218">
        <f t="shared" si="24"/>
        <v>60</v>
      </c>
      <c r="J98" s="217" t="str">
        <f>IFERROR(VLOOKUP(C98,'RESUMO DE PONTOS'!$C$9:$J$38,8,),"")</f>
        <v>Teste de Contingência</v>
      </c>
      <c r="K98" s="290" t="str">
        <f>IF(I98&gt;=75,"ALTO IMPACTO",IF(I98&lt;=50,"BAIXO IMPACTO","MÉDIO IMPACTO"))</f>
        <v>MÉDIO IMPACTO</v>
      </c>
      <c r="L98" s="330">
        <f>_xlfn.XLOOKUP(D98,'BASE DE PONTOS V+'!C:C,'BASE DE PONTOS V+'!E:E)</f>
        <v>396946.2</v>
      </c>
      <c r="M98" s="219" t="str">
        <f>_xlfn.XLOOKUP(C98,'RESUMO DE PONTOS'!C:C,'RESUMO DE PONTOS'!L:L)</f>
        <v>Alto Impacto</v>
      </c>
      <c r="N98" s="220" t="str">
        <f t="shared" si="22"/>
        <v>[P21]</v>
      </c>
      <c r="O98" s="221">
        <f t="shared" si="23"/>
        <v>60</v>
      </c>
    </row>
    <row r="99" spans="1:15" ht="60.4" customHeight="1">
      <c r="A99" s="138"/>
      <c r="B99" s="85" t="s">
        <v>24</v>
      </c>
      <c r="C99" s="215" t="str">
        <f>'RESUMO DE PONTOS'!C30</f>
        <v>[P22]</v>
      </c>
      <c r="D99" s="216" t="str">
        <f>IFERROR(VLOOKUP(C99,'RESUMO DE PONTOS'!$C$9:$D$38,2,),"")</f>
        <v xml:space="preserve">Perda Provável de Causa Judicial </v>
      </c>
      <c r="E99" s="217" t="str">
        <f>IFERROR(VLOOKUP($C99,'RESUMO DE PONTOS'!$C$9:$L$38,7,),"")</f>
        <v>Financeiro</v>
      </c>
      <c r="F99" s="217">
        <f t="shared" si="20"/>
        <v>5</v>
      </c>
      <c r="G99" s="298">
        <v>4</v>
      </c>
      <c r="H99" s="322">
        <v>2</v>
      </c>
      <c r="I99" s="218">
        <f t="shared" si="24"/>
        <v>40</v>
      </c>
      <c r="J99" s="217" t="str">
        <f>IFERROR(VLOOKUP(C99,'RESUMO DE PONTOS'!$C$9:$J$38,8,),"")</f>
        <v>Teste de Contingência</v>
      </c>
      <c r="K99" s="290" t="str">
        <f t="shared" si="21"/>
        <v>BAIXO IMPACTO</v>
      </c>
      <c r="L99" s="330">
        <f>_xlfn.XLOOKUP(D99,'BASE DE PONTOS V+'!C:C,'BASE DE PONTOS V+'!E:E)</f>
        <v>32000</v>
      </c>
      <c r="M99" s="219" t="str">
        <f>_xlfn.XLOOKUP(C99,'RESUMO DE PONTOS'!C:C,'RESUMO DE PONTOS'!L:L)</f>
        <v>médio impacto</v>
      </c>
      <c r="N99" s="220" t="str">
        <f t="shared" si="22"/>
        <v>[P22]</v>
      </c>
      <c r="O99" s="221">
        <f t="shared" si="23"/>
        <v>40</v>
      </c>
    </row>
    <row r="100" spans="1:15" ht="60.4" customHeight="1">
      <c r="A100" s="138"/>
      <c r="B100" s="85"/>
      <c r="C100" s="215" t="str">
        <f>'RESUMO DE PONTOS'!C31</f>
        <v>[P23]</v>
      </c>
      <c r="D100" s="216" t="str">
        <f>IFERROR(VLOOKUP(C100,'RESUMO DE PONTOS'!$C$9:$D$38,2,),"")</f>
        <v xml:space="preserve">Perda Remota de Causa Judicial </v>
      </c>
      <c r="E100" s="217" t="str">
        <f>IFERROR(VLOOKUP($C100,'RESUMO DE PONTOS'!$C$9:$L$38,7,),"")</f>
        <v>Legal</v>
      </c>
      <c r="F100" s="217">
        <f t="shared" si="20"/>
        <v>3</v>
      </c>
      <c r="G100" s="298">
        <v>4</v>
      </c>
      <c r="H100" s="322">
        <f>_xlfn.XLOOKUP(D100,Planilha1!C:C,Planilha1!G:G)</f>
        <v>4</v>
      </c>
      <c r="I100" s="218">
        <f t="shared" si="24"/>
        <v>48</v>
      </c>
      <c r="J100" s="217" t="str">
        <f>IFERROR(VLOOKUP(C100,'RESUMO DE PONTOS'!$C$9:$J$38,8,),"")</f>
        <v>Teste de Contingência</v>
      </c>
      <c r="K100" s="290" t="str">
        <f t="shared" si="21"/>
        <v>BAIXO IMPACTO</v>
      </c>
      <c r="L100" s="330">
        <f>_xlfn.XLOOKUP(D100,'BASE DE PONTOS V+'!C:C,'BASE DE PONTOS V+'!E:E)</f>
        <v>1503630.42</v>
      </c>
      <c r="M100" s="219" t="str">
        <f>_xlfn.XLOOKUP(C100,'RESUMO DE PONTOS'!C:C,'RESUMO DE PONTOS'!L:L)</f>
        <v>médio impacto</v>
      </c>
      <c r="N100" s="220" t="str">
        <f t="shared" si="22"/>
        <v>[P23]</v>
      </c>
      <c r="O100" s="221">
        <f t="shared" si="23"/>
        <v>48</v>
      </c>
    </row>
    <row r="101" spans="1:15" ht="60.4" customHeight="1">
      <c r="A101" s="138"/>
      <c r="B101" s="85"/>
      <c r="C101" s="215" t="str">
        <f>'RESUMO DE PONTOS'!C32</f>
        <v>[P24]</v>
      </c>
      <c r="D101" s="216" t="str">
        <f>IFERROR(VLOOKUP(C101,'RESUMO DE PONTOS'!$C$9:$D$38,2,),"")</f>
        <v>Ausência de registro do Regimento do condomínio em cartório.</v>
      </c>
      <c r="E101" s="217" t="str">
        <f>IFERROR(VLOOKUP($C101,'RESUMO DE PONTOS'!$C$9:$L$38,7,),"")</f>
        <v>Legal</v>
      </c>
      <c r="F101" s="217">
        <f t="shared" si="20"/>
        <v>3</v>
      </c>
      <c r="G101" s="298">
        <f>_xlfn.XLOOKUP(D101,Planilha1!C:C,Planilha1!F:F)</f>
        <v>4</v>
      </c>
      <c r="H101" s="322">
        <f>_xlfn.XLOOKUP(D101,Planilha1!C:C,Planilha1!G:G)</f>
        <v>3</v>
      </c>
      <c r="I101" s="218">
        <f t="shared" si="24"/>
        <v>36</v>
      </c>
      <c r="J101" s="217" t="str">
        <f>IFERROR(VLOOKUP(C101,'RESUMO DE PONTOS'!$C$9:$J$38,8,),"")</f>
        <v>Regimento Interno</v>
      </c>
      <c r="K101" s="290" t="str">
        <f t="shared" si="21"/>
        <v>BAIXO IMPACTO</v>
      </c>
      <c r="L101" s="330" t="str">
        <f>_xlfn.XLOOKUP(D101,'BASE DE PONTOS V+'!C:C,'BASE DE PONTOS V+'!E:E)</f>
        <v>NA</v>
      </c>
      <c r="M101" s="219" t="str">
        <f>_xlfn.XLOOKUP(C101,'RESUMO DE PONTOS'!C:C,'RESUMO DE PONTOS'!L:L)</f>
        <v>Baixo Impacto</v>
      </c>
      <c r="N101" s="220" t="str">
        <f t="shared" si="22"/>
        <v>[P24]</v>
      </c>
      <c r="O101" s="221">
        <f t="shared" si="23"/>
        <v>36</v>
      </c>
    </row>
    <row r="102" spans="1:15" ht="60.4" customHeight="1">
      <c r="A102" s="138"/>
      <c r="B102" s="85"/>
      <c r="C102" s="215" t="str">
        <f>'RESUMO DE PONTOS'!C33</f>
        <v>[P25]</v>
      </c>
      <c r="D102" s="216" t="str">
        <f>IFERROR(VLOOKUP(C102,'RESUMO DE PONTOS'!$C$9:$D$38,2,),"")</f>
        <v>Impossibilidade de identificação da conclusão da Obra do Parquinho e seu pagamento.</v>
      </c>
      <c r="E102" s="217" t="s">
        <v>351</v>
      </c>
      <c r="F102" s="217">
        <v>5</v>
      </c>
      <c r="G102" s="298">
        <f>_xlfn.XLOOKUP(D102,Planilha1!C:C,Planilha1!F:F)</f>
        <v>3</v>
      </c>
      <c r="H102" s="322">
        <f>_xlfn.XLOOKUP(D102,Planilha1!C:C,Planilha1!G:G)</f>
        <v>4</v>
      </c>
      <c r="I102" s="218">
        <f t="shared" si="24"/>
        <v>60</v>
      </c>
      <c r="J102" s="217" t="str">
        <f>IFERROR(VLOOKUP(C102,'RESUMO DE PONTOS'!$C$9:$J$38,8,),"")</f>
        <v>Resumo das Atas</v>
      </c>
      <c r="K102" s="290" t="str">
        <f t="shared" ref="K102" si="25">IF(I102&gt;=75,"ALTO IMPACTO",IF(I102&lt;=50,"BAIXO IMPACTO","MÉDIO IMPACTO"))</f>
        <v>MÉDIO IMPACTO</v>
      </c>
      <c r="L102" s="330" t="e">
        <f>_xlfn.XLOOKUP(D102,'BASE DE PONTOS V+'!C:C,'BASE DE PONTOS V+'!E:E)</f>
        <v>#N/A</v>
      </c>
      <c r="M102" s="219" t="str">
        <f>_xlfn.XLOOKUP(C102,'RESUMO DE PONTOS'!C:C,'RESUMO DE PONTOS'!L:L)</f>
        <v>Baixo Impacto</v>
      </c>
      <c r="N102" s="220" t="str">
        <f t="shared" ref="N102" si="26">C102</f>
        <v>[P25]</v>
      </c>
      <c r="O102" s="221">
        <f t="shared" ref="O102" si="27">I102</f>
        <v>60</v>
      </c>
    </row>
    <row r="103" spans="1:15" ht="60.4" customHeight="1">
      <c r="A103" s="138"/>
      <c r="B103" s="85"/>
      <c r="C103" s="215" t="str">
        <f>'RESUMO DE PONTOS'!C34</f>
        <v>[P26]</v>
      </c>
      <c r="D103" s="216" t="str">
        <f>IFERROR(VLOOKUP(C103,'RESUMO DE PONTOS'!$C$9:$D$38,2,),"")</f>
        <v>Falta de questionamentos do Conselho Fiscal nas Assembleias</v>
      </c>
      <c r="E103" s="217" t="str">
        <f>IFERROR(VLOOKUP($C103,'RESUMO DE PONTOS'!$C$9:$L$38,7,),"")</f>
        <v>Legal</v>
      </c>
      <c r="F103" s="217">
        <f t="shared" ref="F103:F105" si="28">VLOOKUP(E103,$C$30:$E$35,3,)</f>
        <v>3</v>
      </c>
      <c r="G103" s="298">
        <f>_xlfn.XLOOKUP(D103,Planilha1!C:C,Planilha1!F:F)</f>
        <v>4</v>
      </c>
      <c r="H103" s="322">
        <f>_xlfn.XLOOKUP(D103,Planilha1!C:C,Planilha1!G:G)</f>
        <v>5</v>
      </c>
      <c r="I103" s="218">
        <f t="shared" si="24"/>
        <v>60</v>
      </c>
      <c r="J103" s="217" t="str">
        <f>IFERROR(VLOOKUP(C103,'RESUMO DE PONTOS'!$C$9:$J$38,8,),"")</f>
        <v>Resumo das Atas</v>
      </c>
      <c r="K103" s="290" t="str">
        <f t="shared" ref="K103:K106" si="29">IF(I103&gt;=75,"ALTO IMPACTO",IF(I103&lt;=50,"BAIXO IMPACTO","MÉDIO IMPACTO"))</f>
        <v>MÉDIO IMPACTO</v>
      </c>
      <c r="L103" s="330" t="str">
        <f>_xlfn.XLOOKUP(D103,'BASE DE PONTOS V+'!C:C,'BASE DE PONTOS V+'!E:E)</f>
        <v>N/A</v>
      </c>
      <c r="M103" s="219" t="str">
        <f>_xlfn.XLOOKUP(C103,'RESUMO DE PONTOS'!C:C,'RESUMO DE PONTOS'!L:L)</f>
        <v>Alto Impacto</v>
      </c>
      <c r="N103" s="220" t="str">
        <f t="shared" ref="N103:N106" si="30">C103</f>
        <v>[P26]</v>
      </c>
      <c r="O103" s="221">
        <f t="shared" ref="O103:O106" si="31">I103</f>
        <v>60</v>
      </c>
    </row>
    <row r="104" spans="1:15" ht="60.4" customHeight="1">
      <c r="A104" s="138"/>
      <c r="B104" s="85"/>
      <c r="C104" s="215" t="str">
        <f>'RESUMO DE PONTOS'!C35</f>
        <v>[P27]</v>
      </c>
      <c r="D104" s="216" t="str">
        <f>IFERROR(VLOOKUP(C104,'RESUMO DE PONTOS'!$C$9:$D$38,2,),"")</f>
        <v>Cargo de Síndico Interino e de Conselheiro Fiscal ocupado pelo mesmo condômino</v>
      </c>
      <c r="E104" s="217" t="s">
        <v>351</v>
      </c>
      <c r="F104" s="217">
        <v>5</v>
      </c>
      <c r="G104" s="298">
        <f>_xlfn.XLOOKUP(D104,Planilha1!C:C,Planilha1!F:F)</f>
        <v>5</v>
      </c>
      <c r="H104" s="322">
        <f>_xlfn.XLOOKUP(D104,Planilha1!C:C,Planilha1!G:G)</f>
        <v>4</v>
      </c>
      <c r="I104" s="218">
        <f t="shared" si="24"/>
        <v>100</v>
      </c>
      <c r="J104" s="217" t="str">
        <f>IFERROR(VLOOKUP(C104,'RESUMO DE PONTOS'!$C$9:$J$38,8,),"")</f>
        <v>Resumo das Atas</v>
      </c>
      <c r="K104" s="290" t="str">
        <f t="shared" si="29"/>
        <v>ALTO IMPACTO</v>
      </c>
      <c r="L104" s="330" t="str">
        <f>_xlfn.XLOOKUP(D104,'BASE DE PONTOS V+'!C:C,'BASE DE PONTOS V+'!E:E)</f>
        <v>N/A</v>
      </c>
      <c r="M104" s="219" t="str">
        <f>_xlfn.XLOOKUP(C104,'RESUMO DE PONTOS'!C:C,'RESUMO DE PONTOS'!L:L)</f>
        <v>Alto Impacto</v>
      </c>
      <c r="N104" s="220" t="str">
        <f t="shared" si="30"/>
        <v>[P27]</v>
      </c>
      <c r="O104" s="221">
        <f t="shared" si="31"/>
        <v>100</v>
      </c>
    </row>
    <row r="105" spans="1:15" ht="60.4" customHeight="1">
      <c r="A105" s="138"/>
      <c r="B105" s="85"/>
      <c r="C105" s="215" t="str">
        <f>'RESUMO DE PONTOS'!C36</f>
        <v>[P28]</v>
      </c>
      <c r="D105" s="216" t="str">
        <f>IFERROR(VLOOKUP(C105,'RESUMO DE PONTOS'!$C$9:$D$38,2,),"")</f>
        <v>Inexistência da ATA do Conselho Consultivo na Assembleia Geral Extraordinária</v>
      </c>
      <c r="E105" s="217" t="str">
        <f>IFERROR(VLOOKUP($C105,'RESUMO DE PONTOS'!$C$9:$L$38,7,),"")</f>
        <v>Legal</v>
      </c>
      <c r="F105" s="217">
        <f t="shared" si="28"/>
        <v>3</v>
      </c>
      <c r="G105" s="298">
        <f>_xlfn.XLOOKUP(D105,Planilha1!C:C,Planilha1!F:F)</f>
        <v>3</v>
      </c>
      <c r="H105" s="322">
        <f>_xlfn.XLOOKUP(D105,Planilha1!C:C,Planilha1!G:G)</f>
        <v>4</v>
      </c>
      <c r="I105" s="218">
        <f t="shared" si="24"/>
        <v>36</v>
      </c>
      <c r="J105" s="217" t="str">
        <f>IFERROR(VLOOKUP(C105,'RESUMO DE PONTOS'!$C$9:$J$38,8,),"")</f>
        <v>Resumo das Atas</v>
      </c>
      <c r="K105" s="290" t="str">
        <f t="shared" si="29"/>
        <v>BAIXO IMPACTO</v>
      </c>
      <c r="L105" s="330" t="str">
        <f>_xlfn.XLOOKUP(D105,'BASE DE PONTOS V+'!C:C,'BASE DE PONTOS V+'!E:E)</f>
        <v>N/A</v>
      </c>
      <c r="M105" s="219" t="str">
        <f>_xlfn.XLOOKUP(C105,'RESUMO DE PONTOS'!C:C,'RESUMO DE PONTOS'!L:L)</f>
        <v>médio impacto</v>
      </c>
      <c r="N105" s="220" t="str">
        <f t="shared" si="30"/>
        <v>[P28]</v>
      </c>
      <c r="O105" s="221">
        <f t="shared" si="31"/>
        <v>36</v>
      </c>
    </row>
    <row r="106" spans="1:15" ht="60.4" customHeight="1">
      <c r="A106" s="138"/>
      <c r="B106" s="85" t="s">
        <v>24</v>
      </c>
      <c r="C106" s="215" t="str">
        <f>'RESUMO DE PONTOS'!C37</f>
        <v>[P29]</v>
      </c>
      <c r="D106" s="216" t="str">
        <f>IFERROR(VLOOKUP(C106,'RESUMO DE PONTOS'!$C$9:$D$38,2,),"")</f>
        <v>Impacto significativo com os inadimplentes</v>
      </c>
      <c r="E106" s="217" t="str">
        <f>IFERROR(VLOOKUP($C106,'RESUMO DE PONTOS'!$C$9:$L$38,7,),"")</f>
        <v>Financeiro</v>
      </c>
      <c r="F106" s="217">
        <v>3</v>
      </c>
      <c r="G106" s="298">
        <f>_xlfn.XLOOKUP(D106,Planilha1!C:C,Planilha1!F:F)</f>
        <v>5</v>
      </c>
      <c r="H106" s="322">
        <f>_xlfn.XLOOKUP(D106,Planilha1!C:C,Planilha1!G:G)</f>
        <v>5</v>
      </c>
      <c r="I106" s="218">
        <f t="shared" si="24"/>
        <v>75</v>
      </c>
      <c r="J106" s="217" t="str">
        <f>IFERROR(VLOOKUP(C106,'RESUMO DE PONTOS'!$C$9:$J$38,8,),"")</f>
        <v>Teste de Inadimplência</v>
      </c>
      <c r="K106" s="290" t="str">
        <f t="shared" si="29"/>
        <v>ALTO IMPACTO</v>
      </c>
      <c r="L106" s="330" t="e">
        <f>_xlfn.XLOOKUP(D106,'BASE DE PONTOS V+'!C:C,'BASE DE PONTOS V+'!E:E)</f>
        <v>#N/A</v>
      </c>
      <c r="M106" s="219" t="str">
        <f>_xlfn.XLOOKUP(C106,'RESUMO DE PONTOS'!C:C,'RESUMO DE PONTOS'!L:L)</f>
        <v>Alto Impacto</v>
      </c>
      <c r="N106" s="220" t="str">
        <f t="shared" si="30"/>
        <v>[P29]</v>
      </c>
      <c r="O106" s="221">
        <f t="shared" si="31"/>
        <v>75</v>
      </c>
    </row>
    <row r="107" spans="1:15" ht="15.6">
      <c r="B107" s="85"/>
      <c r="C107" s="86"/>
      <c r="K107" s="33"/>
    </row>
    <row r="108" spans="1:15" ht="15.6">
      <c r="B108" s="85"/>
      <c r="C108" s="86"/>
      <c r="K108" s="33"/>
    </row>
    <row r="109" spans="1:15" ht="15.6">
      <c r="B109" s="85"/>
      <c r="C109" s="86"/>
      <c r="K109" s="33"/>
    </row>
    <row r="110" spans="1:15" ht="14.45">
      <c r="B110" s="85"/>
      <c r="K110" s="33"/>
    </row>
    <row r="111" spans="1:15" ht="14.45">
      <c r="B111" s="85"/>
      <c r="K111" s="33"/>
    </row>
    <row r="112" spans="1:15" ht="14.45">
      <c r="B112" s="85"/>
      <c r="K112" s="33"/>
    </row>
    <row r="113" spans="2:11" ht="14.45">
      <c r="B113" s="85"/>
      <c r="K113" s="33"/>
    </row>
    <row r="114" spans="2:11" ht="14.45">
      <c r="B114" s="85"/>
      <c r="K114" s="33"/>
    </row>
    <row r="115" spans="2:11" ht="14.45">
      <c r="B115" s="85"/>
      <c r="K115" s="33"/>
    </row>
    <row r="116" spans="2:11" ht="14.45">
      <c r="B116" s="85"/>
      <c r="K116" s="33"/>
    </row>
    <row r="117" spans="2:11" ht="14.45">
      <c r="B117" s="85"/>
      <c r="K117" s="33"/>
    </row>
    <row r="118" spans="2:11" ht="14.45">
      <c r="B118" s="85"/>
      <c r="K118" s="33"/>
    </row>
    <row r="119" spans="2:11" ht="14.45">
      <c r="B119" s="85"/>
      <c r="K119" s="33"/>
    </row>
    <row r="120" spans="2:11" ht="14.45">
      <c r="B120" s="85"/>
      <c r="K120" s="33"/>
    </row>
    <row r="121" spans="2:11" ht="14.45">
      <c r="B121" s="85"/>
      <c r="K121" s="33"/>
    </row>
    <row r="122" spans="2:11" ht="15.75" customHeight="1">
      <c r="B122" s="85"/>
      <c r="K122" s="33"/>
    </row>
    <row r="123" spans="2:11" ht="15.75" customHeight="1">
      <c r="B123" s="85"/>
      <c r="K123" s="33"/>
    </row>
    <row r="124" spans="2:11" ht="15.75" customHeight="1">
      <c r="B124" s="85"/>
      <c r="K124" s="33"/>
    </row>
    <row r="125" spans="2:11" ht="15.75" customHeight="1">
      <c r="B125" s="85"/>
      <c r="K125" s="33"/>
    </row>
    <row r="126" spans="2:11" ht="15.75" customHeight="1">
      <c r="B126" s="85"/>
      <c r="K126" s="33"/>
    </row>
    <row r="127" spans="2:11" ht="15.75" customHeight="1">
      <c r="B127" s="85"/>
      <c r="K127" s="33"/>
    </row>
    <row r="128" spans="2:11" ht="15.75" customHeight="1">
      <c r="B128" s="85"/>
      <c r="K128" s="33"/>
    </row>
    <row r="129" spans="2:11" ht="15.75" customHeight="1">
      <c r="B129" s="85"/>
      <c r="K129" s="33"/>
    </row>
    <row r="130" spans="2:11" ht="15.75" customHeight="1">
      <c r="B130" s="85"/>
      <c r="K130" s="33"/>
    </row>
    <row r="131" spans="2:11" ht="15.75" customHeight="1">
      <c r="B131" s="85"/>
      <c r="K131" s="33"/>
    </row>
    <row r="132" spans="2:11" ht="48.75" customHeight="1">
      <c r="B132" s="85"/>
      <c r="K132" s="33"/>
    </row>
    <row r="133" spans="2:11" ht="28.5" customHeight="1">
      <c r="B133" s="85"/>
      <c r="K133" s="33"/>
    </row>
    <row r="134" spans="2:11" ht="15.75" customHeight="1">
      <c r="B134" s="85"/>
      <c r="K134" s="33"/>
    </row>
    <row r="135" spans="2:11" ht="15.75" customHeight="1">
      <c r="B135" s="85"/>
      <c r="K135" s="33"/>
    </row>
    <row r="136" spans="2:11" ht="15.75" customHeight="1">
      <c r="B136" s="85"/>
      <c r="K136" s="33"/>
    </row>
    <row r="137" spans="2:11" ht="15.75" customHeight="1">
      <c r="B137" s="85"/>
      <c r="K137" s="33"/>
    </row>
    <row r="138" spans="2:11" ht="15.75" customHeight="1">
      <c r="B138" s="85"/>
      <c r="K138" s="33"/>
    </row>
    <row r="139" spans="2:11" ht="15.75" customHeight="1">
      <c r="B139" s="85"/>
      <c r="K139" s="33"/>
    </row>
    <row r="140" spans="2:11" ht="15.75" customHeight="1">
      <c r="B140" s="85"/>
      <c r="K140" s="33"/>
    </row>
    <row r="141" spans="2:11" ht="15.75" customHeight="1">
      <c r="B141" s="85"/>
      <c r="K141" s="33"/>
    </row>
    <row r="142" spans="2:11" ht="15.75" customHeight="1">
      <c r="B142" s="85"/>
      <c r="K142" s="33"/>
    </row>
    <row r="143" spans="2:11" ht="15.75" customHeight="1">
      <c r="B143" s="85"/>
      <c r="K143" s="33"/>
    </row>
    <row r="144" spans="2:11" ht="15.75" customHeight="1">
      <c r="B144" s="85"/>
      <c r="K144" s="33"/>
    </row>
    <row r="145" spans="2:11" ht="15.75" customHeight="1">
      <c r="B145" s="85"/>
      <c r="K145" s="33"/>
    </row>
    <row r="146" spans="2:11" ht="15.75" customHeight="1">
      <c r="B146" s="85"/>
      <c r="K146" s="33"/>
    </row>
    <row r="147" spans="2:11" ht="15.75" customHeight="1">
      <c r="B147" s="85"/>
      <c r="K147" s="33"/>
    </row>
    <row r="148" spans="2:11" ht="15.75" customHeight="1">
      <c r="B148" s="85"/>
      <c r="K148" s="33"/>
    </row>
    <row r="149" spans="2:11" ht="15.75" customHeight="1">
      <c r="B149" s="85"/>
      <c r="K149" s="33"/>
    </row>
    <row r="150" spans="2:11" ht="15.75" customHeight="1">
      <c r="B150" s="85"/>
      <c r="K150" s="33"/>
    </row>
    <row r="151" spans="2:11" ht="15.75" customHeight="1">
      <c r="B151" s="85"/>
      <c r="K151" s="33"/>
    </row>
    <row r="152" spans="2:11" ht="15.75" customHeight="1">
      <c r="B152" s="85"/>
      <c r="K152" s="33"/>
    </row>
    <row r="153" spans="2:11" ht="15.75" customHeight="1">
      <c r="B153" s="85"/>
      <c r="K153" s="33"/>
    </row>
    <row r="154" spans="2:11" ht="15.75" customHeight="1">
      <c r="B154" s="85"/>
      <c r="K154" s="33"/>
    </row>
    <row r="155" spans="2:11" ht="15.75" customHeight="1">
      <c r="B155" s="85"/>
      <c r="K155" s="33"/>
    </row>
    <row r="156" spans="2:11" ht="15.75" customHeight="1">
      <c r="B156" s="85"/>
      <c r="K156" s="33"/>
    </row>
    <row r="157" spans="2:11" ht="15.75" customHeight="1">
      <c r="B157" s="85"/>
      <c r="K157" s="33"/>
    </row>
    <row r="158" spans="2:11" ht="15.75" customHeight="1">
      <c r="B158" s="85"/>
      <c r="K158" s="33"/>
    </row>
    <row r="159" spans="2:11" ht="15.75" customHeight="1">
      <c r="B159" s="85"/>
      <c r="K159" s="33"/>
    </row>
    <row r="160" spans="2:11" ht="15.75" customHeight="1">
      <c r="B160" s="85"/>
      <c r="K160" s="33"/>
    </row>
    <row r="161" spans="2:11" ht="15.75" customHeight="1">
      <c r="B161" s="85"/>
      <c r="K161" s="33"/>
    </row>
    <row r="162" spans="2:11" ht="15.75" customHeight="1">
      <c r="B162" s="85"/>
      <c r="K162" s="33"/>
    </row>
    <row r="163" spans="2:11" ht="15.75" customHeight="1">
      <c r="B163" s="85"/>
      <c r="K163" s="33"/>
    </row>
    <row r="164" spans="2:11" ht="15.75" customHeight="1">
      <c r="B164" s="85"/>
      <c r="K164" s="33"/>
    </row>
    <row r="165" spans="2:11" ht="15.75" customHeight="1">
      <c r="B165" s="85"/>
      <c r="K165" s="33"/>
    </row>
    <row r="166" spans="2:11" ht="15.75" customHeight="1">
      <c r="B166" s="85"/>
      <c r="K166" s="33"/>
    </row>
    <row r="167" spans="2:11" ht="15.75" customHeight="1">
      <c r="B167" s="85"/>
      <c r="K167" s="33"/>
    </row>
    <row r="168" spans="2:11" ht="15.75" customHeight="1">
      <c r="B168" s="85"/>
      <c r="K168" s="33"/>
    </row>
    <row r="169" spans="2:11" ht="15.75" customHeight="1">
      <c r="B169" s="85"/>
      <c r="K169" s="33"/>
    </row>
    <row r="170" spans="2:11" ht="15.75" customHeight="1">
      <c r="B170" s="85"/>
      <c r="K170" s="33"/>
    </row>
    <row r="171" spans="2:11" ht="15.75" customHeight="1">
      <c r="B171" s="85"/>
      <c r="K171" s="33"/>
    </row>
    <row r="172" spans="2:11" ht="15.75" customHeight="1">
      <c r="B172" s="85"/>
      <c r="K172" s="33"/>
    </row>
    <row r="173" spans="2:11" ht="15.75" customHeight="1">
      <c r="B173" s="85"/>
      <c r="K173" s="33"/>
    </row>
    <row r="174" spans="2:11" ht="15.75" customHeight="1">
      <c r="B174" s="85"/>
      <c r="K174" s="33"/>
    </row>
    <row r="175" spans="2:11" ht="15.75" customHeight="1">
      <c r="B175" s="85"/>
      <c r="K175" s="33"/>
    </row>
    <row r="176" spans="2:11" ht="15.75" customHeight="1">
      <c r="B176" s="85"/>
      <c r="K176" s="33"/>
    </row>
    <row r="177" spans="2:11" ht="15.75" customHeight="1">
      <c r="B177" s="85"/>
      <c r="K177" s="33"/>
    </row>
    <row r="178" spans="2:11" ht="15.75" customHeight="1">
      <c r="B178" s="85"/>
      <c r="K178" s="33"/>
    </row>
    <row r="179" spans="2:11" ht="15.75" customHeight="1">
      <c r="B179" s="85"/>
      <c r="K179" s="33"/>
    </row>
    <row r="180" spans="2:11" ht="15.75" customHeight="1">
      <c r="B180" s="85"/>
      <c r="K180" s="33"/>
    </row>
    <row r="181" spans="2:11" ht="15.75" customHeight="1">
      <c r="B181" s="85"/>
      <c r="K181" s="33"/>
    </row>
    <row r="182" spans="2:11" ht="15.75" customHeight="1">
      <c r="B182" s="85"/>
      <c r="K182" s="33"/>
    </row>
    <row r="183" spans="2:11" ht="15.75" customHeight="1">
      <c r="B183" s="85"/>
      <c r="K183" s="33"/>
    </row>
    <row r="184" spans="2:11" ht="15.75" customHeight="1">
      <c r="B184" s="85"/>
      <c r="K184" s="33"/>
    </row>
    <row r="185" spans="2:11" ht="15.75" customHeight="1">
      <c r="B185" s="85"/>
      <c r="K185" s="33"/>
    </row>
    <row r="186" spans="2:11" ht="15.75" customHeight="1">
      <c r="B186" s="85"/>
      <c r="K186" s="33"/>
    </row>
    <row r="187" spans="2:11" ht="15.75" customHeight="1">
      <c r="B187" s="85"/>
      <c r="K187" s="33"/>
    </row>
    <row r="188" spans="2:11" ht="15.75" customHeight="1">
      <c r="B188" s="85"/>
      <c r="K188" s="33"/>
    </row>
    <row r="189" spans="2:11" ht="15.75" customHeight="1">
      <c r="B189" s="85"/>
      <c r="K189" s="33"/>
    </row>
    <row r="190" spans="2:11" ht="15.75" customHeight="1">
      <c r="B190" s="85"/>
      <c r="K190" s="33"/>
    </row>
    <row r="191" spans="2:11" ht="15.75" customHeight="1">
      <c r="B191" s="85"/>
      <c r="K191" s="33"/>
    </row>
    <row r="192" spans="2:11" ht="15.75" customHeight="1">
      <c r="B192" s="85"/>
      <c r="K192" s="33"/>
    </row>
    <row r="193" spans="2:11" ht="15.75" customHeight="1">
      <c r="B193" s="85"/>
      <c r="K193" s="33"/>
    </row>
    <row r="194" spans="2:11" ht="15.75" customHeight="1">
      <c r="B194" s="85"/>
      <c r="K194" s="33"/>
    </row>
    <row r="195" spans="2:11" ht="15.75" customHeight="1">
      <c r="B195" s="85"/>
      <c r="K195" s="33"/>
    </row>
    <row r="196" spans="2:11" ht="15.75" customHeight="1">
      <c r="B196" s="85"/>
      <c r="K196" s="33"/>
    </row>
    <row r="197" spans="2:11" ht="15.75" customHeight="1">
      <c r="B197" s="85"/>
      <c r="K197" s="33"/>
    </row>
    <row r="198" spans="2:11" ht="15.75" customHeight="1">
      <c r="B198" s="85"/>
      <c r="K198" s="33"/>
    </row>
    <row r="199" spans="2:11" ht="15.75" customHeight="1">
      <c r="B199" s="85"/>
      <c r="K199" s="33"/>
    </row>
    <row r="200" spans="2:11" ht="15.75" customHeight="1">
      <c r="B200" s="85"/>
      <c r="K200" s="33"/>
    </row>
    <row r="201" spans="2:11" ht="15.75" customHeight="1">
      <c r="B201" s="85"/>
      <c r="K201" s="33"/>
    </row>
    <row r="202" spans="2:11" ht="15.75" customHeight="1">
      <c r="B202" s="85"/>
      <c r="K202" s="33"/>
    </row>
    <row r="203" spans="2:11" ht="15.75" customHeight="1">
      <c r="B203" s="85"/>
      <c r="K203" s="33"/>
    </row>
    <row r="204" spans="2:11" ht="15.75" customHeight="1">
      <c r="B204" s="85"/>
      <c r="K204" s="33"/>
    </row>
    <row r="205" spans="2:11" ht="15.75" customHeight="1">
      <c r="B205" s="85"/>
      <c r="K205" s="33"/>
    </row>
    <row r="206" spans="2:11" ht="15.75" customHeight="1">
      <c r="B206" s="85"/>
      <c r="K206" s="33"/>
    </row>
    <row r="207" spans="2:11" ht="15.75" customHeight="1">
      <c r="B207" s="85"/>
      <c r="K207" s="33"/>
    </row>
    <row r="208" spans="2:11" ht="15.75" customHeight="1">
      <c r="B208" s="85"/>
      <c r="K208" s="33"/>
    </row>
    <row r="209" spans="2:11" ht="15.75" customHeight="1">
      <c r="B209" s="85"/>
      <c r="K209" s="33"/>
    </row>
    <row r="210" spans="2:11" ht="15.75" customHeight="1">
      <c r="B210" s="85"/>
      <c r="K210" s="33"/>
    </row>
    <row r="211" spans="2:11" ht="15.75" customHeight="1">
      <c r="B211" s="85"/>
      <c r="K211" s="33"/>
    </row>
    <row r="212" spans="2:11" ht="15.75" customHeight="1">
      <c r="B212" s="85"/>
      <c r="K212" s="33"/>
    </row>
    <row r="213" spans="2:11" ht="15.75" customHeight="1">
      <c r="B213" s="85"/>
      <c r="K213" s="33"/>
    </row>
    <row r="214" spans="2:11" ht="15.75" customHeight="1">
      <c r="B214" s="85"/>
      <c r="K214" s="33"/>
    </row>
    <row r="215" spans="2:11" ht="15.75" customHeight="1">
      <c r="B215" s="85"/>
      <c r="K215" s="33"/>
    </row>
    <row r="216" spans="2:11" ht="15.75" customHeight="1">
      <c r="B216" s="85"/>
      <c r="K216" s="33"/>
    </row>
    <row r="217" spans="2:11" ht="15.75" customHeight="1">
      <c r="B217" s="85"/>
      <c r="K217" s="33"/>
    </row>
    <row r="218" spans="2:11" ht="15.75" customHeight="1">
      <c r="B218" s="85"/>
      <c r="K218" s="33"/>
    </row>
    <row r="219" spans="2:11" ht="15.75" customHeight="1">
      <c r="B219" s="85"/>
      <c r="K219" s="33"/>
    </row>
    <row r="220" spans="2:11" ht="15.75" customHeight="1">
      <c r="B220" s="85"/>
      <c r="K220" s="33"/>
    </row>
    <row r="221" spans="2:11" ht="15.75" customHeight="1">
      <c r="B221" s="85"/>
      <c r="K221" s="33"/>
    </row>
    <row r="222" spans="2:11" ht="15.75" customHeight="1">
      <c r="B222" s="85"/>
      <c r="K222" s="33"/>
    </row>
    <row r="223" spans="2:11" ht="15.75" customHeight="1">
      <c r="B223" s="85"/>
      <c r="K223" s="33"/>
    </row>
    <row r="224" spans="2:11" ht="15.75" customHeight="1">
      <c r="B224" s="85"/>
      <c r="K224" s="33"/>
    </row>
    <row r="225" spans="2:11" ht="15.75" customHeight="1">
      <c r="B225" s="85"/>
      <c r="K225" s="33"/>
    </row>
    <row r="226" spans="2:11" ht="15.75" customHeight="1">
      <c r="B226" s="85"/>
      <c r="K226" s="33"/>
    </row>
    <row r="227" spans="2:11" ht="15.75" customHeight="1">
      <c r="B227" s="85"/>
      <c r="K227" s="33"/>
    </row>
    <row r="228" spans="2:11" ht="15.75" customHeight="1">
      <c r="B228" s="85"/>
      <c r="K228" s="33"/>
    </row>
    <row r="229" spans="2:11" ht="15.75" customHeight="1">
      <c r="B229" s="85"/>
      <c r="K229" s="33"/>
    </row>
    <row r="230" spans="2:11" ht="15.75" customHeight="1">
      <c r="B230" s="85"/>
      <c r="K230" s="33"/>
    </row>
    <row r="231" spans="2:11" ht="15.75" customHeight="1">
      <c r="B231" s="85"/>
      <c r="K231" s="33"/>
    </row>
    <row r="232" spans="2:11" ht="15.75" customHeight="1">
      <c r="B232" s="85"/>
      <c r="K232" s="33"/>
    </row>
    <row r="233" spans="2:11" ht="15.75" customHeight="1">
      <c r="B233" s="85"/>
      <c r="K233" s="33"/>
    </row>
    <row r="234" spans="2:11" ht="15.75" customHeight="1">
      <c r="B234" s="85"/>
      <c r="K234" s="33"/>
    </row>
    <row r="235" spans="2:11" ht="15.75" customHeight="1">
      <c r="B235" s="85"/>
      <c r="K235" s="33"/>
    </row>
    <row r="236" spans="2:11" ht="15.75" customHeight="1">
      <c r="B236" s="85"/>
      <c r="K236" s="33"/>
    </row>
    <row r="237" spans="2:11" ht="15.75" customHeight="1">
      <c r="B237" s="85"/>
      <c r="K237" s="33"/>
    </row>
    <row r="238" spans="2:11" ht="15.75" customHeight="1">
      <c r="B238" s="85"/>
      <c r="K238" s="33"/>
    </row>
    <row r="239" spans="2:11" ht="15.75" customHeight="1">
      <c r="B239" s="85"/>
      <c r="K239" s="33"/>
    </row>
    <row r="240" spans="2:11" ht="15.75" customHeight="1">
      <c r="B240" s="85"/>
      <c r="K240" s="33"/>
    </row>
    <row r="241" spans="2:11" ht="15.75" customHeight="1">
      <c r="B241" s="85"/>
      <c r="K241" s="33"/>
    </row>
    <row r="242" spans="2:11" ht="15.75" customHeight="1">
      <c r="B242" s="85"/>
      <c r="K242" s="33"/>
    </row>
    <row r="243" spans="2:11" ht="15.75" customHeight="1">
      <c r="B243" s="85"/>
      <c r="K243" s="33"/>
    </row>
    <row r="244" spans="2:11" ht="15.75" customHeight="1">
      <c r="B244" s="85"/>
      <c r="K244" s="33"/>
    </row>
    <row r="245" spans="2:11" ht="15.75" customHeight="1">
      <c r="B245" s="85"/>
      <c r="K245" s="33"/>
    </row>
    <row r="246" spans="2:11" ht="15.75" customHeight="1">
      <c r="B246" s="85"/>
      <c r="K246" s="33"/>
    </row>
    <row r="247" spans="2:11" ht="15.75" customHeight="1">
      <c r="B247" s="85"/>
      <c r="K247" s="33"/>
    </row>
    <row r="248" spans="2:11" ht="15.75" customHeight="1">
      <c r="B248" s="85"/>
      <c r="K248" s="33"/>
    </row>
    <row r="249" spans="2:11" ht="15.75" customHeight="1">
      <c r="B249" s="85"/>
      <c r="K249" s="33"/>
    </row>
    <row r="250" spans="2:11" ht="15.75" customHeight="1">
      <c r="B250" s="85"/>
      <c r="K250" s="33"/>
    </row>
    <row r="251" spans="2:11" ht="15.75" customHeight="1">
      <c r="B251" s="85"/>
      <c r="K251" s="33"/>
    </row>
    <row r="252" spans="2:11" ht="15.75" customHeight="1">
      <c r="B252" s="85"/>
      <c r="K252" s="33"/>
    </row>
    <row r="253" spans="2:11" ht="15.75" customHeight="1">
      <c r="B253" s="85"/>
      <c r="K253" s="33"/>
    </row>
    <row r="254" spans="2:11" ht="15.75" customHeight="1">
      <c r="B254" s="85"/>
      <c r="K254" s="33"/>
    </row>
    <row r="255" spans="2:11" ht="15.75" customHeight="1">
      <c r="B255" s="85"/>
      <c r="K255" s="33"/>
    </row>
    <row r="256" spans="2:11" ht="15.75" customHeight="1">
      <c r="B256" s="85"/>
      <c r="K256" s="33"/>
    </row>
    <row r="257" spans="2:11" ht="15.75" customHeight="1">
      <c r="B257" s="85"/>
      <c r="K257" s="33"/>
    </row>
    <row r="258" spans="2:11" ht="15.75" customHeight="1">
      <c r="B258" s="85"/>
      <c r="K258" s="33"/>
    </row>
    <row r="259" spans="2:11" ht="15.75" customHeight="1">
      <c r="B259" s="85"/>
      <c r="K259" s="33"/>
    </row>
    <row r="260" spans="2:11" ht="15.75" customHeight="1">
      <c r="B260" s="85"/>
      <c r="K260" s="33"/>
    </row>
    <row r="261" spans="2:11" ht="15.75" customHeight="1">
      <c r="B261" s="85"/>
      <c r="K261" s="33"/>
    </row>
    <row r="262" spans="2:11" ht="15.75" customHeight="1">
      <c r="B262" s="85"/>
      <c r="K262" s="33"/>
    </row>
    <row r="263" spans="2:11" ht="15.75" customHeight="1">
      <c r="B263" s="85"/>
      <c r="K263" s="33"/>
    </row>
    <row r="264" spans="2:11" ht="15.75" customHeight="1">
      <c r="B264" s="85"/>
      <c r="K264" s="33"/>
    </row>
    <row r="265" spans="2:11" ht="15.75" customHeight="1">
      <c r="B265" s="85"/>
      <c r="K265" s="33"/>
    </row>
    <row r="266" spans="2:11" ht="15.75" customHeight="1">
      <c r="B266" s="85"/>
      <c r="K266" s="33"/>
    </row>
    <row r="267" spans="2:11" ht="15.75" customHeight="1">
      <c r="B267" s="85"/>
      <c r="K267" s="33"/>
    </row>
    <row r="268" spans="2:11" ht="15.75" customHeight="1">
      <c r="B268" s="85"/>
      <c r="K268" s="33"/>
    </row>
    <row r="269" spans="2:11" ht="15.75" customHeight="1">
      <c r="B269" s="85"/>
      <c r="K269" s="33"/>
    </row>
    <row r="270" spans="2:11" ht="15.75" customHeight="1">
      <c r="B270" s="85"/>
      <c r="K270" s="33"/>
    </row>
    <row r="271" spans="2:11" ht="15.75" customHeight="1">
      <c r="B271" s="85"/>
      <c r="K271" s="33"/>
    </row>
    <row r="272" spans="2:11" ht="15.75" customHeight="1">
      <c r="B272" s="85"/>
      <c r="K272" s="33"/>
    </row>
    <row r="273" spans="2:11" ht="15.75" customHeight="1">
      <c r="B273" s="85"/>
      <c r="K273" s="33"/>
    </row>
    <row r="274" spans="2:11" ht="15.75" customHeight="1">
      <c r="B274" s="85"/>
      <c r="K274" s="33"/>
    </row>
    <row r="275" spans="2:11" ht="15.75" customHeight="1">
      <c r="B275" s="85"/>
      <c r="K275" s="33"/>
    </row>
    <row r="276" spans="2:11" ht="15.75" customHeight="1">
      <c r="B276" s="85"/>
      <c r="K276" s="33"/>
    </row>
    <row r="277" spans="2:11" ht="15.75" customHeight="1">
      <c r="B277" s="85"/>
      <c r="K277" s="33"/>
    </row>
    <row r="278" spans="2:11" ht="15.75" customHeight="1">
      <c r="B278" s="85"/>
      <c r="K278" s="33"/>
    </row>
    <row r="279" spans="2:11" ht="15.75" customHeight="1">
      <c r="B279" s="85"/>
      <c r="K279" s="33"/>
    </row>
    <row r="280" spans="2:11" ht="15.75" customHeight="1">
      <c r="B280" s="85"/>
      <c r="K280" s="33"/>
    </row>
    <row r="281" spans="2:11" ht="15.75" customHeight="1">
      <c r="B281" s="85"/>
      <c r="K281" s="33"/>
    </row>
    <row r="282" spans="2:11" ht="15.75" customHeight="1">
      <c r="B282" s="85"/>
      <c r="K282" s="33"/>
    </row>
    <row r="283" spans="2:11" ht="15.75" customHeight="1">
      <c r="B283" s="85"/>
      <c r="K283" s="33"/>
    </row>
    <row r="284" spans="2:11" ht="15.75" customHeight="1">
      <c r="B284" s="85"/>
      <c r="K284" s="33"/>
    </row>
    <row r="285" spans="2:11" ht="15.75" customHeight="1">
      <c r="B285" s="85"/>
      <c r="K285" s="33"/>
    </row>
    <row r="286" spans="2:11" ht="15.75" customHeight="1">
      <c r="B286" s="85"/>
      <c r="K286" s="33"/>
    </row>
    <row r="287" spans="2:11" ht="15.75" customHeight="1">
      <c r="B287" s="85"/>
      <c r="K287" s="33"/>
    </row>
    <row r="288" spans="2:11" ht="15.75" customHeight="1">
      <c r="B288" s="85"/>
      <c r="K288" s="33"/>
    </row>
    <row r="289" spans="2:11" ht="15.75" customHeight="1">
      <c r="B289" s="85"/>
      <c r="K289" s="33"/>
    </row>
    <row r="290" spans="2:11" ht="15.75" customHeight="1">
      <c r="B290" s="85"/>
      <c r="K290" s="33"/>
    </row>
    <row r="291" spans="2:11" ht="15.75" customHeight="1">
      <c r="B291" s="85"/>
      <c r="K291" s="33"/>
    </row>
    <row r="292" spans="2:11" ht="15.75" customHeight="1">
      <c r="B292" s="85"/>
      <c r="K292" s="33"/>
    </row>
    <row r="293" spans="2:11" ht="15.75" customHeight="1">
      <c r="B293" s="85"/>
      <c r="K293" s="33"/>
    </row>
    <row r="294" spans="2:11" ht="15.75" customHeight="1">
      <c r="B294" s="85"/>
      <c r="K294" s="33"/>
    </row>
    <row r="295" spans="2:11" ht="15.75" customHeight="1">
      <c r="B295" s="85"/>
      <c r="K295" s="33"/>
    </row>
    <row r="296" spans="2:11" ht="15.75" customHeight="1">
      <c r="B296" s="85"/>
      <c r="K296" s="33"/>
    </row>
    <row r="297" spans="2:11" ht="15.75" customHeight="1">
      <c r="B297" s="85"/>
      <c r="K297" s="33"/>
    </row>
    <row r="298" spans="2:11" ht="15.75" customHeight="1">
      <c r="B298" s="85"/>
      <c r="K298" s="33"/>
    </row>
    <row r="299" spans="2:11" ht="15.75" customHeight="1">
      <c r="B299" s="85"/>
      <c r="K299" s="33"/>
    </row>
    <row r="300" spans="2:11" ht="15.75" customHeight="1">
      <c r="B300" s="85"/>
      <c r="K300" s="33"/>
    </row>
    <row r="301" spans="2:11" ht="15.75" customHeight="1">
      <c r="B301" s="85"/>
      <c r="K301" s="33"/>
    </row>
    <row r="302" spans="2:11" ht="15.75" customHeight="1">
      <c r="B302" s="85"/>
      <c r="K302" s="33"/>
    </row>
    <row r="303" spans="2:11" ht="15.75" customHeight="1">
      <c r="B303" s="85"/>
      <c r="K303" s="33"/>
    </row>
    <row r="304" spans="2:11" ht="15.75" customHeight="1">
      <c r="B304" s="85"/>
      <c r="K304" s="33"/>
    </row>
    <row r="305" spans="2:11" ht="15.75" customHeight="1">
      <c r="B305" s="85"/>
      <c r="K305" s="33"/>
    </row>
    <row r="306" spans="2:11" ht="15.75" customHeight="1">
      <c r="B306" s="85"/>
      <c r="K306" s="33"/>
    </row>
    <row r="307" spans="2:11" ht="15.75" customHeight="1">
      <c r="B307" s="85"/>
      <c r="K307" s="33"/>
    </row>
    <row r="308" spans="2:11" ht="15.75" customHeight="1">
      <c r="B308" s="85"/>
      <c r="K308" s="33"/>
    </row>
    <row r="309" spans="2:11" ht="15.75" customHeight="1">
      <c r="B309" s="85"/>
      <c r="K309" s="33"/>
    </row>
    <row r="310" spans="2:11" ht="15.75" customHeight="1">
      <c r="B310" s="85"/>
      <c r="K310" s="33"/>
    </row>
    <row r="311" spans="2:11" ht="15.75" customHeight="1">
      <c r="B311" s="85"/>
      <c r="K311" s="33"/>
    </row>
    <row r="312" spans="2:11" ht="15.75" customHeight="1">
      <c r="B312" s="85"/>
      <c r="K312" s="33"/>
    </row>
    <row r="313" spans="2:11" ht="15.75" customHeight="1">
      <c r="B313" s="85"/>
      <c r="K313" s="33"/>
    </row>
    <row r="314" spans="2:11" ht="15.75" customHeight="1">
      <c r="B314" s="85"/>
      <c r="K314" s="33"/>
    </row>
    <row r="315" spans="2:11" ht="15.75" customHeight="1">
      <c r="B315" s="85"/>
      <c r="K315" s="33"/>
    </row>
    <row r="316" spans="2:11" ht="15.75" customHeight="1">
      <c r="B316" s="85"/>
      <c r="K316" s="33"/>
    </row>
    <row r="317" spans="2:11" ht="15.75" customHeight="1">
      <c r="B317" s="85"/>
      <c r="K317" s="33"/>
    </row>
    <row r="318" spans="2:11" ht="15.75" customHeight="1">
      <c r="B318" s="85"/>
      <c r="K318" s="33"/>
    </row>
    <row r="319" spans="2:11" ht="15.75" customHeight="1">
      <c r="B319" s="85"/>
      <c r="K319" s="33"/>
    </row>
    <row r="320" spans="2:11" ht="15.75" customHeight="1">
      <c r="B320" s="85"/>
      <c r="K320" s="33"/>
    </row>
    <row r="321" spans="2:11" ht="15.75" customHeight="1">
      <c r="B321" s="85"/>
      <c r="K321" s="33"/>
    </row>
    <row r="322" spans="2:11" ht="15.75" customHeight="1">
      <c r="B322" s="85"/>
      <c r="K322" s="33"/>
    </row>
    <row r="323" spans="2:11" ht="15.75" customHeight="1">
      <c r="B323" s="85"/>
      <c r="K323" s="33"/>
    </row>
    <row r="324" spans="2:11" ht="15.75" customHeight="1">
      <c r="B324" s="85"/>
      <c r="K324" s="33"/>
    </row>
    <row r="325" spans="2:11" ht="15.75" customHeight="1">
      <c r="B325" s="85"/>
      <c r="K325" s="33"/>
    </row>
    <row r="326" spans="2:11" ht="15.75" customHeight="1">
      <c r="B326" s="85"/>
      <c r="K326" s="33"/>
    </row>
    <row r="327" spans="2:11" ht="15.75" customHeight="1">
      <c r="B327" s="85"/>
      <c r="K327" s="33"/>
    </row>
    <row r="328" spans="2:11" ht="15.75" customHeight="1">
      <c r="B328" s="85"/>
      <c r="K328" s="33"/>
    </row>
    <row r="329" spans="2:11" ht="15.75" customHeight="1">
      <c r="B329" s="85"/>
      <c r="K329" s="33"/>
    </row>
    <row r="330" spans="2:11" ht="15.75" customHeight="1">
      <c r="B330" s="85"/>
      <c r="K330" s="33"/>
    </row>
    <row r="331" spans="2:11" ht="15.75" customHeight="1">
      <c r="B331" s="85"/>
      <c r="K331" s="33"/>
    </row>
    <row r="332" spans="2:11" ht="15.75" customHeight="1">
      <c r="B332" s="85"/>
      <c r="K332" s="33"/>
    </row>
    <row r="333" spans="2:11" ht="15.75" customHeight="1">
      <c r="B333" s="85"/>
      <c r="K333" s="33"/>
    </row>
    <row r="334" spans="2:11" ht="15.75" customHeight="1">
      <c r="B334" s="85"/>
      <c r="K334" s="33"/>
    </row>
    <row r="335" spans="2:11" ht="15.75" customHeight="1">
      <c r="B335" s="85"/>
      <c r="K335" s="33"/>
    </row>
    <row r="336" spans="2:11" ht="15.75" customHeight="1">
      <c r="B336" s="85"/>
      <c r="K336" s="33"/>
    </row>
    <row r="337" spans="2:11" ht="15.75" customHeight="1">
      <c r="B337" s="85"/>
      <c r="K337" s="33"/>
    </row>
    <row r="338" spans="2:11" ht="15.75" customHeight="1">
      <c r="B338" s="85"/>
      <c r="K338" s="33"/>
    </row>
    <row r="339" spans="2:11" ht="15.75" customHeight="1">
      <c r="B339" s="85"/>
      <c r="K339" s="33"/>
    </row>
    <row r="340" spans="2:11" ht="15.75" customHeight="1">
      <c r="B340" s="85"/>
      <c r="K340" s="33"/>
    </row>
    <row r="341" spans="2:11" ht="15.75" customHeight="1">
      <c r="B341" s="85"/>
      <c r="K341" s="33"/>
    </row>
    <row r="342" spans="2:11" ht="15.75" customHeight="1">
      <c r="B342" s="85"/>
      <c r="K342" s="33"/>
    </row>
    <row r="343" spans="2:11" ht="15.75" customHeight="1">
      <c r="B343" s="85"/>
      <c r="K343" s="33"/>
    </row>
    <row r="344" spans="2:11" ht="15.75" customHeight="1">
      <c r="B344" s="85"/>
      <c r="K344" s="33"/>
    </row>
    <row r="345" spans="2:11" ht="15.75" customHeight="1">
      <c r="B345" s="85"/>
      <c r="K345" s="33"/>
    </row>
    <row r="346" spans="2:11" ht="15.75" customHeight="1">
      <c r="B346" s="85"/>
      <c r="K346" s="33"/>
    </row>
    <row r="347" spans="2:11" ht="15.75" customHeight="1">
      <c r="B347" s="85"/>
      <c r="K347" s="33"/>
    </row>
    <row r="348" spans="2:11" ht="15.75" customHeight="1">
      <c r="B348" s="85"/>
      <c r="K348" s="33"/>
    </row>
    <row r="349" spans="2:11" ht="15.75" customHeight="1">
      <c r="B349" s="85"/>
      <c r="K349" s="33"/>
    </row>
    <row r="350" spans="2:11" ht="15.75" customHeight="1">
      <c r="B350" s="85"/>
      <c r="K350" s="33"/>
    </row>
    <row r="351" spans="2:11" ht="15.75" customHeight="1">
      <c r="B351" s="85"/>
      <c r="K351" s="33"/>
    </row>
    <row r="352" spans="2:11" ht="15.75" customHeight="1">
      <c r="B352" s="85"/>
      <c r="K352" s="33"/>
    </row>
    <row r="353" spans="2:11" ht="15.75" customHeight="1">
      <c r="B353" s="85"/>
      <c r="K353" s="33"/>
    </row>
    <row r="354" spans="2:11" ht="15.75" customHeight="1">
      <c r="B354" s="85"/>
      <c r="K354" s="33"/>
    </row>
    <row r="355" spans="2:11" ht="15.75" customHeight="1">
      <c r="B355" s="85"/>
      <c r="K355" s="33"/>
    </row>
    <row r="356" spans="2:11" ht="15.75" customHeight="1">
      <c r="B356" s="85"/>
      <c r="K356" s="33"/>
    </row>
    <row r="357" spans="2:11" ht="15.75" customHeight="1">
      <c r="B357" s="85"/>
      <c r="K357" s="33"/>
    </row>
    <row r="358" spans="2:11" ht="15.75" customHeight="1">
      <c r="B358" s="85"/>
      <c r="K358" s="33"/>
    </row>
    <row r="359" spans="2:11" ht="15.75" customHeight="1">
      <c r="B359" s="85"/>
      <c r="K359" s="33"/>
    </row>
    <row r="360" spans="2:11" ht="15.75" customHeight="1">
      <c r="B360" s="85"/>
      <c r="K360" s="33"/>
    </row>
    <row r="361" spans="2:11" ht="15.75" customHeight="1">
      <c r="B361" s="85"/>
      <c r="K361" s="33"/>
    </row>
    <row r="362" spans="2:11" ht="15.75" customHeight="1">
      <c r="B362" s="85"/>
      <c r="K362" s="33"/>
    </row>
    <row r="363" spans="2:11" ht="15.75" customHeight="1">
      <c r="B363" s="85"/>
      <c r="K363" s="33"/>
    </row>
    <row r="364" spans="2:11" ht="15.75" customHeight="1">
      <c r="B364" s="85"/>
      <c r="K364" s="33"/>
    </row>
    <row r="365" spans="2:11" ht="15.75" customHeight="1">
      <c r="B365" s="85"/>
      <c r="K365" s="33"/>
    </row>
    <row r="366" spans="2:11" ht="15.75" customHeight="1">
      <c r="B366" s="85"/>
      <c r="K366" s="33"/>
    </row>
    <row r="367" spans="2:11" ht="15.75" customHeight="1">
      <c r="B367" s="85"/>
      <c r="K367" s="33"/>
    </row>
    <row r="368" spans="2:11" ht="15.75" customHeight="1">
      <c r="B368" s="85"/>
      <c r="K368" s="33"/>
    </row>
    <row r="369" spans="2:11" ht="15.75" customHeight="1">
      <c r="B369" s="85"/>
      <c r="K369" s="33"/>
    </row>
    <row r="370" spans="2:11" ht="15.75" customHeight="1">
      <c r="B370" s="85"/>
      <c r="K370" s="33"/>
    </row>
    <row r="371" spans="2:11" ht="15.75" customHeight="1">
      <c r="B371" s="85"/>
      <c r="K371" s="33"/>
    </row>
    <row r="372" spans="2:11" ht="15.75" customHeight="1">
      <c r="B372" s="85"/>
      <c r="K372" s="33"/>
    </row>
    <row r="373" spans="2:11" ht="15.75" customHeight="1">
      <c r="B373" s="85"/>
      <c r="K373" s="33"/>
    </row>
    <row r="374" spans="2:11" ht="15.75" customHeight="1">
      <c r="B374" s="85"/>
      <c r="K374" s="33"/>
    </row>
    <row r="375" spans="2:11" ht="15.75" customHeight="1">
      <c r="B375" s="85"/>
      <c r="K375" s="33"/>
    </row>
    <row r="376" spans="2:11" ht="15.75" customHeight="1">
      <c r="B376" s="85"/>
      <c r="K376" s="33"/>
    </row>
    <row r="377" spans="2:11" ht="15.75" customHeight="1">
      <c r="B377" s="85"/>
      <c r="K377" s="33"/>
    </row>
    <row r="378" spans="2:11" ht="15.75" customHeight="1">
      <c r="B378" s="85"/>
      <c r="K378" s="33"/>
    </row>
    <row r="379" spans="2:11" ht="15.75" customHeight="1">
      <c r="B379" s="85"/>
      <c r="K379" s="33"/>
    </row>
    <row r="380" spans="2:11" ht="15.75" customHeight="1">
      <c r="B380" s="85"/>
      <c r="K380" s="33"/>
    </row>
    <row r="381" spans="2:11" ht="15.75" customHeight="1">
      <c r="B381" s="85"/>
      <c r="K381" s="33"/>
    </row>
    <row r="382" spans="2:11" ht="15.75" customHeight="1">
      <c r="B382" s="85"/>
      <c r="K382" s="33"/>
    </row>
    <row r="383" spans="2:11" ht="15.75" customHeight="1">
      <c r="B383" s="85"/>
      <c r="K383" s="33"/>
    </row>
    <row r="384" spans="2:11" ht="15.75" customHeight="1">
      <c r="B384" s="85"/>
      <c r="K384" s="33"/>
    </row>
    <row r="385" spans="2:11" ht="15.75" customHeight="1">
      <c r="B385" s="85"/>
      <c r="K385" s="33"/>
    </row>
    <row r="386" spans="2:11" ht="15.75" customHeight="1">
      <c r="B386" s="85"/>
      <c r="K386" s="33"/>
    </row>
    <row r="387" spans="2:11" ht="15.75" customHeight="1">
      <c r="B387" s="85"/>
      <c r="K387" s="33"/>
    </row>
    <row r="388" spans="2:11" ht="15.75" customHeight="1">
      <c r="B388" s="85"/>
      <c r="K388" s="33"/>
    </row>
    <row r="389" spans="2:11" ht="15.75" customHeight="1">
      <c r="B389" s="85"/>
      <c r="K389" s="33"/>
    </row>
    <row r="390" spans="2:11" ht="15.75" customHeight="1">
      <c r="B390" s="85"/>
      <c r="K390" s="33"/>
    </row>
    <row r="391" spans="2:11" ht="15.75" customHeight="1">
      <c r="B391" s="85"/>
      <c r="K391" s="33"/>
    </row>
    <row r="392" spans="2:11" ht="15.75" customHeight="1">
      <c r="B392" s="85"/>
      <c r="K392" s="33"/>
    </row>
    <row r="393" spans="2:11" ht="15.75" customHeight="1">
      <c r="B393" s="85"/>
      <c r="K393" s="33"/>
    </row>
    <row r="394" spans="2:11" ht="15.75" customHeight="1">
      <c r="B394" s="85"/>
      <c r="K394" s="33"/>
    </row>
    <row r="395" spans="2:11" ht="15.75" customHeight="1">
      <c r="B395" s="85"/>
      <c r="K395" s="33"/>
    </row>
    <row r="396" spans="2:11" ht="15.75" customHeight="1">
      <c r="B396" s="85"/>
      <c r="K396" s="33"/>
    </row>
    <row r="397" spans="2:11" ht="15.75" customHeight="1">
      <c r="B397" s="85"/>
      <c r="K397" s="33"/>
    </row>
    <row r="398" spans="2:11" ht="15.75" customHeight="1">
      <c r="B398" s="85"/>
      <c r="K398" s="33"/>
    </row>
    <row r="399" spans="2:11" ht="15.75" customHeight="1">
      <c r="B399" s="85"/>
      <c r="K399" s="33"/>
    </row>
    <row r="400" spans="2:11" ht="15.75" customHeight="1">
      <c r="B400" s="85"/>
      <c r="K400" s="33"/>
    </row>
    <row r="401" spans="2:11" ht="15.75" customHeight="1">
      <c r="B401" s="85"/>
      <c r="K401" s="33"/>
    </row>
    <row r="402" spans="2:11" ht="15.75" customHeight="1">
      <c r="B402" s="85"/>
      <c r="K402" s="33"/>
    </row>
    <row r="403" spans="2:11" ht="15.75" customHeight="1">
      <c r="B403" s="85"/>
      <c r="K403" s="33"/>
    </row>
    <row r="404" spans="2:11" ht="15.75" customHeight="1">
      <c r="B404" s="85"/>
      <c r="K404" s="33"/>
    </row>
    <row r="405" spans="2:11" ht="15.75" customHeight="1">
      <c r="B405" s="85"/>
      <c r="K405" s="33"/>
    </row>
    <row r="406" spans="2:11" ht="15.75" customHeight="1">
      <c r="B406" s="85"/>
      <c r="K406" s="33"/>
    </row>
    <row r="407" spans="2:11" ht="15.75" customHeight="1">
      <c r="B407" s="85"/>
      <c r="K407" s="33"/>
    </row>
    <row r="408" spans="2:11" ht="15.75" customHeight="1">
      <c r="B408" s="85"/>
      <c r="K408" s="33"/>
    </row>
    <row r="409" spans="2:11" ht="15.75" customHeight="1">
      <c r="B409" s="85"/>
      <c r="K409" s="33"/>
    </row>
    <row r="410" spans="2:11" ht="15.75" customHeight="1">
      <c r="B410" s="85"/>
      <c r="K410" s="33"/>
    </row>
    <row r="411" spans="2:11" ht="15.75" customHeight="1">
      <c r="B411" s="85"/>
      <c r="K411" s="33"/>
    </row>
    <row r="412" spans="2:11" ht="15.75" customHeight="1">
      <c r="B412" s="85"/>
      <c r="K412" s="33"/>
    </row>
    <row r="413" spans="2:11" ht="15.75" customHeight="1">
      <c r="B413" s="85"/>
      <c r="K413" s="33"/>
    </row>
    <row r="414" spans="2:11" ht="15.75" customHeight="1">
      <c r="B414" s="85"/>
      <c r="K414" s="33"/>
    </row>
    <row r="415" spans="2:11" ht="15.75" customHeight="1">
      <c r="B415" s="85"/>
      <c r="K415" s="33"/>
    </row>
    <row r="416" spans="2:11" ht="15.75" customHeight="1">
      <c r="B416" s="85"/>
      <c r="K416" s="33"/>
    </row>
    <row r="417" spans="2:11" ht="15.75" customHeight="1">
      <c r="B417" s="85"/>
      <c r="K417" s="33"/>
    </row>
    <row r="418" spans="2:11" ht="15.75" customHeight="1">
      <c r="B418" s="85"/>
      <c r="K418" s="33"/>
    </row>
    <row r="419" spans="2:11" ht="15.75" customHeight="1">
      <c r="B419" s="85"/>
      <c r="K419" s="33"/>
    </row>
    <row r="420" spans="2:11" ht="15.75" customHeight="1">
      <c r="B420" s="85"/>
      <c r="K420" s="33"/>
    </row>
    <row r="421" spans="2:11" ht="15.75" customHeight="1">
      <c r="B421" s="85"/>
      <c r="K421" s="33"/>
    </row>
    <row r="422" spans="2:11" ht="15.75" customHeight="1">
      <c r="B422" s="85"/>
      <c r="K422" s="33"/>
    </row>
    <row r="423" spans="2:11" ht="15.75" customHeight="1">
      <c r="B423" s="85"/>
      <c r="K423" s="33"/>
    </row>
    <row r="424" spans="2:11" ht="15.75" customHeight="1">
      <c r="B424" s="85"/>
      <c r="K424" s="33"/>
    </row>
    <row r="425" spans="2:11" ht="15.75" customHeight="1">
      <c r="B425" s="85"/>
      <c r="K425" s="33"/>
    </row>
    <row r="426" spans="2:11" ht="15.75" customHeight="1">
      <c r="B426" s="85"/>
      <c r="K426" s="33"/>
    </row>
    <row r="427" spans="2:11" ht="15.75" customHeight="1">
      <c r="B427" s="85"/>
      <c r="K427" s="33"/>
    </row>
    <row r="428" spans="2:11" ht="15.75" customHeight="1">
      <c r="B428" s="85"/>
      <c r="K428" s="33"/>
    </row>
    <row r="429" spans="2:11" ht="15.75" customHeight="1">
      <c r="B429" s="85"/>
      <c r="K429" s="33"/>
    </row>
    <row r="430" spans="2:11" ht="15.75" customHeight="1">
      <c r="B430" s="85"/>
      <c r="K430" s="33"/>
    </row>
    <row r="431" spans="2:11" ht="15.75" customHeight="1">
      <c r="B431" s="85"/>
      <c r="K431" s="33"/>
    </row>
    <row r="432" spans="2:11" ht="15.75" customHeight="1">
      <c r="B432" s="85"/>
      <c r="K432" s="33"/>
    </row>
    <row r="433" spans="2:11" ht="15.75" customHeight="1">
      <c r="B433" s="85"/>
      <c r="K433" s="33"/>
    </row>
    <row r="434" spans="2:11" ht="15.75" customHeight="1">
      <c r="B434" s="85"/>
      <c r="K434" s="33"/>
    </row>
    <row r="435" spans="2:11" ht="15.75" customHeight="1">
      <c r="B435" s="85"/>
      <c r="K435" s="33"/>
    </row>
    <row r="436" spans="2:11" ht="15.75" customHeight="1">
      <c r="B436" s="85"/>
      <c r="K436" s="33"/>
    </row>
    <row r="437" spans="2:11" ht="15.75" customHeight="1">
      <c r="B437" s="85"/>
      <c r="K437" s="33"/>
    </row>
    <row r="438" spans="2:11" ht="15.75" customHeight="1">
      <c r="B438" s="85"/>
      <c r="K438" s="33"/>
    </row>
    <row r="439" spans="2:11" ht="15.75" customHeight="1">
      <c r="B439" s="85"/>
      <c r="K439" s="33"/>
    </row>
    <row r="440" spans="2:11" ht="15.75" customHeight="1">
      <c r="B440" s="85"/>
      <c r="K440" s="33"/>
    </row>
    <row r="441" spans="2:11" ht="15.75" customHeight="1">
      <c r="B441" s="85"/>
      <c r="K441" s="33"/>
    </row>
    <row r="442" spans="2:11" ht="15.75" customHeight="1">
      <c r="B442" s="85"/>
      <c r="K442" s="33"/>
    </row>
    <row r="443" spans="2:11" ht="15.75" customHeight="1">
      <c r="B443" s="85"/>
      <c r="K443" s="33"/>
    </row>
    <row r="444" spans="2:11" ht="15.75" customHeight="1">
      <c r="B444" s="85"/>
      <c r="K444" s="33"/>
    </row>
    <row r="445" spans="2:11" ht="15.75" customHeight="1">
      <c r="B445" s="85"/>
      <c r="K445" s="33"/>
    </row>
    <row r="446" spans="2:11" ht="15.75" customHeight="1">
      <c r="B446" s="85"/>
      <c r="K446" s="33"/>
    </row>
    <row r="447" spans="2:11" ht="15.75" customHeight="1">
      <c r="B447" s="85"/>
      <c r="K447" s="33"/>
    </row>
    <row r="448" spans="2:11" ht="15.75" customHeight="1">
      <c r="B448" s="85"/>
      <c r="K448" s="33"/>
    </row>
    <row r="449" spans="2:11" ht="15.75" customHeight="1">
      <c r="B449" s="85"/>
      <c r="K449" s="33"/>
    </row>
    <row r="450" spans="2:11" ht="15.75" customHeight="1">
      <c r="B450" s="85"/>
      <c r="K450" s="33"/>
    </row>
    <row r="451" spans="2:11" ht="15.75" customHeight="1">
      <c r="B451" s="85"/>
      <c r="K451" s="33"/>
    </row>
    <row r="452" spans="2:11" ht="15.75" customHeight="1">
      <c r="B452" s="85"/>
      <c r="K452" s="33"/>
    </row>
    <row r="453" spans="2:11" ht="15.75" customHeight="1">
      <c r="B453" s="85"/>
      <c r="K453" s="33"/>
    </row>
    <row r="454" spans="2:11" ht="15.75" customHeight="1">
      <c r="B454" s="85"/>
      <c r="K454" s="33"/>
    </row>
    <row r="455" spans="2:11" ht="15.75" customHeight="1">
      <c r="B455" s="85"/>
      <c r="K455" s="33"/>
    </row>
    <row r="456" spans="2:11" ht="15.75" customHeight="1">
      <c r="B456" s="85"/>
      <c r="K456" s="33"/>
    </row>
    <row r="457" spans="2:11" ht="15.75" customHeight="1">
      <c r="B457" s="85"/>
      <c r="K457" s="33"/>
    </row>
    <row r="458" spans="2:11" ht="15.75" customHeight="1">
      <c r="B458" s="85"/>
      <c r="K458" s="33"/>
    </row>
    <row r="459" spans="2:11" ht="15.75" customHeight="1">
      <c r="B459" s="85"/>
      <c r="K459" s="33"/>
    </row>
    <row r="460" spans="2:11" ht="15.75" customHeight="1">
      <c r="B460" s="85"/>
      <c r="K460" s="33"/>
    </row>
    <row r="461" spans="2:11" ht="15.75" customHeight="1">
      <c r="B461" s="85"/>
      <c r="K461" s="33"/>
    </row>
    <row r="462" spans="2:11" ht="15.75" customHeight="1">
      <c r="B462" s="85"/>
      <c r="K462" s="33"/>
    </row>
    <row r="463" spans="2:11" ht="15.75" customHeight="1">
      <c r="B463" s="85"/>
      <c r="K463" s="33"/>
    </row>
    <row r="464" spans="2:11" ht="15.75" customHeight="1">
      <c r="B464" s="85"/>
      <c r="K464" s="33"/>
    </row>
    <row r="465" spans="2:11" ht="15.75" customHeight="1">
      <c r="B465" s="85"/>
      <c r="K465" s="33"/>
    </row>
    <row r="466" spans="2:11" ht="15.75" customHeight="1">
      <c r="B466" s="85"/>
      <c r="K466" s="33"/>
    </row>
    <row r="467" spans="2:11" ht="15.75" customHeight="1">
      <c r="B467" s="85"/>
      <c r="K467" s="33"/>
    </row>
    <row r="468" spans="2:11" ht="15.75" customHeight="1">
      <c r="B468" s="85"/>
      <c r="K468" s="33"/>
    </row>
    <row r="469" spans="2:11" ht="15.75" customHeight="1">
      <c r="B469" s="85"/>
      <c r="K469" s="33"/>
    </row>
    <row r="470" spans="2:11" ht="15.75" customHeight="1">
      <c r="B470" s="85"/>
      <c r="K470" s="33"/>
    </row>
    <row r="471" spans="2:11" ht="15.75" customHeight="1">
      <c r="B471" s="85"/>
      <c r="K471" s="33"/>
    </row>
    <row r="472" spans="2:11" ht="15.75" customHeight="1">
      <c r="B472" s="85"/>
      <c r="K472" s="33"/>
    </row>
    <row r="473" spans="2:11" ht="15.75" customHeight="1">
      <c r="B473" s="85"/>
      <c r="K473" s="33"/>
    </row>
    <row r="474" spans="2:11" ht="15.75" customHeight="1">
      <c r="B474" s="85"/>
      <c r="K474" s="33"/>
    </row>
    <row r="475" spans="2:11" ht="15.75" customHeight="1">
      <c r="B475" s="85"/>
      <c r="K475" s="33"/>
    </row>
    <row r="476" spans="2:11" ht="15.75" customHeight="1">
      <c r="B476" s="85"/>
      <c r="K476" s="33"/>
    </row>
    <row r="477" spans="2:11" ht="15.75" customHeight="1">
      <c r="B477" s="85"/>
      <c r="K477" s="33"/>
    </row>
    <row r="478" spans="2:11" ht="15.75" customHeight="1">
      <c r="B478" s="85"/>
      <c r="K478" s="33"/>
    </row>
    <row r="479" spans="2:11" ht="15.75" customHeight="1">
      <c r="B479" s="85"/>
      <c r="K479" s="33"/>
    </row>
    <row r="480" spans="2:11" ht="15.75" customHeight="1">
      <c r="B480" s="85"/>
      <c r="K480" s="33"/>
    </row>
    <row r="481" spans="2:11" ht="15.75" customHeight="1">
      <c r="B481" s="85"/>
      <c r="K481" s="33"/>
    </row>
    <row r="482" spans="2:11" ht="15.75" customHeight="1">
      <c r="B482" s="85"/>
      <c r="K482" s="33"/>
    </row>
    <row r="483" spans="2:11" ht="15.75" customHeight="1">
      <c r="B483" s="85"/>
      <c r="K483" s="33"/>
    </row>
    <row r="484" spans="2:11" ht="15.75" customHeight="1">
      <c r="B484" s="85"/>
      <c r="K484" s="33"/>
    </row>
    <row r="485" spans="2:11" ht="15.75" customHeight="1">
      <c r="B485" s="85"/>
      <c r="K485" s="33"/>
    </row>
    <row r="486" spans="2:11" ht="15.75" customHeight="1">
      <c r="B486" s="85"/>
      <c r="K486" s="33"/>
    </row>
    <row r="487" spans="2:11" ht="15.75" customHeight="1">
      <c r="B487" s="85"/>
      <c r="K487" s="33"/>
    </row>
    <row r="488" spans="2:11" ht="15.75" customHeight="1">
      <c r="B488" s="85"/>
      <c r="K488" s="33"/>
    </row>
    <row r="489" spans="2:11" ht="15.75" customHeight="1">
      <c r="B489" s="85"/>
      <c r="K489" s="33"/>
    </row>
    <row r="490" spans="2:11" ht="15.75" customHeight="1">
      <c r="B490" s="85"/>
      <c r="K490" s="33"/>
    </row>
    <row r="491" spans="2:11" ht="15.75" customHeight="1">
      <c r="B491" s="85"/>
      <c r="K491" s="33"/>
    </row>
    <row r="492" spans="2:11" ht="15.75" customHeight="1">
      <c r="B492" s="85"/>
      <c r="K492" s="33"/>
    </row>
    <row r="493" spans="2:11" ht="15.75" customHeight="1">
      <c r="B493" s="85"/>
      <c r="K493" s="33"/>
    </row>
    <row r="494" spans="2:11" ht="15.75" customHeight="1">
      <c r="B494" s="85"/>
      <c r="K494" s="33"/>
    </row>
    <row r="495" spans="2:11" ht="15.75" customHeight="1">
      <c r="B495" s="85"/>
      <c r="K495" s="33"/>
    </row>
    <row r="496" spans="2:11" ht="15.75" customHeight="1">
      <c r="B496" s="85"/>
      <c r="K496" s="33"/>
    </row>
    <row r="497" spans="2:11" ht="15.75" customHeight="1">
      <c r="B497" s="85"/>
      <c r="K497" s="33"/>
    </row>
    <row r="498" spans="2:11" ht="15.75" customHeight="1">
      <c r="B498" s="85"/>
      <c r="K498" s="33"/>
    </row>
    <row r="499" spans="2:11" ht="15.75" customHeight="1">
      <c r="B499" s="85"/>
      <c r="K499" s="33"/>
    </row>
    <row r="500" spans="2:11" ht="15.75" customHeight="1">
      <c r="B500" s="85"/>
      <c r="K500" s="33"/>
    </row>
    <row r="501" spans="2:11" ht="15.75" customHeight="1">
      <c r="B501" s="85"/>
      <c r="K501" s="33"/>
    </row>
    <row r="502" spans="2:11" ht="15.75" customHeight="1">
      <c r="B502" s="85"/>
      <c r="K502" s="33"/>
    </row>
    <row r="503" spans="2:11" ht="15.75" customHeight="1">
      <c r="B503" s="85"/>
      <c r="K503" s="33"/>
    </row>
    <row r="504" spans="2:11" ht="15.75" customHeight="1">
      <c r="B504" s="85"/>
      <c r="K504" s="33"/>
    </row>
    <row r="505" spans="2:11" ht="15.75" customHeight="1">
      <c r="B505" s="85"/>
      <c r="K505" s="33"/>
    </row>
    <row r="506" spans="2:11" ht="15.75" customHeight="1">
      <c r="B506" s="85"/>
      <c r="K506" s="33"/>
    </row>
    <row r="507" spans="2:11" ht="15.75" customHeight="1">
      <c r="B507" s="85"/>
      <c r="K507" s="33"/>
    </row>
    <row r="508" spans="2:11" ht="15.75" customHeight="1">
      <c r="B508" s="85"/>
      <c r="K508" s="33"/>
    </row>
    <row r="509" spans="2:11" ht="15.75" customHeight="1">
      <c r="B509" s="85"/>
      <c r="K509" s="33"/>
    </row>
    <row r="510" spans="2:11" ht="15.75" customHeight="1">
      <c r="B510" s="85"/>
      <c r="K510" s="33"/>
    </row>
    <row r="511" spans="2:11" ht="15.75" customHeight="1">
      <c r="B511" s="85"/>
      <c r="K511" s="33"/>
    </row>
    <row r="512" spans="2:11" ht="15.75" customHeight="1">
      <c r="B512" s="85"/>
      <c r="K512" s="33"/>
    </row>
    <row r="513" spans="2:11" ht="15.75" customHeight="1">
      <c r="B513" s="85"/>
      <c r="K513" s="33"/>
    </row>
    <row r="514" spans="2:11" ht="15.75" customHeight="1">
      <c r="B514" s="85"/>
      <c r="K514" s="33"/>
    </row>
    <row r="515" spans="2:11" ht="15.75" customHeight="1">
      <c r="B515" s="85"/>
      <c r="K515" s="33"/>
    </row>
    <row r="516" spans="2:11" ht="15.75" customHeight="1">
      <c r="B516" s="85"/>
      <c r="K516" s="33"/>
    </row>
    <row r="517" spans="2:11" ht="15.75" customHeight="1">
      <c r="B517" s="85"/>
      <c r="K517" s="33"/>
    </row>
    <row r="518" spans="2:11" ht="15.75" customHeight="1">
      <c r="B518" s="85"/>
      <c r="K518" s="33"/>
    </row>
    <row r="519" spans="2:11" ht="15.75" customHeight="1">
      <c r="B519" s="85"/>
      <c r="K519" s="33"/>
    </row>
    <row r="520" spans="2:11" ht="15.75" customHeight="1">
      <c r="B520" s="85"/>
      <c r="K520" s="33"/>
    </row>
    <row r="521" spans="2:11" ht="15.75" customHeight="1">
      <c r="B521" s="85"/>
      <c r="K521" s="33"/>
    </row>
    <row r="522" spans="2:11" ht="15.75" customHeight="1">
      <c r="B522" s="85"/>
      <c r="K522" s="33"/>
    </row>
    <row r="523" spans="2:11" ht="15.75" customHeight="1">
      <c r="B523" s="85"/>
      <c r="K523" s="33"/>
    </row>
    <row r="524" spans="2:11" ht="15.75" customHeight="1">
      <c r="B524" s="85"/>
      <c r="K524" s="33"/>
    </row>
    <row r="525" spans="2:11" ht="15.75" customHeight="1">
      <c r="B525" s="85"/>
      <c r="K525" s="33"/>
    </row>
    <row r="526" spans="2:11" ht="15.75" customHeight="1">
      <c r="B526" s="85"/>
      <c r="K526" s="33"/>
    </row>
    <row r="527" spans="2:11" ht="15.75" customHeight="1">
      <c r="B527" s="85"/>
      <c r="K527" s="33"/>
    </row>
    <row r="528" spans="2:11" ht="15.75" customHeight="1">
      <c r="B528" s="85"/>
      <c r="K528" s="33"/>
    </row>
    <row r="529" spans="2:11" ht="15.75" customHeight="1">
      <c r="B529" s="85"/>
      <c r="K529" s="33"/>
    </row>
    <row r="530" spans="2:11" ht="15.75" customHeight="1">
      <c r="B530" s="85"/>
      <c r="K530" s="33"/>
    </row>
    <row r="531" spans="2:11" ht="15.75" customHeight="1">
      <c r="B531" s="85"/>
      <c r="K531" s="33"/>
    </row>
    <row r="532" spans="2:11" ht="15.75" customHeight="1">
      <c r="B532" s="85"/>
      <c r="K532" s="33"/>
    </row>
    <row r="533" spans="2:11" ht="15.75" customHeight="1">
      <c r="B533" s="85"/>
      <c r="K533" s="33"/>
    </row>
    <row r="534" spans="2:11" ht="15.75" customHeight="1">
      <c r="B534" s="85"/>
      <c r="K534" s="33"/>
    </row>
    <row r="535" spans="2:11" ht="15.75" customHeight="1">
      <c r="B535" s="85"/>
      <c r="K535" s="33"/>
    </row>
    <row r="536" spans="2:11" ht="15.75" customHeight="1">
      <c r="B536" s="85"/>
      <c r="K536" s="33"/>
    </row>
    <row r="537" spans="2:11" ht="15.75" customHeight="1">
      <c r="B537" s="85"/>
      <c r="K537" s="33"/>
    </row>
    <row r="538" spans="2:11" ht="15.75" customHeight="1">
      <c r="B538" s="85"/>
      <c r="K538" s="33"/>
    </row>
    <row r="539" spans="2:11" ht="15.75" customHeight="1">
      <c r="B539" s="85"/>
      <c r="K539" s="33"/>
    </row>
    <row r="540" spans="2:11" ht="15.75" customHeight="1">
      <c r="B540" s="85"/>
      <c r="K540" s="33"/>
    </row>
    <row r="541" spans="2:11" ht="15.75" customHeight="1">
      <c r="B541" s="85"/>
      <c r="K541" s="33"/>
    </row>
    <row r="542" spans="2:11" ht="15.75" customHeight="1">
      <c r="B542" s="85"/>
      <c r="K542" s="33"/>
    </row>
    <row r="543" spans="2:11" ht="15.75" customHeight="1">
      <c r="B543" s="85"/>
      <c r="K543" s="33"/>
    </row>
    <row r="544" spans="2:11" ht="15.75" customHeight="1">
      <c r="B544" s="85"/>
      <c r="K544" s="33"/>
    </row>
    <row r="545" spans="2:11" ht="15.75" customHeight="1">
      <c r="B545" s="85"/>
      <c r="K545" s="33"/>
    </row>
    <row r="546" spans="2:11" ht="15.75" customHeight="1">
      <c r="B546" s="85"/>
      <c r="K546" s="33"/>
    </row>
    <row r="547" spans="2:11" ht="15.75" customHeight="1">
      <c r="B547" s="85"/>
      <c r="K547" s="33"/>
    </row>
    <row r="548" spans="2:11" ht="15.75" customHeight="1">
      <c r="B548" s="85"/>
      <c r="K548" s="33"/>
    </row>
    <row r="549" spans="2:11" ht="15.75" customHeight="1">
      <c r="B549" s="85"/>
      <c r="K549" s="33"/>
    </row>
    <row r="550" spans="2:11" ht="15.75" customHeight="1">
      <c r="B550" s="85"/>
      <c r="K550" s="33"/>
    </row>
    <row r="551" spans="2:11" ht="15.75" customHeight="1">
      <c r="B551" s="85"/>
      <c r="K551" s="33"/>
    </row>
    <row r="552" spans="2:11" ht="15.75" customHeight="1">
      <c r="B552" s="85"/>
      <c r="K552" s="33"/>
    </row>
    <row r="553" spans="2:11" ht="15.75" customHeight="1">
      <c r="B553" s="85"/>
      <c r="K553" s="33"/>
    </row>
    <row r="554" spans="2:11" ht="15.75" customHeight="1">
      <c r="B554" s="85"/>
      <c r="K554" s="33"/>
    </row>
    <row r="555" spans="2:11" ht="15.75" customHeight="1">
      <c r="B555" s="85"/>
      <c r="K555" s="33"/>
    </row>
    <row r="556" spans="2:11" ht="15.75" customHeight="1">
      <c r="B556" s="85"/>
      <c r="K556" s="33"/>
    </row>
    <row r="557" spans="2:11" ht="15.75" customHeight="1">
      <c r="B557" s="85"/>
      <c r="K557" s="33"/>
    </row>
    <row r="558" spans="2:11" ht="15.75" customHeight="1">
      <c r="B558" s="85"/>
      <c r="K558" s="33"/>
    </row>
    <row r="559" spans="2:11" ht="15.75" customHeight="1">
      <c r="B559" s="85"/>
      <c r="K559" s="33"/>
    </row>
    <row r="560" spans="2:11" ht="15.75" customHeight="1">
      <c r="B560" s="85"/>
      <c r="K560" s="33"/>
    </row>
    <row r="561" spans="2:11" ht="15.75" customHeight="1">
      <c r="B561" s="85"/>
      <c r="K561" s="33"/>
    </row>
    <row r="562" spans="2:11" ht="15.75" customHeight="1">
      <c r="B562" s="85"/>
      <c r="K562" s="33"/>
    </row>
    <row r="563" spans="2:11" ht="15.75" customHeight="1">
      <c r="B563" s="85"/>
      <c r="K563" s="33"/>
    </row>
    <row r="564" spans="2:11" ht="15.75" customHeight="1">
      <c r="B564" s="85"/>
      <c r="K564" s="33"/>
    </row>
    <row r="565" spans="2:11" ht="15.75" customHeight="1">
      <c r="B565" s="85"/>
      <c r="K565" s="33"/>
    </row>
    <row r="566" spans="2:11" ht="15.75" customHeight="1">
      <c r="B566" s="85"/>
      <c r="K566" s="33"/>
    </row>
    <row r="567" spans="2:11" ht="15.75" customHeight="1">
      <c r="B567" s="85"/>
      <c r="K567" s="33"/>
    </row>
    <row r="568" spans="2:11" ht="15.75" customHeight="1">
      <c r="B568" s="85"/>
      <c r="K568" s="33"/>
    </row>
    <row r="569" spans="2:11" ht="15.75" customHeight="1">
      <c r="B569" s="85"/>
      <c r="K569" s="33"/>
    </row>
    <row r="570" spans="2:11" ht="15.75" customHeight="1">
      <c r="B570" s="85"/>
      <c r="K570" s="33"/>
    </row>
    <row r="571" spans="2:11" ht="15.75" customHeight="1">
      <c r="B571" s="85"/>
      <c r="K571" s="33"/>
    </row>
    <row r="572" spans="2:11" ht="15.75" customHeight="1">
      <c r="B572" s="85"/>
      <c r="K572" s="33"/>
    </row>
    <row r="573" spans="2:11" ht="15.75" customHeight="1">
      <c r="B573" s="85"/>
      <c r="K573" s="33"/>
    </row>
    <row r="574" spans="2:11" ht="15.75" customHeight="1">
      <c r="B574" s="85"/>
      <c r="K574" s="33"/>
    </row>
    <row r="575" spans="2:11" ht="15.75" customHeight="1">
      <c r="B575" s="85"/>
      <c r="K575" s="33"/>
    </row>
    <row r="576" spans="2:11" ht="15.75" customHeight="1">
      <c r="B576" s="85"/>
      <c r="K576" s="33"/>
    </row>
    <row r="577" spans="2:11" ht="15.75" customHeight="1">
      <c r="B577" s="85"/>
      <c r="K577" s="33"/>
    </row>
    <row r="578" spans="2:11" ht="15.75" customHeight="1">
      <c r="B578" s="85"/>
      <c r="K578" s="33"/>
    </row>
    <row r="579" spans="2:11" ht="15.75" customHeight="1">
      <c r="B579" s="85"/>
      <c r="K579" s="33"/>
    </row>
    <row r="580" spans="2:11" ht="15.75" customHeight="1">
      <c r="B580" s="85"/>
      <c r="K580" s="33"/>
    </row>
    <row r="581" spans="2:11" ht="15.75" customHeight="1">
      <c r="B581" s="85"/>
      <c r="K581" s="33"/>
    </row>
    <row r="582" spans="2:11" ht="15.75" customHeight="1">
      <c r="B582" s="85"/>
      <c r="K582" s="33"/>
    </row>
    <row r="583" spans="2:11" ht="15.75" customHeight="1">
      <c r="B583" s="85"/>
      <c r="K583" s="33"/>
    </row>
    <row r="584" spans="2:11" ht="15.75" customHeight="1">
      <c r="B584" s="85"/>
      <c r="K584" s="33"/>
    </row>
    <row r="585" spans="2:11" ht="15.75" customHeight="1">
      <c r="B585" s="85"/>
      <c r="K585" s="33"/>
    </row>
    <row r="586" spans="2:11" ht="15.75" customHeight="1">
      <c r="B586" s="85"/>
      <c r="K586" s="33"/>
    </row>
    <row r="587" spans="2:11" ht="15.75" customHeight="1">
      <c r="B587" s="85"/>
      <c r="K587" s="33"/>
    </row>
    <row r="588" spans="2:11" ht="15.75" customHeight="1">
      <c r="B588" s="85"/>
      <c r="K588" s="33"/>
    </row>
    <row r="589" spans="2:11" ht="15.75" customHeight="1">
      <c r="B589" s="85"/>
      <c r="K589" s="33"/>
    </row>
    <row r="590" spans="2:11" ht="15.75" customHeight="1">
      <c r="B590" s="85"/>
      <c r="K590" s="33"/>
    </row>
    <row r="591" spans="2:11" ht="15.75" customHeight="1">
      <c r="B591" s="85"/>
      <c r="K591" s="33"/>
    </row>
    <row r="592" spans="2:11" ht="15.75" customHeight="1">
      <c r="B592" s="85"/>
      <c r="K592" s="33"/>
    </row>
    <row r="593" spans="2:11" ht="15.75" customHeight="1">
      <c r="B593" s="85"/>
      <c r="K593" s="33"/>
    </row>
    <row r="594" spans="2:11" ht="15.75" customHeight="1">
      <c r="B594" s="85"/>
      <c r="K594" s="33"/>
    </row>
    <row r="595" spans="2:11" ht="15.75" customHeight="1">
      <c r="B595" s="85"/>
      <c r="K595" s="33"/>
    </row>
    <row r="596" spans="2:11" ht="15.75" customHeight="1">
      <c r="B596" s="85"/>
      <c r="K596" s="33"/>
    </row>
    <row r="597" spans="2:11" ht="15.75" customHeight="1">
      <c r="B597" s="85"/>
      <c r="K597" s="33"/>
    </row>
    <row r="598" spans="2:11" ht="15.75" customHeight="1">
      <c r="B598" s="85"/>
      <c r="K598" s="33"/>
    </row>
    <row r="599" spans="2:11" ht="15.75" customHeight="1">
      <c r="B599" s="85"/>
      <c r="K599" s="33"/>
    </row>
    <row r="600" spans="2:11" ht="15.75" customHeight="1">
      <c r="B600" s="85"/>
      <c r="K600" s="33"/>
    </row>
    <row r="601" spans="2:11" ht="15.75" customHeight="1">
      <c r="B601" s="85"/>
      <c r="K601" s="33"/>
    </row>
    <row r="602" spans="2:11" ht="15.75" customHeight="1">
      <c r="B602" s="85"/>
      <c r="K602" s="33"/>
    </row>
    <row r="603" spans="2:11" ht="15.75" customHeight="1">
      <c r="B603" s="85"/>
      <c r="K603" s="33"/>
    </row>
    <row r="604" spans="2:11" ht="15.75" customHeight="1">
      <c r="B604" s="85"/>
      <c r="K604" s="33"/>
    </row>
    <row r="605" spans="2:11" ht="15.75" customHeight="1">
      <c r="B605" s="85"/>
      <c r="K605" s="33"/>
    </row>
    <row r="606" spans="2:11" ht="15.75" customHeight="1">
      <c r="B606" s="85"/>
      <c r="K606" s="33"/>
    </row>
    <row r="607" spans="2:11" ht="15.75" customHeight="1">
      <c r="B607" s="85"/>
      <c r="K607" s="33"/>
    </row>
    <row r="608" spans="2:11" ht="15.75" customHeight="1">
      <c r="B608" s="85"/>
      <c r="K608" s="33"/>
    </row>
    <row r="609" spans="2:11" ht="15.75" customHeight="1">
      <c r="B609" s="85"/>
      <c r="K609" s="33"/>
    </row>
    <row r="610" spans="2:11" ht="15.75" customHeight="1">
      <c r="B610" s="85"/>
      <c r="K610" s="33"/>
    </row>
    <row r="611" spans="2:11" ht="15.75" customHeight="1">
      <c r="B611" s="85"/>
      <c r="K611" s="33"/>
    </row>
    <row r="612" spans="2:11" ht="15.75" customHeight="1">
      <c r="B612" s="85"/>
      <c r="K612" s="33"/>
    </row>
    <row r="613" spans="2:11" ht="15.75" customHeight="1">
      <c r="B613" s="85"/>
      <c r="K613" s="33"/>
    </row>
    <row r="614" spans="2:11" ht="15.75" customHeight="1">
      <c r="B614" s="85"/>
      <c r="K614" s="33"/>
    </row>
    <row r="615" spans="2:11" ht="15.75" customHeight="1">
      <c r="B615" s="85"/>
      <c r="K615" s="33"/>
    </row>
    <row r="616" spans="2:11" ht="15.75" customHeight="1">
      <c r="B616" s="85"/>
      <c r="K616" s="33"/>
    </row>
    <row r="617" spans="2:11" ht="15.75" customHeight="1">
      <c r="B617" s="85"/>
      <c r="K617" s="33"/>
    </row>
    <row r="618" spans="2:11" ht="15.75" customHeight="1">
      <c r="B618" s="85"/>
      <c r="K618" s="33"/>
    </row>
    <row r="619" spans="2:11" ht="15.75" customHeight="1">
      <c r="B619" s="85"/>
      <c r="K619" s="33"/>
    </row>
    <row r="620" spans="2:11" ht="15.75" customHeight="1">
      <c r="B620" s="85"/>
      <c r="K620" s="33"/>
    </row>
    <row r="621" spans="2:11" ht="15.75" customHeight="1">
      <c r="B621" s="85"/>
      <c r="K621" s="33"/>
    </row>
    <row r="622" spans="2:11" ht="15.75" customHeight="1">
      <c r="B622" s="85"/>
      <c r="K622" s="33"/>
    </row>
    <row r="623" spans="2:11" ht="15.75" customHeight="1">
      <c r="B623" s="85"/>
      <c r="K623" s="33"/>
    </row>
    <row r="624" spans="2:11" ht="15.75" customHeight="1">
      <c r="B624" s="85"/>
      <c r="K624" s="33"/>
    </row>
    <row r="625" spans="2:11" ht="15.75" customHeight="1">
      <c r="B625" s="85"/>
      <c r="K625" s="33"/>
    </row>
    <row r="626" spans="2:11" ht="15.75" customHeight="1">
      <c r="B626" s="85"/>
      <c r="K626" s="33"/>
    </row>
    <row r="627" spans="2:11" ht="15.75" customHeight="1">
      <c r="B627" s="85"/>
      <c r="K627" s="33"/>
    </row>
    <row r="628" spans="2:11" ht="15.75" customHeight="1">
      <c r="B628" s="85"/>
      <c r="K628" s="33"/>
    </row>
    <row r="629" spans="2:11" ht="15.75" customHeight="1">
      <c r="B629" s="85"/>
      <c r="K629" s="33"/>
    </row>
    <row r="630" spans="2:11" ht="15.75" customHeight="1">
      <c r="B630" s="85"/>
      <c r="K630" s="33"/>
    </row>
    <row r="631" spans="2:11" ht="15.75" customHeight="1">
      <c r="B631" s="85"/>
      <c r="K631" s="33"/>
    </row>
    <row r="632" spans="2:11" ht="15.75" customHeight="1">
      <c r="B632" s="85"/>
      <c r="K632" s="33"/>
    </row>
    <row r="633" spans="2:11" ht="15.75" customHeight="1">
      <c r="B633" s="85"/>
      <c r="K633" s="33"/>
    </row>
    <row r="634" spans="2:11" ht="15.75" customHeight="1">
      <c r="B634" s="85"/>
      <c r="K634" s="33"/>
    </row>
    <row r="635" spans="2:11" ht="15.75" customHeight="1">
      <c r="B635" s="85"/>
      <c r="K635" s="33"/>
    </row>
    <row r="636" spans="2:11" ht="15.75" customHeight="1">
      <c r="B636" s="85"/>
      <c r="K636" s="33"/>
    </row>
    <row r="637" spans="2:11" ht="15.75" customHeight="1">
      <c r="B637" s="85"/>
      <c r="K637" s="33"/>
    </row>
    <row r="638" spans="2:11" ht="15.75" customHeight="1">
      <c r="B638" s="85"/>
      <c r="K638" s="33"/>
    </row>
    <row r="639" spans="2:11" ht="15.75" customHeight="1">
      <c r="B639" s="85"/>
      <c r="K639" s="33"/>
    </row>
    <row r="640" spans="2:11" ht="15.75" customHeight="1">
      <c r="B640" s="85"/>
      <c r="K640" s="33"/>
    </row>
    <row r="641" spans="2:11" ht="15.75" customHeight="1">
      <c r="B641" s="85"/>
      <c r="K641" s="33"/>
    </row>
    <row r="642" spans="2:11" ht="15.75" customHeight="1">
      <c r="B642" s="85"/>
      <c r="K642" s="33"/>
    </row>
    <row r="643" spans="2:11" ht="15.75" customHeight="1">
      <c r="B643" s="85"/>
      <c r="K643" s="33"/>
    </row>
    <row r="644" spans="2:11" ht="15.75" customHeight="1">
      <c r="B644" s="85"/>
      <c r="K644" s="33"/>
    </row>
    <row r="645" spans="2:11" ht="15.75" customHeight="1">
      <c r="B645" s="85"/>
      <c r="K645" s="33"/>
    </row>
    <row r="646" spans="2:11" ht="15.75" customHeight="1">
      <c r="B646" s="85"/>
      <c r="K646" s="33"/>
    </row>
    <row r="647" spans="2:11" ht="15.75" customHeight="1">
      <c r="B647" s="85"/>
      <c r="K647" s="33"/>
    </row>
    <row r="648" spans="2:11" ht="15.75" customHeight="1">
      <c r="B648" s="85"/>
      <c r="K648" s="33"/>
    </row>
    <row r="649" spans="2:11" ht="15.75" customHeight="1">
      <c r="B649" s="85"/>
      <c r="K649" s="33"/>
    </row>
    <row r="650" spans="2:11" ht="15.75" customHeight="1">
      <c r="B650" s="85"/>
      <c r="K650" s="33"/>
    </row>
    <row r="651" spans="2:11" ht="15.75" customHeight="1">
      <c r="B651" s="85"/>
      <c r="K651" s="33"/>
    </row>
    <row r="652" spans="2:11" ht="15.75" customHeight="1">
      <c r="B652" s="85"/>
      <c r="K652" s="33"/>
    </row>
    <row r="653" spans="2:11" ht="15.75" customHeight="1">
      <c r="B653" s="85"/>
      <c r="K653" s="33"/>
    </row>
    <row r="654" spans="2:11" ht="15.75" customHeight="1">
      <c r="B654" s="85"/>
      <c r="K654" s="33"/>
    </row>
    <row r="655" spans="2:11" ht="15.75" customHeight="1">
      <c r="B655" s="85"/>
      <c r="K655" s="33"/>
    </row>
    <row r="656" spans="2:11" ht="15.75" customHeight="1">
      <c r="B656" s="85"/>
      <c r="K656" s="33"/>
    </row>
    <row r="657" spans="2:11" ht="15.75" customHeight="1">
      <c r="B657" s="85"/>
      <c r="K657" s="33"/>
    </row>
    <row r="658" spans="2:11" ht="15.75" customHeight="1">
      <c r="B658" s="85"/>
      <c r="K658" s="33"/>
    </row>
    <row r="659" spans="2:11" ht="15.75" customHeight="1">
      <c r="B659" s="85"/>
      <c r="K659" s="33"/>
    </row>
    <row r="660" spans="2:11" ht="15.75" customHeight="1">
      <c r="B660" s="85"/>
      <c r="K660" s="33"/>
    </row>
    <row r="661" spans="2:11" ht="15.75" customHeight="1">
      <c r="B661" s="85"/>
      <c r="K661" s="33"/>
    </row>
    <row r="662" spans="2:11" ht="15.75" customHeight="1">
      <c r="B662" s="85"/>
      <c r="K662" s="33"/>
    </row>
    <row r="663" spans="2:11" ht="15.75" customHeight="1">
      <c r="B663" s="85"/>
      <c r="K663" s="33"/>
    </row>
    <row r="664" spans="2:11" ht="15.75" customHeight="1">
      <c r="B664" s="85"/>
      <c r="K664" s="33"/>
    </row>
    <row r="665" spans="2:11" ht="15.75" customHeight="1">
      <c r="B665" s="85"/>
      <c r="K665" s="33"/>
    </row>
    <row r="666" spans="2:11" ht="15.75" customHeight="1">
      <c r="B666" s="85"/>
      <c r="K666" s="33"/>
    </row>
    <row r="667" spans="2:11" ht="15.75" customHeight="1">
      <c r="B667" s="85"/>
      <c r="K667" s="33"/>
    </row>
    <row r="668" spans="2:11" ht="15.75" customHeight="1">
      <c r="B668" s="85"/>
      <c r="K668" s="33"/>
    </row>
    <row r="669" spans="2:11" ht="15.75" customHeight="1">
      <c r="B669" s="85"/>
      <c r="K669" s="33"/>
    </row>
    <row r="670" spans="2:11" ht="15.75" customHeight="1">
      <c r="B670" s="85"/>
      <c r="K670" s="33"/>
    </row>
    <row r="671" spans="2:11" ht="15.75" customHeight="1">
      <c r="B671" s="85"/>
      <c r="K671" s="33"/>
    </row>
    <row r="672" spans="2:11" ht="15.75" customHeight="1">
      <c r="B672" s="85"/>
      <c r="K672" s="33"/>
    </row>
    <row r="673" spans="2:11" ht="15.75" customHeight="1">
      <c r="B673" s="85"/>
      <c r="K673" s="33"/>
    </row>
    <row r="674" spans="2:11" ht="15.75" customHeight="1">
      <c r="B674" s="85"/>
      <c r="K674" s="33"/>
    </row>
    <row r="675" spans="2:11" ht="15.75" customHeight="1">
      <c r="B675" s="85"/>
      <c r="K675" s="33"/>
    </row>
    <row r="676" spans="2:11" ht="15.75" customHeight="1">
      <c r="B676" s="85"/>
      <c r="K676" s="33"/>
    </row>
    <row r="677" spans="2:11" ht="15.75" customHeight="1">
      <c r="B677" s="85"/>
      <c r="K677" s="33"/>
    </row>
    <row r="678" spans="2:11" ht="15.75" customHeight="1">
      <c r="B678" s="85"/>
      <c r="K678" s="33"/>
    </row>
    <row r="679" spans="2:11" ht="15.75" customHeight="1">
      <c r="B679" s="85"/>
      <c r="K679" s="33"/>
    </row>
    <row r="680" spans="2:11" ht="15.75" customHeight="1">
      <c r="B680" s="85"/>
      <c r="K680" s="33"/>
    </row>
    <row r="681" spans="2:11" ht="15.75" customHeight="1">
      <c r="B681" s="85"/>
      <c r="K681" s="33"/>
    </row>
    <row r="682" spans="2:11" ht="15.75" customHeight="1">
      <c r="B682" s="85"/>
      <c r="K682" s="33"/>
    </row>
    <row r="683" spans="2:11" ht="15.75" customHeight="1">
      <c r="B683" s="85"/>
      <c r="K683" s="33"/>
    </row>
    <row r="684" spans="2:11" ht="15.75" customHeight="1">
      <c r="B684" s="85"/>
      <c r="K684" s="33"/>
    </row>
    <row r="685" spans="2:11" ht="15.75" customHeight="1">
      <c r="B685" s="85"/>
      <c r="K685" s="33"/>
    </row>
    <row r="686" spans="2:11" ht="15.75" customHeight="1">
      <c r="B686" s="85"/>
      <c r="K686" s="33"/>
    </row>
    <row r="687" spans="2:11" ht="15.75" customHeight="1">
      <c r="B687" s="85"/>
      <c r="K687" s="33"/>
    </row>
    <row r="688" spans="2:11" ht="15.75" customHeight="1">
      <c r="B688" s="85"/>
      <c r="K688" s="33"/>
    </row>
    <row r="689" spans="2:11" ht="15.75" customHeight="1">
      <c r="B689" s="85"/>
      <c r="K689" s="33"/>
    </row>
    <row r="690" spans="2:11" ht="15.75" customHeight="1">
      <c r="B690" s="85"/>
      <c r="K690" s="33"/>
    </row>
    <row r="691" spans="2:11" ht="15.75" customHeight="1">
      <c r="B691" s="85"/>
      <c r="K691" s="33"/>
    </row>
    <row r="692" spans="2:11" ht="15.75" customHeight="1">
      <c r="B692" s="85"/>
      <c r="K692" s="33"/>
    </row>
    <row r="693" spans="2:11" ht="15.75" customHeight="1">
      <c r="B693" s="85"/>
      <c r="K693" s="33"/>
    </row>
    <row r="694" spans="2:11" ht="15.75" customHeight="1">
      <c r="B694" s="85"/>
      <c r="K694" s="33"/>
    </row>
    <row r="695" spans="2:11" ht="15.75" customHeight="1">
      <c r="B695" s="85"/>
      <c r="K695" s="33"/>
    </row>
    <row r="696" spans="2:11" ht="15.75" customHeight="1">
      <c r="B696" s="85"/>
      <c r="K696" s="33"/>
    </row>
    <row r="697" spans="2:11" ht="15.75" customHeight="1">
      <c r="B697" s="85"/>
      <c r="K697" s="33"/>
    </row>
    <row r="698" spans="2:11" ht="15.75" customHeight="1">
      <c r="B698" s="85"/>
      <c r="K698" s="33"/>
    </row>
    <row r="699" spans="2:11" ht="15.75" customHeight="1">
      <c r="B699" s="85"/>
      <c r="K699" s="33"/>
    </row>
    <row r="700" spans="2:11" ht="15.75" customHeight="1">
      <c r="B700" s="85"/>
      <c r="K700" s="33"/>
    </row>
    <row r="701" spans="2:11" ht="15.75" customHeight="1">
      <c r="B701" s="85"/>
      <c r="K701" s="33"/>
    </row>
    <row r="702" spans="2:11" ht="15.75" customHeight="1">
      <c r="B702" s="85"/>
      <c r="K702" s="33"/>
    </row>
    <row r="703" spans="2:11" ht="15.75" customHeight="1">
      <c r="B703" s="85"/>
      <c r="K703" s="33"/>
    </row>
    <row r="704" spans="2:11" ht="15.75" customHeight="1">
      <c r="B704" s="85"/>
      <c r="K704" s="33"/>
    </row>
    <row r="705" spans="2:11" ht="15.75" customHeight="1">
      <c r="B705" s="85"/>
      <c r="K705" s="33"/>
    </row>
    <row r="706" spans="2:11" ht="15.75" customHeight="1">
      <c r="B706" s="85"/>
      <c r="K706" s="33"/>
    </row>
    <row r="707" spans="2:11" ht="15.75" customHeight="1">
      <c r="B707" s="85"/>
      <c r="K707" s="33"/>
    </row>
    <row r="708" spans="2:11" ht="15.75" customHeight="1">
      <c r="B708" s="85"/>
      <c r="K708" s="33"/>
    </row>
    <row r="709" spans="2:11" ht="15.75" customHeight="1">
      <c r="B709" s="85"/>
      <c r="K709" s="33"/>
    </row>
    <row r="710" spans="2:11" ht="15.75" customHeight="1">
      <c r="B710" s="85"/>
      <c r="K710" s="33"/>
    </row>
    <row r="711" spans="2:11" ht="15.75" customHeight="1">
      <c r="B711" s="85"/>
      <c r="K711" s="33"/>
    </row>
    <row r="712" spans="2:11" ht="15.75" customHeight="1">
      <c r="B712" s="85"/>
      <c r="K712" s="33"/>
    </row>
    <row r="713" spans="2:11" ht="15.75" customHeight="1">
      <c r="B713" s="85"/>
      <c r="K713" s="33"/>
    </row>
    <row r="714" spans="2:11" ht="15.75" customHeight="1">
      <c r="B714" s="85"/>
      <c r="K714" s="33"/>
    </row>
    <row r="715" spans="2:11" ht="15.75" customHeight="1">
      <c r="B715" s="85"/>
      <c r="K715" s="33"/>
    </row>
    <row r="716" spans="2:11" ht="15.75" customHeight="1">
      <c r="B716" s="85"/>
      <c r="K716" s="33"/>
    </row>
    <row r="717" spans="2:11" ht="15.75" customHeight="1">
      <c r="B717" s="85"/>
      <c r="K717" s="33"/>
    </row>
    <row r="718" spans="2:11" ht="15.75" customHeight="1">
      <c r="B718" s="85"/>
      <c r="K718" s="33"/>
    </row>
    <row r="719" spans="2:11" ht="15.75" customHeight="1">
      <c r="B719" s="85"/>
      <c r="K719" s="33"/>
    </row>
    <row r="720" spans="2:11" ht="15.75" customHeight="1">
      <c r="B720" s="85"/>
      <c r="K720" s="33"/>
    </row>
    <row r="721" spans="2:11" ht="15.75" customHeight="1">
      <c r="B721" s="85"/>
      <c r="K721" s="33"/>
    </row>
    <row r="722" spans="2:11" ht="15.75" customHeight="1">
      <c r="B722" s="85"/>
      <c r="K722" s="33"/>
    </row>
    <row r="723" spans="2:11" ht="15.75" customHeight="1">
      <c r="B723" s="85"/>
      <c r="K723" s="33"/>
    </row>
    <row r="724" spans="2:11" ht="15.75" customHeight="1">
      <c r="B724" s="85"/>
      <c r="K724" s="33"/>
    </row>
    <row r="725" spans="2:11" ht="15.75" customHeight="1">
      <c r="B725" s="85"/>
      <c r="K725" s="33"/>
    </row>
    <row r="726" spans="2:11" ht="15.75" customHeight="1">
      <c r="B726" s="85"/>
      <c r="K726" s="33"/>
    </row>
    <row r="727" spans="2:11" ht="15.75" customHeight="1">
      <c r="B727" s="85"/>
      <c r="K727" s="33"/>
    </row>
    <row r="728" spans="2:11" ht="15.75" customHeight="1">
      <c r="B728" s="85"/>
      <c r="K728" s="33"/>
    </row>
    <row r="729" spans="2:11" ht="15.75" customHeight="1">
      <c r="B729" s="85"/>
      <c r="K729" s="33"/>
    </row>
    <row r="730" spans="2:11" ht="15.75" customHeight="1">
      <c r="B730" s="85"/>
      <c r="K730" s="33"/>
    </row>
    <row r="731" spans="2:11" ht="15.75" customHeight="1">
      <c r="B731" s="85"/>
      <c r="K731" s="33"/>
    </row>
    <row r="732" spans="2:11" ht="15.75" customHeight="1">
      <c r="B732" s="85"/>
      <c r="K732" s="33"/>
    </row>
    <row r="733" spans="2:11" ht="15.75" customHeight="1">
      <c r="B733" s="85"/>
      <c r="K733" s="33"/>
    </row>
    <row r="734" spans="2:11" ht="15.75" customHeight="1">
      <c r="B734" s="85"/>
      <c r="K734" s="33"/>
    </row>
    <row r="735" spans="2:11" ht="15.75" customHeight="1">
      <c r="B735" s="85"/>
      <c r="K735" s="33"/>
    </row>
    <row r="736" spans="2:11" ht="15.75" customHeight="1">
      <c r="B736" s="85"/>
      <c r="K736" s="33"/>
    </row>
    <row r="737" spans="2:11" ht="15.75" customHeight="1">
      <c r="B737" s="85"/>
      <c r="K737" s="33"/>
    </row>
    <row r="738" spans="2:11" ht="15.75" customHeight="1">
      <c r="B738" s="85"/>
      <c r="K738" s="33"/>
    </row>
    <row r="739" spans="2:11" ht="15.75" customHeight="1">
      <c r="B739" s="85"/>
      <c r="K739" s="33"/>
    </row>
    <row r="740" spans="2:11" ht="15.75" customHeight="1">
      <c r="B740" s="85"/>
      <c r="K740" s="33"/>
    </row>
    <row r="741" spans="2:11" ht="15.75" customHeight="1">
      <c r="B741" s="85"/>
      <c r="K741" s="33"/>
    </row>
    <row r="742" spans="2:11" ht="15.75" customHeight="1">
      <c r="B742" s="85"/>
      <c r="K742" s="33"/>
    </row>
    <row r="743" spans="2:11" ht="15.75" customHeight="1">
      <c r="B743" s="85"/>
      <c r="K743" s="33"/>
    </row>
    <row r="744" spans="2:11" ht="15.75" customHeight="1">
      <c r="B744" s="85"/>
      <c r="K744" s="33"/>
    </row>
    <row r="745" spans="2:11" ht="15.75" customHeight="1">
      <c r="B745" s="85"/>
      <c r="K745" s="33"/>
    </row>
    <row r="746" spans="2:11" ht="15.75" customHeight="1">
      <c r="B746" s="85"/>
      <c r="K746" s="33"/>
    </row>
    <row r="747" spans="2:11" ht="15.75" customHeight="1">
      <c r="B747" s="85"/>
      <c r="K747" s="33"/>
    </row>
    <row r="748" spans="2:11" ht="15.75" customHeight="1">
      <c r="B748" s="85"/>
      <c r="K748" s="33"/>
    </row>
    <row r="749" spans="2:11" ht="15.75" customHeight="1">
      <c r="B749" s="85"/>
      <c r="K749" s="33"/>
    </row>
    <row r="750" spans="2:11" ht="15.75" customHeight="1">
      <c r="B750" s="85"/>
      <c r="K750" s="33"/>
    </row>
    <row r="751" spans="2:11" ht="15.75" customHeight="1">
      <c r="B751" s="85"/>
      <c r="K751" s="33"/>
    </row>
    <row r="752" spans="2:11" ht="15.75" customHeight="1">
      <c r="B752" s="85"/>
      <c r="K752" s="33"/>
    </row>
    <row r="753" spans="2:11" ht="15.75" customHeight="1">
      <c r="B753" s="85"/>
      <c r="K753" s="33"/>
    </row>
    <row r="754" spans="2:11" ht="15.75" customHeight="1">
      <c r="B754" s="85"/>
      <c r="K754" s="33"/>
    </row>
    <row r="755" spans="2:11" ht="15.75" customHeight="1">
      <c r="B755" s="85"/>
      <c r="K755" s="33"/>
    </row>
    <row r="756" spans="2:11" ht="15.75" customHeight="1">
      <c r="B756" s="85"/>
      <c r="K756" s="33"/>
    </row>
    <row r="757" spans="2:11" ht="15.75" customHeight="1">
      <c r="B757" s="85"/>
      <c r="K757" s="33"/>
    </row>
    <row r="758" spans="2:11" ht="15.75" customHeight="1">
      <c r="B758" s="85"/>
      <c r="K758" s="33"/>
    </row>
    <row r="759" spans="2:11" ht="15.75" customHeight="1">
      <c r="B759" s="85"/>
      <c r="K759" s="33"/>
    </row>
    <row r="760" spans="2:11" ht="15.75" customHeight="1">
      <c r="B760" s="85"/>
      <c r="K760" s="33"/>
    </row>
    <row r="761" spans="2:11" ht="15.75" customHeight="1">
      <c r="B761" s="85"/>
      <c r="K761" s="33"/>
    </row>
    <row r="762" spans="2:11" ht="15.75" customHeight="1">
      <c r="B762" s="85"/>
      <c r="K762" s="33"/>
    </row>
    <row r="763" spans="2:11" ht="15.75" customHeight="1">
      <c r="B763" s="85"/>
      <c r="K763" s="33"/>
    </row>
    <row r="764" spans="2:11" ht="15.75" customHeight="1">
      <c r="B764" s="85"/>
      <c r="K764" s="33"/>
    </row>
    <row r="765" spans="2:11" ht="15.75" customHeight="1">
      <c r="B765" s="85"/>
      <c r="K765" s="33"/>
    </row>
    <row r="766" spans="2:11" ht="15.75" customHeight="1">
      <c r="B766" s="85"/>
      <c r="K766" s="33"/>
    </row>
    <row r="767" spans="2:11" ht="15.75" customHeight="1">
      <c r="B767" s="85"/>
      <c r="K767" s="33"/>
    </row>
    <row r="768" spans="2:11" ht="15.75" customHeight="1">
      <c r="B768" s="85"/>
      <c r="K768" s="33"/>
    </row>
    <row r="769" spans="2:11" ht="15.75" customHeight="1">
      <c r="B769" s="85"/>
      <c r="K769" s="33"/>
    </row>
    <row r="770" spans="2:11" ht="15.75" customHeight="1">
      <c r="B770" s="85"/>
      <c r="K770" s="33"/>
    </row>
    <row r="771" spans="2:11" ht="15.75" customHeight="1">
      <c r="B771" s="85"/>
      <c r="K771" s="33"/>
    </row>
    <row r="772" spans="2:11" ht="15.75" customHeight="1">
      <c r="B772" s="85"/>
      <c r="K772" s="33"/>
    </row>
    <row r="773" spans="2:11" ht="15.75" customHeight="1">
      <c r="B773" s="85"/>
      <c r="K773" s="33"/>
    </row>
    <row r="774" spans="2:11" ht="15.75" customHeight="1">
      <c r="B774" s="85"/>
      <c r="K774" s="33"/>
    </row>
    <row r="775" spans="2:11" ht="15.75" customHeight="1">
      <c r="B775" s="85"/>
      <c r="K775" s="33"/>
    </row>
    <row r="776" spans="2:11" ht="15.75" customHeight="1">
      <c r="B776" s="85"/>
      <c r="K776" s="33"/>
    </row>
    <row r="777" spans="2:11" ht="15.75" customHeight="1">
      <c r="B777" s="85"/>
      <c r="K777" s="33"/>
    </row>
    <row r="778" spans="2:11" ht="15.75" customHeight="1">
      <c r="B778" s="85"/>
      <c r="K778" s="33"/>
    </row>
    <row r="779" spans="2:11" ht="15.75" customHeight="1">
      <c r="B779" s="85"/>
      <c r="K779" s="33"/>
    </row>
    <row r="780" spans="2:11" ht="15.75" customHeight="1">
      <c r="B780" s="85"/>
      <c r="K780" s="33"/>
    </row>
    <row r="781" spans="2:11" ht="15.75" customHeight="1">
      <c r="B781" s="85"/>
      <c r="K781" s="33"/>
    </row>
    <row r="782" spans="2:11" ht="15.75" customHeight="1">
      <c r="B782" s="85"/>
      <c r="K782" s="33"/>
    </row>
    <row r="783" spans="2:11" ht="15.75" customHeight="1">
      <c r="B783" s="85"/>
      <c r="K783" s="33"/>
    </row>
    <row r="784" spans="2:11" ht="15.75" customHeight="1">
      <c r="B784" s="85"/>
      <c r="K784" s="33"/>
    </row>
    <row r="785" spans="2:11" ht="15.75" customHeight="1">
      <c r="B785" s="85"/>
      <c r="K785" s="33"/>
    </row>
    <row r="786" spans="2:11" ht="15.75" customHeight="1">
      <c r="B786" s="85"/>
      <c r="K786" s="33"/>
    </row>
    <row r="787" spans="2:11" ht="15.75" customHeight="1">
      <c r="B787" s="85"/>
      <c r="K787" s="33"/>
    </row>
    <row r="788" spans="2:11" ht="15.75" customHeight="1">
      <c r="B788" s="85"/>
      <c r="K788" s="33"/>
    </row>
    <row r="789" spans="2:11" ht="15.75" customHeight="1">
      <c r="B789" s="85"/>
      <c r="K789" s="33"/>
    </row>
    <row r="790" spans="2:11" ht="15.75" customHeight="1">
      <c r="B790" s="85"/>
      <c r="K790" s="33"/>
    </row>
    <row r="791" spans="2:11" ht="15.75" customHeight="1">
      <c r="B791" s="85"/>
      <c r="K791" s="33"/>
    </row>
    <row r="792" spans="2:11" ht="15.75" customHeight="1">
      <c r="B792" s="85"/>
      <c r="K792" s="33"/>
    </row>
    <row r="793" spans="2:11" ht="15.75" customHeight="1">
      <c r="B793" s="85"/>
      <c r="K793" s="33"/>
    </row>
    <row r="794" spans="2:11" ht="15.75" customHeight="1">
      <c r="B794" s="85"/>
      <c r="K794" s="33"/>
    </row>
    <row r="795" spans="2:11" ht="15.75" customHeight="1">
      <c r="B795" s="85"/>
      <c r="K795" s="33"/>
    </row>
    <row r="796" spans="2:11" ht="15.75" customHeight="1">
      <c r="B796" s="85"/>
      <c r="K796" s="33"/>
    </row>
    <row r="797" spans="2:11" ht="15.75" customHeight="1">
      <c r="B797" s="85"/>
      <c r="K797" s="33"/>
    </row>
    <row r="798" spans="2:11" ht="15.75" customHeight="1">
      <c r="B798" s="85"/>
      <c r="K798" s="33"/>
    </row>
    <row r="799" spans="2:11" ht="15.75" customHeight="1">
      <c r="B799" s="85"/>
      <c r="K799" s="33"/>
    </row>
    <row r="800" spans="2:11" ht="15.75" customHeight="1">
      <c r="B800" s="85"/>
      <c r="K800" s="33"/>
    </row>
    <row r="801" spans="2:11" ht="15.75" customHeight="1">
      <c r="B801" s="85"/>
      <c r="K801" s="33"/>
    </row>
    <row r="802" spans="2:11" ht="15.75" customHeight="1">
      <c r="B802" s="85"/>
      <c r="K802" s="33"/>
    </row>
    <row r="803" spans="2:11" ht="15.75" customHeight="1">
      <c r="B803" s="85"/>
      <c r="K803" s="33"/>
    </row>
    <row r="804" spans="2:11" ht="15.75" customHeight="1">
      <c r="B804" s="85"/>
      <c r="K804" s="33"/>
    </row>
    <row r="805" spans="2:11" ht="15.75" customHeight="1">
      <c r="B805" s="85"/>
      <c r="K805" s="33"/>
    </row>
    <row r="806" spans="2:11" ht="15.75" customHeight="1">
      <c r="B806" s="85"/>
      <c r="K806" s="33"/>
    </row>
    <row r="807" spans="2:11" ht="15.75" customHeight="1">
      <c r="B807" s="85"/>
      <c r="K807" s="33"/>
    </row>
    <row r="808" spans="2:11" ht="15.75" customHeight="1">
      <c r="B808" s="85"/>
      <c r="K808" s="33"/>
    </row>
    <row r="809" spans="2:11" ht="15.75" customHeight="1">
      <c r="B809" s="85"/>
      <c r="K809" s="33"/>
    </row>
    <row r="810" spans="2:11" ht="15.75" customHeight="1">
      <c r="B810" s="85"/>
      <c r="K810" s="33"/>
    </row>
    <row r="811" spans="2:11" ht="15.75" customHeight="1">
      <c r="B811" s="85"/>
      <c r="K811" s="33"/>
    </row>
    <row r="812" spans="2:11" ht="15.75" customHeight="1">
      <c r="B812" s="85"/>
      <c r="K812" s="33"/>
    </row>
    <row r="813" spans="2:11" ht="15.75" customHeight="1">
      <c r="B813" s="85"/>
      <c r="K813" s="33"/>
    </row>
    <row r="814" spans="2:11" ht="15.75" customHeight="1">
      <c r="B814" s="85"/>
      <c r="K814" s="33"/>
    </row>
    <row r="815" spans="2:11" ht="15.75" customHeight="1">
      <c r="B815" s="85"/>
      <c r="K815" s="33"/>
    </row>
    <row r="816" spans="2:11" ht="15.75" customHeight="1">
      <c r="B816" s="85"/>
      <c r="K816" s="33"/>
    </row>
    <row r="817" spans="2:11" ht="15.75" customHeight="1">
      <c r="B817" s="85"/>
      <c r="K817" s="33"/>
    </row>
    <row r="818" spans="2:11" ht="15.75" customHeight="1">
      <c r="B818" s="85"/>
      <c r="K818" s="33"/>
    </row>
    <row r="819" spans="2:11" ht="15.75" customHeight="1">
      <c r="B819" s="85"/>
      <c r="K819" s="33"/>
    </row>
    <row r="820" spans="2:11" ht="15.75" customHeight="1">
      <c r="B820" s="85"/>
      <c r="K820" s="33"/>
    </row>
    <row r="821" spans="2:11" ht="15.75" customHeight="1">
      <c r="B821" s="85"/>
      <c r="K821" s="33"/>
    </row>
    <row r="822" spans="2:11" ht="15.75" customHeight="1">
      <c r="B822" s="85"/>
      <c r="K822" s="33"/>
    </row>
    <row r="823" spans="2:11" ht="15.75" customHeight="1">
      <c r="B823" s="85"/>
      <c r="K823" s="33"/>
    </row>
    <row r="824" spans="2:11" ht="15.75" customHeight="1">
      <c r="B824" s="85"/>
      <c r="K824" s="33"/>
    </row>
    <row r="825" spans="2:11" ht="15.75" customHeight="1">
      <c r="B825" s="85"/>
      <c r="K825" s="33"/>
    </row>
    <row r="826" spans="2:11" ht="15.75" customHeight="1">
      <c r="B826" s="85"/>
      <c r="K826" s="33"/>
    </row>
    <row r="827" spans="2:11" ht="15.75" customHeight="1">
      <c r="B827" s="85"/>
      <c r="K827" s="33"/>
    </row>
    <row r="828" spans="2:11" ht="15.75" customHeight="1">
      <c r="B828" s="85"/>
      <c r="K828" s="33"/>
    </row>
    <row r="829" spans="2:11" ht="15.75" customHeight="1">
      <c r="B829" s="85"/>
      <c r="K829" s="33"/>
    </row>
    <row r="830" spans="2:11" ht="15.75" customHeight="1">
      <c r="B830" s="85"/>
      <c r="K830" s="33"/>
    </row>
    <row r="831" spans="2:11" ht="15.75" customHeight="1">
      <c r="B831" s="85"/>
      <c r="K831" s="33"/>
    </row>
    <row r="832" spans="2:11" ht="15.75" customHeight="1">
      <c r="B832" s="85"/>
      <c r="K832" s="33"/>
    </row>
    <row r="833" spans="2:11" ht="15.75" customHeight="1">
      <c r="B833" s="85"/>
      <c r="K833" s="33"/>
    </row>
    <row r="834" spans="2:11" ht="15.75" customHeight="1">
      <c r="B834" s="85"/>
      <c r="K834" s="33"/>
    </row>
    <row r="835" spans="2:11" ht="15.75" customHeight="1">
      <c r="B835" s="85"/>
      <c r="K835" s="33"/>
    </row>
    <row r="836" spans="2:11" ht="15.75" customHeight="1">
      <c r="B836" s="85"/>
      <c r="K836" s="33"/>
    </row>
    <row r="837" spans="2:11" ht="15.75" customHeight="1">
      <c r="B837" s="85"/>
      <c r="K837" s="33"/>
    </row>
    <row r="838" spans="2:11" ht="15.75" customHeight="1">
      <c r="B838" s="85"/>
      <c r="K838" s="33"/>
    </row>
    <row r="839" spans="2:11" ht="15.75" customHeight="1">
      <c r="B839" s="85"/>
      <c r="K839" s="33"/>
    </row>
    <row r="840" spans="2:11" ht="15.75" customHeight="1">
      <c r="B840" s="85"/>
      <c r="K840" s="33"/>
    </row>
    <row r="841" spans="2:11" ht="15.75" customHeight="1">
      <c r="B841" s="85"/>
      <c r="K841" s="33"/>
    </row>
    <row r="842" spans="2:11" ht="15.75" customHeight="1">
      <c r="B842" s="85"/>
      <c r="K842" s="33"/>
    </row>
    <row r="843" spans="2:11" ht="15.75" customHeight="1">
      <c r="B843" s="85"/>
      <c r="K843" s="33"/>
    </row>
    <row r="844" spans="2:11" ht="15.75" customHeight="1">
      <c r="B844" s="85"/>
      <c r="K844" s="33"/>
    </row>
    <row r="845" spans="2:11" ht="15.75" customHeight="1">
      <c r="B845" s="85"/>
      <c r="K845" s="33"/>
    </row>
    <row r="846" spans="2:11" ht="15.75" customHeight="1">
      <c r="B846" s="85"/>
      <c r="K846" s="33"/>
    </row>
    <row r="847" spans="2:11" ht="15.75" customHeight="1">
      <c r="B847" s="85"/>
      <c r="K847" s="33"/>
    </row>
    <row r="848" spans="2:11" ht="15.75" customHeight="1">
      <c r="B848" s="85"/>
      <c r="K848" s="33"/>
    </row>
    <row r="849" spans="2:11" ht="15.75" customHeight="1">
      <c r="B849" s="85"/>
      <c r="K849" s="33"/>
    </row>
    <row r="850" spans="2:11" ht="15.75" customHeight="1">
      <c r="B850" s="85"/>
      <c r="K850" s="33"/>
    </row>
    <row r="851" spans="2:11" ht="15.75" customHeight="1">
      <c r="B851" s="85"/>
      <c r="K851" s="33"/>
    </row>
    <row r="852" spans="2:11" ht="15.75" customHeight="1">
      <c r="B852" s="85"/>
      <c r="K852" s="33"/>
    </row>
    <row r="853" spans="2:11" ht="15.75" customHeight="1">
      <c r="B853" s="85"/>
      <c r="K853" s="33"/>
    </row>
    <row r="854" spans="2:11" ht="15.75" customHeight="1">
      <c r="B854" s="85"/>
      <c r="K854" s="33"/>
    </row>
    <row r="855" spans="2:11" ht="15.75" customHeight="1">
      <c r="B855" s="85"/>
      <c r="K855" s="33"/>
    </row>
    <row r="856" spans="2:11" ht="15.75" customHeight="1">
      <c r="B856" s="85"/>
      <c r="K856" s="33"/>
    </row>
    <row r="857" spans="2:11" ht="15.75" customHeight="1">
      <c r="B857" s="85"/>
      <c r="K857" s="33"/>
    </row>
    <row r="858" spans="2:11" ht="15.75" customHeight="1">
      <c r="B858" s="85"/>
      <c r="K858" s="33"/>
    </row>
    <row r="859" spans="2:11" ht="15.75" customHeight="1">
      <c r="B859" s="85"/>
      <c r="K859" s="33"/>
    </row>
    <row r="860" spans="2:11" ht="15.75" customHeight="1">
      <c r="B860" s="85"/>
      <c r="K860" s="33"/>
    </row>
    <row r="861" spans="2:11" ht="15.75" customHeight="1">
      <c r="B861" s="85"/>
      <c r="K861" s="33"/>
    </row>
    <row r="862" spans="2:11" ht="15.75" customHeight="1">
      <c r="B862" s="85"/>
      <c r="K862" s="33"/>
    </row>
    <row r="863" spans="2:11" ht="15.75" customHeight="1">
      <c r="B863" s="85"/>
      <c r="K863" s="33"/>
    </row>
    <row r="864" spans="2:11" ht="15.75" customHeight="1">
      <c r="B864" s="85"/>
      <c r="K864" s="33"/>
    </row>
    <row r="865" spans="2:11" ht="15.75" customHeight="1">
      <c r="B865" s="85"/>
      <c r="K865" s="33"/>
    </row>
    <row r="866" spans="2:11" ht="15.75" customHeight="1">
      <c r="B866" s="85"/>
      <c r="K866" s="33"/>
    </row>
    <row r="867" spans="2:11" ht="15.75" customHeight="1">
      <c r="B867" s="85"/>
      <c r="K867" s="33"/>
    </row>
    <row r="868" spans="2:11" ht="15.75" customHeight="1">
      <c r="B868" s="85"/>
      <c r="K868" s="33"/>
    </row>
    <row r="869" spans="2:11" ht="15.75" customHeight="1">
      <c r="B869" s="85"/>
      <c r="K869" s="33"/>
    </row>
    <row r="870" spans="2:11" ht="15.75" customHeight="1">
      <c r="B870" s="85"/>
      <c r="K870" s="33"/>
    </row>
    <row r="871" spans="2:11" ht="15.75" customHeight="1">
      <c r="B871" s="85"/>
      <c r="K871" s="33"/>
    </row>
    <row r="872" spans="2:11" ht="15.75" customHeight="1">
      <c r="B872" s="85"/>
      <c r="K872" s="33"/>
    </row>
    <row r="873" spans="2:11" ht="15.75" customHeight="1">
      <c r="B873" s="85"/>
      <c r="K873" s="33"/>
    </row>
    <row r="874" spans="2:11" ht="15.75" customHeight="1">
      <c r="B874" s="85"/>
      <c r="K874" s="33"/>
    </row>
    <row r="875" spans="2:11" ht="15.75" customHeight="1">
      <c r="B875" s="85"/>
      <c r="K875" s="33"/>
    </row>
    <row r="876" spans="2:11" ht="15.75" customHeight="1">
      <c r="B876" s="85"/>
      <c r="K876" s="33"/>
    </row>
    <row r="877" spans="2:11" ht="15.75" customHeight="1">
      <c r="B877" s="85"/>
      <c r="K877" s="33"/>
    </row>
    <row r="878" spans="2:11" ht="15.75" customHeight="1">
      <c r="B878" s="85"/>
      <c r="K878" s="33"/>
    </row>
    <row r="879" spans="2:11" ht="15.75" customHeight="1">
      <c r="B879" s="85"/>
      <c r="K879" s="33"/>
    </row>
    <row r="880" spans="2:11" ht="15.75" customHeight="1">
      <c r="B880" s="85"/>
      <c r="K880" s="33"/>
    </row>
    <row r="881" spans="2:11" ht="15.75" customHeight="1">
      <c r="B881" s="85"/>
      <c r="K881" s="33"/>
    </row>
    <row r="882" spans="2:11" ht="15.75" customHeight="1">
      <c r="B882" s="85"/>
      <c r="K882" s="33"/>
    </row>
    <row r="883" spans="2:11" ht="15.75" customHeight="1">
      <c r="B883" s="85"/>
      <c r="K883" s="33"/>
    </row>
    <row r="884" spans="2:11" ht="15.75" customHeight="1">
      <c r="B884" s="85"/>
      <c r="K884" s="33"/>
    </row>
    <row r="885" spans="2:11" ht="15.75" customHeight="1">
      <c r="B885" s="85"/>
      <c r="K885" s="33"/>
    </row>
    <row r="886" spans="2:11" ht="15.75" customHeight="1">
      <c r="B886" s="85"/>
      <c r="K886" s="33"/>
    </row>
    <row r="887" spans="2:11" ht="15.75" customHeight="1">
      <c r="B887" s="85"/>
      <c r="K887" s="33"/>
    </row>
    <row r="888" spans="2:11" ht="15.75" customHeight="1">
      <c r="B888" s="85"/>
      <c r="K888" s="33"/>
    </row>
    <row r="889" spans="2:11" ht="15.75" customHeight="1">
      <c r="B889" s="85"/>
      <c r="K889" s="33"/>
    </row>
    <row r="890" spans="2:11" ht="15.75" customHeight="1">
      <c r="B890" s="85"/>
      <c r="K890" s="33"/>
    </row>
    <row r="891" spans="2:11" ht="15.75" customHeight="1">
      <c r="B891" s="85"/>
      <c r="K891" s="33"/>
    </row>
    <row r="892" spans="2:11" ht="15.75" customHeight="1">
      <c r="B892" s="85"/>
      <c r="K892" s="33"/>
    </row>
    <row r="893" spans="2:11" ht="15.75" customHeight="1">
      <c r="B893" s="85"/>
      <c r="K893" s="33"/>
    </row>
    <row r="894" spans="2:11" ht="15.75" customHeight="1">
      <c r="B894" s="85"/>
      <c r="K894" s="33"/>
    </row>
    <row r="895" spans="2:11" ht="15.75" customHeight="1">
      <c r="B895" s="85"/>
      <c r="K895" s="33"/>
    </row>
    <row r="896" spans="2:11" ht="15.75" customHeight="1">
      <c r="B896" s="85"/>
      <c r="K896" s="33"/>
    </row>
    <row r="897" spans="2:11" ht="15.75" customHeight="1">
      <c r="B897" s="85"/>
      <c r="K897" s="33"/>
    </row>
    <row r="898" spans="2:11" ht="15.75" customHeight="1">
      <c r="B898" s="85"/>
      <c r="K898" s="33"/>
    </row>
    <row r="899" spans="2:11" ht="15.75" customHeight="1">
      <c r="B899" s="85"/>
      <c r="K899" s="33"/>
    </row>
    <row r="900" spans="2:11" ht="15.75" customHeight="1">
      <c r="B900" s="85"/>
      <c r="K900" s="33"/>
    </row>
    <row r="901" spans="2:11" ht="15.75" customHeight="1">
      <c r="B901" s="85"/>
      <c r="K901" s="33"/>
    </row>
    <row r="902" spans="2:11" ht="15.75" customHeight="1">
      <c r="B902" s="85"/>
      <c r="K902" s="33"/>
    </row>
    <row r="903" spans="2:11" ht="15.75" customHeight="1">
      <c r="B903" s="85"/>
      <c r="K903" s="33"/>
    </row>
    <row r="904" spans="2:11" ht="15.75" customHeight="1">
      <c r="B904" s="85"/>
      <c r="K904" s="33"/>
    </row>
    <row r="905" spans="2:11" ht="15.75" customHeight="1">
      <c r="B905" s="85"/>
      <c r="K905" s="33"/>
    </row>
    <row r="906" spans="2:11" ht="15.75" customHeight="1">
      <c r="B906" s="85"/>
      <c r="K906" s="33"/>
    </row>
    <row r="907" spans="2:11" ht="15.75" customHeight="1">
      <c r="B907" s="85"/>
      <c r="K907" s="33"/>
    </row>
    <row r="908" spans="2:11" ht="15.75" customHeight="1">
      <c r="B908" s="85"/>
      <c r="K908" s="33"/>
    </row>
    <row r="909" spans="2:11" ht="15.75" customHeight="1">
      <c r="B909" s="85"/>
      <c r="K909" s="33"/>
    </row>
    <row r="910" spans="2:11" ht="15.75" customHeight="1">
      <c r="B910" s="85"/>
      <c r="K910" s="33"/>
    </row>
    <row r="911" spans="2:11" ht="15.75" customHeight="1">
      <c r="B911" s="85"/>
      <c r="K911" s="33"/>
    </row>
    <row r="912" spans="2:11" ht="15.75" customHeight="1">
      <c r="B912" s="85"/>
      <c r="K912" s="33"/>
    </row>
    <row r="913" spans="2:11" ht="15.75" customHeight="1">
      <c r="B913" s="85"/>
      <c r="K913" s="33"/>
    </row>
    <row r="914" spans="2:11" ht="15.75" customHeight="1">
      <c r="B914" s="85"/>
      <c r="K914" s="33"/>
    </row>
    <row r="915" spans="2:11" ht="15.75" customHeight="1">
      <c r="B915" s="85"/>
      <c r="K915" s="33"/>
    </row>
    <row r="916" spans="2:11" ht="15.75" customHeight="1">
      <c r="B916" s="85"/>
      <c r="K916" s="33"/>
    </row>
    <row r="917" spans="2:11" ht="15.75" customHeight="1">
      <c r="B917" s="85"/>
      <c r="K917" s="33"/>
    </row>
    <row r="918" spans="2:11" ht="15.75" customHeight="1">
      <c r="B918" s="85"/>
      <c r="K918" s="33"/>
    </row>
    <row r="919" spans="2:11" ht="15.75" customHeight="1">
      <c r="B919" s="85"/>
      <c r="K919" s="33"/>
    </row>
    <row r="920" spans="2:11" ht="15.75" customHeight="1">
      <c r="B920" s="85"/>
      <c r="K920" s="33"/>
    </row>
    <row r="921" spans="2:11" ht="15.75" customHeight="1">
      <c r="B921" s="85"/>
      <c r="K921" s="33"/>
    </row>
    <row r="922" spans="2:11" ht="15.75" customHeight="1">
      <c r="B922" s="85"/>
      <c r="K922" s="33"/>
    </row>
    <row r="923" spans="2:11" ht="15.75" customHeight="1">
      <c r="B923" s="85"/>
      <c r="K923" s="33"/>
    </row>
    <row r="924" spans="2:11" ht="15.75" customHeight="1">
      <c r="B924" s="85"/>
      <c r="K924" s="33"/>
    </row>
    <row r="925" spans="2:11" ht="15.75" customHeight="1">
      <c r="B925" s="85"/>
      <c r="K925" s="33"/>
    </row>
    <row r="926" spans="2:11" ht="15.75" customHeight="1">
      <c r="B926" s="85"/>
      <c r="K926" s="33"/>
    </row>
    <row r="927" spans="2:11" ht="15.75" customHeight="1">
      <c r="B927" s="85"/>
      <c r="K927" s="33"/>
    </row>
    <row r="928" spans="2:11" ht="15.75" customHeight="1">
      <c r="B928" s="85"/>
      <c r="K928" s="33"/>
    </row>
    <row r="929" spans="2:11" ht="15.75" customHeight="1">
      <c r="B929" s="85"/>
      <c r="K929" s="33"/>
    </row>
    <row r="930" spans="2:11" ht="15.75" customHeight="1">
      <c r="B930" s="85"/>
      <c r="K930" s="33"/>
    </row>
    <row r="931" spans="2:11" ht="15.75" customHeight="1">
      <c r="B931" s="85"/>
      <c r="K931" s="33"/>
    </row>
    <row r="932" spans="2:11" ht="15.75" customHeight="1">
      <c r="B932" s="85"/>
      <c r="K932" s="33"/>
    </row>
    <row r="933" spans="2:11" ht="15.75" customHeight="1">
      <c r="B933" s="85"/>
      <c r="K933" s="33"/>
    </row>
    <row r="934" spans="2:11" ht="15.75" customHeight="1">
      <c r="B934" s="85"/>
      <c r="K934" s="33"/>
    </row>
    <row r="935" spans="2:11" ht="15.75" customHeight="1">
      <c r="B935" s="85"/>
      <c r="K935" s="33"/>
    </row>
    <row r="936" spans="2:11" ht="15.75" customHeight="1">
      <c r="B936" s="85"/>
      <c r="K936" s="33"/>
    </row>
    <row r="937" spans="2:11" ht="15.75" customHeight="1">
      <c r="B937" s="85"/>
      <c r="K937" s="33"/>
    </row>
    <row r="938" spans="2:11" ht="15.75" customHeight="1">
      <c r="B938" s="85"/>
      <c r="K938" s="33"/>
    </row>
    <row r="939" spans="2:11" ht="15.75" customHeight="1">
      <c r="B939" s="85"/>
      <c r="K939" s="33"/>
    </row>
    <row r="940" spans="2:11" ht="15.75" customHeight="1">
      <c r="B940" s="85"/>
      <c r="K940" s="33"/>
    </row>
    <row r="941" spans="2:11" ht="15.75" customHeight="1">
      <c r="B941" s="85"/>
      <c r="K941" s="33"/>
    </row>
    <row r="942" spans="2:11" ht="15.75" customHeight="1">
      <c r="B942" s="85"/>
      <c r="K942" s="33"/>
    </row>
    <row r="943" spans="2:11" ht="15.75" customHeight="1">
      <c r="B943" s="85"/>
      <c r="K943" s="33"/>
    </row>
    <row r="944" spans="2:11" ht="15.75" customHeight="1">
      <c r="B944" s="85"/>
      <c r="K944" s="33"/>
    </row>
    <row r="945" spans="2:11" ht="15.75" customHeight="1">
      <c r="B945" s="85"/>
      <c r="K945" s="33"/>
    </row>
    <row r="946" spans="2:11" ht="15.75" customHeight="1">
      <c r="B946" s="85"/>
      <c r="K946" s="33"/>
    </row>
    <row r="947" spans="2:11" ht="15.75" customHeight="1">
      <c r="B947" s="85"/>
      <c r="K947" s="33"/>
    </row>
    <row r="948" spans="2:11" ht="15.75" customHeight="1">
      <c r="B948" s="85"/>
      <c r="K948" s="33"/>
    </row>
    <row r="949" spans="2:11" ht="15.75" customHeight="1">
      <c r="B949" s="85"/>
      <c r="K949" s="33"/>
    </row>
    <row r="950" spans="2:11" ht="15.75" customHeight="1">
      <c r="B950" s="85"/>
      <c r="K950" s="33"/>
    </row>
    <row r="951" spans="2:11" ht="15.75" customHeight="1">
      <c r="B951" s="85"/>
      <c r="K951" s="33"/>
    </row>
    <row r="952" spans="2:11" ht="15.75" customHeight="1">
      <c r="B952" s="85"/>
      <c r="K952" s="33"/>
    </row>
    <row r="953" spans="2:11" ht="15.75" customHeight="1">
      <c r="B953" s="85"/>
      <c r="K953" s="33"/>
    </row>
    <row r="954" spans="2:11" ht="15.75" customHeight="1">
      <c r="B954" s="85"/>
      <c r="K954" s="33"/>
    </row>
    <row r="955" spans="2:11" ht="15.75" customHeight="1">
      <c r="B955" s="85"/>
      <c r="K955" s="33"/>
    </row>
    <row r="956" spans="2:11" ht="15.75" customHeight="1">
      <c r="B956" s="85"/>
      <c r="K956" s="33"/>
    </row>
    <row r="957" spans="2:11" ht="15.75" customHeight="1">
      <c r="B957" s="85"/>
      <c r="K957" s="33"/>
    </row>
    <row r="958" spans="2:11" ht="15.75" customHeight="1">
      <c r="B958" s="85"/>
      <c r="K958" s="33"/>
    </row>
    <row r="959" spans="2:11" ht="15.75" customHeight="1">
      <c r="B959" s="85"/>
      <c r="K959" s="33"/>
    </row>
    <row r="960" spans="2:11" ht="15.75" customHeight="1">
      <c r="B960" s="85"/>
      <c r="K960" s="33"/>
    </row>
    <row r="961" spans="2:11" ht="15.75" customHeight="1">
      <c r="B961" s="85"/>
      <c r="K961" s="33"/>
    </row>
    <row r="962" spans="2:11" ht="15.75" customHeight="1">
      <c r="B962" s="85"/>
      <c r="K962" s="33"/>
    </row>
    <row r="963" spans="2:11" ht="15.75" customHeight="1">
      <c r="B963" s="85"/>
      <c r="K963" s="33"/>
    </row>
    <row r="964" spans="2:11" ht="15.75" customHeight="1">
      <c r="B964" s="85"/>
      <c r="K964" s="33"/>
    </row>
    <row r="965" spans="2:11" ht="15.75" customHeight="1">
      <c r="B965" s="85"/>
      <c r="K965" s="33"/>
    </row>
  </sheetData>
  <mergeCells count="37">
    <mergeCell ref="F48:F49"/>
    <mergeCell ref="G70:G71"/>
    <mergeCell ref="G50:G53"/>
    <mergeCell ref="J50:J53"/>
    <mergeCell ref="I50:I53"/>
    <mergeCell ref="H50:H53"/>
    <mergeCell ref="J70:J71"/>
    <mergeCell ref="H70:H71"/>
    <mergeCell ref="I70:I71"/>
    <mergeCell ref="C50:C53"/>
    <mergeCell ref="C70:C71"/>
    <mergeCell ref="E70:E71"/>
    <mergeCell ref="E50:E53"/>
    <mergeCell ref="F70:F71"/>
    <mergeCell ref="F50:F53"/>
    <mergeCell ref="C66:C69"/>
    <mergeCell ref="E66:E69"/>
    <mergeCell ref="C54:C59"/>
    <mergeCell ref="E54:E59"/>
    <mergeCell ref="C60:C65"/>
    <mergeCell ref="E60:E65"/>
    <mergeCell ref="K66:K69"/>
    <mergeCell ref="F54:F59"/>
    <mergeCell ref="G54:G59"/>
    <mergeCell ref="F60:F65"/>
    <mergeCell ref="F66:F69"/>
    <mergeCell ref="J54:J59"/>
    <mergeCell ref="J60:J65"/>
    <mergeCell ref="J66:J69"/>
    <mergeCell ref="G60:G65"/>
    <mergeCell ref="G66:G69"/>
    <mergeCell ref="H66:H69"/>
    <mergeCell ref="H60:H65"/>
    <mergeCell ref="H54:H59"/>
    <mergeCell ref="I54:I59"/>
    <mergeCell ref="I60:I65"/>
    <mergeCell ref="I66:I69"/>
  </mergeCells>
  <conditionalFormatting sqref="H30:H35">
    <cfRule type="colorScale" priority="61">
      <colorScale>
        <cfvo type="min"/>
        <cfvo type="percentile" val="50"/>
        <cfvo type="max"/>
        <color rgb="FF63BE7B"/>
        <color rgb="FFFFEB84"/>
        <color rgb="FFF8696B"/>
      </colorScale>
    </cfRule>
  </conditionalFormatting>
  <conditionalFormatting sqref="K78:K106">
    <cfRule type="containsText" dxfId="122" priority="49" operator="containsText" text="BAIXO IMPACTO">
      <formula>NOT(ISERROR(SEARCH(("BAIXO IMPACTO"),(K78))))</formula>
    </cfRule>
    <cfRule type="containsText" dxfId="121" priority="50" operator="containsText" text="MÉDIO IMPACTO">
      <formula>NOT(ISERROR(SEARCH(("MÉDIO IMPACTO"),(K78))))</formula>
    </cfRule>
    <cfRule type="containsText" dxfId="120" priority="51" operator="containsText" text="ALTO IMPACTO">
      <formula>NOT(ISERROR(SEARCH(("ALTO IMPACTO"),(K78))))</formula>
    </cfRule>
  </conditionalFormatting>
  <conditionalFormatting sqref="K80">
    <cfRule type="containsText" dxfId="119" priority="43" operator="containsText" text="BAIXO IMPACTO">
      <formula>NOT(ISERROR(SEARCH(("BAIXO IMPACTO"),(K80))))</formula>
    </cfRule>
    <cfRule type="containsText" dxfId="118" priority="44" operator="containsText" text="MÉDIO IMPACTO">
      <formula>NOT(ISERROR(SEARCH(("MÉDIO IMPACTO"),(K80))))</formula>
    </cfRule>
    <cfRule type="containsText" dxfId="117" priority="45" operator="containsText" text="ALTO IMPACTO">
      <formula>NOT(ISERROR(SEARCH(("ALTO IMPACTO"),(K80))))</formula>
    </cfRule>
  </conditionalFormatting>
  <conditionalFormatting sqref="M78:M106">
    <cfRule type="containsText" dxfId="116" priority="7" operator="containsText" text="BAIXO IMPACTO">
      <formula>NOT(ISERROR(SEARCH(("BAIXO IMPACTO"),(M78))))</formula>
    </cfRule>
    <cfRule type="containsText" dxfId="115" priority="8" operator="containsText" text="MÉDIO IMPACTO">
      <formula>NOT(ISERROR(SEARCH(("MÉDIO IMPACTO"),(M78))))</formula>
    </cfRule>
    <cfRule type="containsText" dxfId="114" priority="9" operator="containsText" text="ALTO IMPACTO">
      <formula>NOT(ISERROR(SEARCH(("ALTO IMPACTO"),(M78))))</formula>
    </cfRule>
  </conditionalFormatting>
  <dataValidations count="1">
    <dataValidation type="list" allowBlank="1" showErrorMessage="1" sqref="K78:K106" xr:uid="{00000000-0002-0000-0400-000000000000}">
      <formula1>"ALTO IMPACTO,MÉDIO IMPACTO,BAIXO IMPACTO"</formula1>
    </dataValidation>
  </dataValidations>
  <hyperlinks>
    <hyperlink ref="A78" location="P1!A1" display="[P1]" xr:uid="{00000000-0004-0000-0400-000000000000}"/>
    <hyperlink ref="A79" location="P2!A1" display="[P2]" xr:uid="{00000000-0004-0000-0400-000001000000}"/>
    <hyperlink ref="A80" location="P3!A1" display="[P3]" xr:uid="{00000000-0004-0000-0400-000002000000}"/>
    <hyperlink ref="A81" location="P4!A1" display="[P4]" xr:uid="{00000000-0004-0000-0400-000003000000}"/>
  </hyperlinks>
  <pageMargins left="0.51181102362204722" right="0.51181102362204722" top="0.78740157480314965" bottom="0.78740157480314965" header="0" footer="0"/>
  <pageSetup paperSize="9" scale="6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503CE-BBD0-4F15-90E7-1D91F8B275DC}">
  <dimension ref="A1"/>
  <sheetViews>
    <sheetView tabSelected="1" workbookViewId="0">
      <selection activeCell="B2" sqref="B2"/>
    </sheetView>
  </sheetViews>
  <sheetFormatPr defaultRowHeight="13.9"/>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C21B-0DDF-4725-BE66-3E5F09A0EB61}">
  <dimension ref="B69:AV189"/>
  <sheetViews>
    <sheetView showGridLines="0" topLeftCell="K116" zoomScale="50" zoomScaleNormal="50" workbookViewId="0">
      <selection activeCell="AK123" sqref="AK123"/>
    </sheetView>
  </sheetViews>
  <sheetFormatPr defaultRowHeight="13.9"/>
  <cols>
    <col min="4" max="4" width="11.625" bestFit="1" customWidth="1"/>
    <col min="8" max="8" width="15.875" bestFit="1" customWidth="1"/>
    <col min="16" max="16" width="7.125" customWidth="1"/>
    <col min="18" max="18" width="9.75" bestFit="1" customWidth="1"/>
    <col min="19" max="19" width="11.75" customWidth="1"/>
    <col min="21" max="21" width="15.875" customWidth="1"/>
    <col min="28" max="28" width="2.75" bestFit="1" customWidth="1"/>
    <col min="29" max="29" width="26.125" bestFit="1" customWidth="1"/>
    <col min="30" max="30" width="21.375" bestFit="1" customWidth="1"/>
    <col min="48" max="48" width="10.625" bestFit="1" customWidth="1"/>
  </cols>
  <sheetData>
    <row r="69" spans="2:11" ht="28.5" customHeight="1">
      <c r="B69" s="85"/>
      <c r="D69" s="74"/>
      <c r="G69" s="75"/>
      <c r="H69" t="s">
        <v>450</v>
      </c>
      <c r="I69">
        <f>COUNTIF($F$70:$F$108,H69)</f>
        <v>15</v>
      </c>
      <c r="J69" s="304">
        <f>I69/$I$72</f>
        <v>0.51724137931034486</v>
      </c>
      <c r="K69" s="33"/>
    </row>
    <row r="70" spans="2:11" ht="15.75" customHeight="1">
      <c r="B70" s="364" t="str">
        <f>'BASE DA MATRIZ DE RISCOS'!E78</f>
        <v>Legal</v>
      </c>
      <c r="F70" t="str">
        <f>'BASE DA MATRIZ DE RISCOS'!K78</f>
        <v>BAIXO IMPACTO</v>
      </c>
      <c r="G70" s="75"/>
      <c r="H70" t="s">
        <v>457</v>
      </c>
      <c r="I70">
        <f>COUNTIF($F$70:$F$108,H70)</f>
        <v>7</v>
      </c>
      <c r="J70" s="304">
        <f>I70/$I$72</f>
        <v>0.2413793103448276</v>
      </c>
      <c r="K70" s="33"/>
    </row>
    <row r="71" spans="2:11" ht="15.75" customHeight="1">
      <c r="B71" s="364" t="str">
        <f>'BASE DA MATRIZ DE RISCOS'!E79</f>
        <v>Financeiro</v>
      </c>
      <c r="C71" t="s">
        <v>331</v>
      </c>
      <c r="D71" s="74">
        <f>COUNTIF($B$70:$B$98,C71)</f>
        <v>2</v>
      </c>
      <c r="F71" t="str">
        <f>'BASE DA MATRIZ DE RISCOS'!K79</f>
        <v>BAIXO IMPACTO</v>
      </c>
      <c r="G71" s="75"/>
      <c r="H71" t="s">
        <v>458</v>
      </c>
      <c r="I71">
        <f>COUNTIF($F$70:$F$108,H71)</f>
        <v>7</v>
      </c>
      <c r="J71" s="304">
        <f>I71/$I$72</f>
        <v>0.2413793103448276</v>
      </c>
      <c r="K71" s="33"/>
    </row>
    <row r="72" spans="2:11" ht="15.75" customHeight="1">
      <c r="B72" s="364" t="str">
        <f>'BASE DA MATRIZ DE RISCOS'!E80</f>
        <v>Operacional</v>
      </c>
      <c r="C72" s="87" t="s">
        <v>351</v>
      </c>
      <c r="D72" s="74">
        <f>COUNTIF($B$70:$B$98,C72)</f>
        <v>14</v>
      </c>
      <c r="F72" t="str">
        <f>'BASE DA MATRIZ DE RISCOS'!K80</f>
        <v>BAIXO IMPACTO</v>
      </c>
      <c r="G72" s="75"/>
      <c r="I72">
        <f>SUM(I69:I71)</f>
        <v>29</v>
      </c>
      <c r="K72" s="33"/>
    </row>
    <row r="73" spans="2:11" ht="15.75" customHeight="1">
      <c r="B73" s="364" t="str">
        <f>'BASE DA MATRIZ DE RISCOS'!E81</f>
        <v>Operacional</v>
      </c>
      <c r="C73" s="87" t="s">
        <v>384</v>
      </c>
      <c r="D73" s="74">
        <f>COUNTIF($B$70:$B$98,C73)</f>
        <v>3</v>
      </c>
      <c r="F73" t="str">
        <f>'BASE DA MATRIZ DE RISCOS'!K81</f>
        <v>BAIXO IMPACTO</v>
      </c>
      <c r="G73" s="75"/>
      <c r="K73" s="33"/>
    </row>
    <row r="74" spans="2:11" ht="15.75" customHeight="1">
      <c r="B74" s="364" t="str">
        <f>'BASE DA MATRIZ DE RISCOS'!E82</f>
        <v>Financeiro</v>
      </c>
      <c r="C74" s="87" t="s">
        <v>313</v>
      </c>
      <c r="D74" s="74">
        <f>COUNTIF($B$70:$B$98,C74)</f>
        <v>10</v>
      </c>
      <c r="F74" t="str">
        <f>'BASE DA MATRIZ DE RISCOS'!K82</f>
        <v>BAIXO IMPACTO</v>
      </c>
      <c r="G74" s="75"/>
      <c r="K74" s="33"/>
    </row>
    <row r="75" spans="2:11" ht="15.75" customHeight="1">
      <c r="B75" s="364" t="str">
        <f>'BASE DA MATRIZ DE RISCOS'!E83</f>
        <v>Financeiro</v>
      </c>
      <c r="F75" t="str">
        <f>'BASE DA MATRIZ DE RISCOS'!K83</f>
        <v>BAIXO IMPACTO</v>
      </c>
      <c r="G75" s="75"/>
      <c r="K75" s="33"/>
    </row>
    <row r="76" spans="2:11" ht="15.75" customHeight="1">
      <c r="B76" s="364" t="str">
        <f>'BASE DA MATRIZ DE RISCOS'!E84</f>
        <v>Legal</v>
      </c>
      <c r="F76" t="str">
        <f>'BASE DA MATRIZ DE RISCOS'!K84</f>
        <v>ALTO IMPACTO</v>
      </c>
      <c r="G76" s="75"/>
      <c r="K76" s="33"/>
    </row>
    <row r="77" spans="2:11" ht="15.75" customHeight="1">
      <c r="B77" s="364" t="str">
        <f>'BASE DA MATRIZ DE RISCOS'!E85</f>
        <v>Legal</v>
      </c>
      <c r="F77" t="str">
        <f>'BASE DA MATRIZ DE RISCOS'!K85</f>
        <v>MÉDIO IMPACTO</v>
      </c>
      <c r="G77" s="75"/>
      <c r="K77" s="33"/>
    </row>
    <row r="78" spans="2:11" ht="15.75" customHeight="1">
      <c r="B78" s="364" t="str">
        <f>'BASE DA MATRIZ DE RISCOS'!E86</f>
        <v>Legal</v>
      </c>
      <c r="F78" t="str">
        <f>'BASE DA MATRIZ DE RISCOS'!K86</f>
        <v>BAIXO IMPACTO</v>
      </c>
      <c r="G78" s="75"/>
      <c r="K78" s="33"/>
    </row>
    <row r="79" spans="2:11" ht="15.75" customHeight="1">
      <c r="B79" s="364" t="str">
        <f>'BASE DA MATRIZ DE RISCOS'!E87</f>
        <v>Estratégico</v>
      </c>
      <c r="F79" t="str">
        <f>'BASE DA MATRIZ DE RISCOS'!K87</f>
        <v>ALTO IMPACTO</v>
      </c>
      <c r="G79" s="75"/>
      <c r="K79" s="33"/>
    </row>
    <row r="80" spans="2:11" ht="15.75" customHeight="1">
      <c r="B80" s="364" t="str">
        <f>'BASE DA MATRIZ DE RISCOS'!E88</f>
        <v>Estratégico</v>
      </c>
      <c r="F80" t="str">
        <f>'BASE DA MATRIZ DE RISCOS'!K88</f>
        <v>ALTO IMPACTO</v>
      </c>
      <c r="G80" s="75"/>
      <c r="K80" s="33"/>
    </row>
    <row r="81" spans="2:11" ht="15.75" customHeight="1">
      <c r="B81" s="364" t="str">
        <f>'BASE DA MATRIZ DE RISCOS'!E89</f>
        <v>Legal</v>
      </c>
      <c r="F81" t="str">
        <f>'BASE DA MATRIZ DE RISCOS'!K89</f>
        <v>MÉDIO IMPACTO</v>
      </c>
      <c r="G81" s="75"/>
      <c r="K81" s="33"/>
    </row>
    <row r="82" spans="2:11" ht="15.75" customHeight="1">
      <c r="B82" s="364" t="str">
        <f>'BASE DA MATRIZ DE RISCOS'!E90</f>
        <v>Financeiro</v>
      </c>
      <c r="F82" t="str">
        <f>'BASE DA MATRIZ DE RISCOS'!K90</f>
        <v>BAIXO IMPACTO</v>
      </c>
      <c r="G82" s="75"/>
      <c r="K82" s="33"/>
    </row>
    <row r="83" spans="2:11" ht="14.45">
      <c r="B83" s="364" t="str">
        <f>'BASE DA MATRIZ DE RISCOS'!E91</f>
        <v>Financeiro</v>
      </c>
      <c r="F83" t="str">
        <f>'BASE DA MATRIZ DE RISCOS'!K91</f>
        <v>BAIXO IMPACTO</v>
      </c>
    </row>
    <row r="84" spans="2:11" ht="14.45">
      <c r="B84" s="364" t="str">
        <f>'BASE DA MATRIZ DE RISCOS'!E92</f>
        <v>Financeiro</v>
      </c>
      <c r="F84" t="str">
        <f>'BASE DA MATRIZ DE RISCOS'!K92</f>
        <v>BAIXO IMPACTO</v>
      </c>
    </row>
    <row r="85" spans="2:11" ht="14.45">
      <c r="B85" s="364" t="str">
        <f>'BASE DA MATRIZ DE RISCOS'!E93</f>
        <v>Financeiro</v>
      </c>
      <c r="F85" t="str">
        <f>'BASE DA MATRIZ DE RISCOS'!K93</f>
        <v>ALTO IMPACTO</v>
      </c>
    </row>
    <row r="86" spans="2:11" ht="14.45">
      <c r="B86" s="364" t="str">
        <f>'BASE DA MATRIZ DE RISCOS'!E94</f>
        <v>Financeiro</v>
      </c>
      <c r="F86" t="str">
        <f>'BASE DA MATRIZ DE RISCOS'!K94</f>
        <v>ALTO IMPACTO</v>
      </c>
    </row>
    <row r="87" spans="2:11" ht="14.45">
      <c r="B87" s="364" t="str">
        <f>'BASE DA MATRIZ DE RISCOS'!E95</f>
        <v>Operacional</v>
      </c>
      <c r="F87" t="str">
        <f>'BASE DA MATRIZ DE RISCOS'!K95</f>
        <v>MÉDIO IMPACTO</v>
      </c>
    </row>
    <row r="88" spans="2:11" ht="14.45">
      <c r="B88" s="364" t="str">
        <f>'BASE DA MATRIZ DE RISCOS'!E96</f>
        <v>Financeiro</v>
      </c>
      <c r="F88" t="str">
        <f>'BASE DA MATRIZ DE RISCOS'!K96</f>
        <v>MÉDIO IMPACTO</v>
      </c>
    </row>
    <row r="89" spans="2:11" ht="14.45">
      <c r="B89" s="364" t="str">
        <f>'BASE DA MATRIZ DE RISCOS'!E97</f>
        <v>Financeiro</v>
      </c>
      <c r="F89" t="str">
        <f>'BASE DA MATRIZ DE RISCOS'!K97</f>
        <v>BAIXO IMPACTO</v>
      </c>
    </row>
    <row r="90" spans="2:11" ht="14.45">
      <c r="B90" s="364" t="str">
        <f>'BASE DA MATRIZ DE RISCOS'!E98</f>
        <v>Legal</v>
      </c>
      <c r="F90" t="str">
        <f>'BASE DA MATRIZ DE RISCOS'!K98</f>
        <v>MÉDIO IMPACTO</v>
      </c>
    </row>
    <row r="91" spans="2:11" ht="14.45">
      <c r="B91" s="364" t="str">
        <f>'BASE DA MATRIZ DE RISCOS'!E99</f>
        <v>Financeiro</v>
      </c>
      <c r="F91" t="str">
        <f>'BASE DA MATRIZ DE RISCOS'!K99</f>
        <v>BAIXO IMPACTO</v>
      </c>
    </row>
    <row r="92" spans="2:11" ht="14.45">
      <c r="B92" s="364" t="str">
        <f>'BASE DA MATRIZ DE RISCOS'!E100</f>
        <v>Legal</v>
      </c>
      <c r="F92" t="str">
        <f>'BASE DA MATRIZ DE RISCOS'!K100</f>
        <v>BAIXO IMPACTO</v>
      </c>
    </row>
    <row r="93" spans="2:11" ht="14.45">
      <c r="B93" s="364" t="str">
        <f>'BASE DA MATRIZ DE RISCOS'!E101</f>
        <v>Legal</v>
      </c>
      <c r="F93" t="str">
        <f>'BASE DA MATRIZ DE RISCOS'!K101</f>
        <v>BAIXO IMPACTO</v>
      </c>
    </row>
    <row r="94" spans="2:11" ht="14.45">
      <c r="B94" s="364" t="str">
        <f>'BASE DA MATRIZ DE RISCOS'!E102</f>
        <v>Financeiro</v>
      </c>
      <c r="F94" t="str">
        <f>'BASE DA MATRIZ DE RISCOS'!K102</f>
        <v>MÉDIO IMPACTO</v>
      </c>
    </row>
    <row r="95" spans="2:11" ht="14.45">
      <c r="B95" s="364" t="str">
        <f>'BASE DA MATRIZ DE RISCOS'!E103</f>
        <v>Legal</v>
      </c>
      <c r="F95" t="str">
        <f>'BASE DA MATRIZ DE RISCOS'!K103</f>
        <v>MÉDIO IMPACTO</v>
      </c>
    </row>
    <row r="96" spans="2:11" ht="14.45">
      <c r="B96" s="364" t="str">
        <f>'BASE DA MATRIZ DE RISCOS'!E104</f>
        <v>Financeiro</v>
      </c>
      <c r="F96" t="str">
        <f>'BASE DA MATRIZ DE RISCOS'!K104</f>
        <v>ALTO IMPACTO</v>
      </c>
    </row>
    <row r="97" spans="2:13" ht="14.45">
      <c r="B97" s="364" t="str">
        <f>'BASE DA MATRIZ DE RISCOS'!E105</f>
        <v>Legal</v>
      </c>
      <c r="F97" t="str">
        <f>'BASE DA MATRIZ DE RISCOS'!K105</f>
        <v>BAIXO IMPACTO</v>
      </c>
    </row>
    <row r="98" spans="2:13" ht="14.45">
      <c r="B98" s="364" t="str">
        <f>'BASE DA MATRIZ DE RISCOS'!E106</f>
        <v>Financeiro</v>
      </c>
      <c r="F98" t="str">
        <f>'BASE DA MATRIZ DE RISCOS'!K106</f>
        <v>ALTO IMPACTO</v>
      </c>
    </row>
    <row r="99" spans="2:13" ht="14.45">
      <c r="B99" s="364" t="e">
        <f>'BASE DA MATRIZ DE RISCOS'!#REF!</f>
        <v>#REF!</v>
      </c>
      <c r="F99" t="e">
        <f>'BASE DA MATRIZ DE RISCOS'!#REF!</f>
        <v>#REF!</v>
      </c>
    </row>
    <row r="100" spans="2:13" ht="14.45">
      <c r="B100" s="364" t="e">
        <f>'BASE DA MATRIZ DE RISCOS'!#REF!</f>
        <v>#REF!</v>
      </c>
      <c r="F100" t="e">
        <f>'BASE DA MATRIZ DE RISCOS'!#REF!</f>
        <v>#REF!</v>
      </c>
    </row>
    <row r="101" spans="2:13" ht="14.45">
      <c r="B101" s="364" t="e">
        <f>'BASE DA MATRIZ DE RISCOS'!#REF!</f>
        <v>#REF!</v>
      </c>
      <c r="F101" t="e">
        <f>'BASE DA MATRIZ DE RISCOS'!#REF!</f>
        <v>#REF!</v>
      </c>
    </row>
    <row r="102" spans="2:13" ht="14.45">
      <c r="B102" s="364" t="e">
        <f>'BASE DA MATRIZ DE RISCOS'!#REF!</f>
        <v>#REF!</v>
      </c>
      <c r="F102" t="e">
        <f>'BASE DA MATRIZ DE RISCOS'!#REF!</f>
        <v>#REF!</v>
      </c>
    </row>
    <row r="103" spans="2:13" ht="14.45">
      <c r="B103" s="364" t="e">
        <f>'BASE DA MATRIZ DE RISCOS'!#REF!</f>
        <v>#REF!</v>
      </c>
      <c r="F103" t="e">
        <f>'BASE DA MATRIZ DE RISCOS'!#REF!</f>
        <v>#REF!</v>
      </c>
    </row>
    <row r="104" spans="2:13" ht="14.45">
      <c r="B104" s="364" t="e">
        <f>'BASE DA MATRIZ DE RISCOS'!#REF!</f>
        <v>#REF!</v>
      </c>
      <c r="F104" t="e">
        <f>'BASE DA MATRIZ DE RISCOS'!#REF!</f>
        <v>#REF!</v>
      </c>
    </row>
    <row r="105" spans="2:13" ht="14.45">
      <c r="B105" s="364" t="e">
        <f>'BASE DA MATRIZ DE RISCOS'!#REF!</f>
        <v>#REF!</v>
      </c>
      <c r="F105" t="e">
        <f>'BASE DA MATRIZ DE RISCOS'!#REF!</f>
        <v>#REF!</v>
      </c>
    </row>
    <row r="106" spans="2:13" ht="14.45">
      <c r="B106" s="364" t="e">
        <f>'BASE DA MATRIZ DE RISCOS'!#REF!</f>
        <v>#REF!</v>
      </c>
      <c r="F106" t="e">
        <f>'BASE DA MATRIZ DE RISCOS'!#REF!</f>
        <v>#REF!</v>
      </c>
      <c r="K106" s="352" t="s">
        <v>849</v>
      </c>
    </row>
    <row r="107" spans="2:13" ht="14.45">
      <c r="B107" s="364" t="e">
        <f>'BASE DA MATRIZ DE RISCOS'!#REF!</f>
        <v>#REF!</v>
      </c>
      <c r="F107" t="e">
        <f>'BASE DA MATRIZ DE RISCOS'!#REF!</f>
        <v>#REF!</v>
      </c>
      <c r="K107" t="str">
        <f>'BASE DA MATRIZ DE RISCOS'!C78</f>
        <v>[P1]</v>
      </c>
      <c r="L107">
        <f>'BASE DA MATRIZ DE RISCOS'!I78</f>
        <v>48</v>
      </c>
      <c r="M107" s="353">
        <f t="shared" ref="M107:M140" si="0">L107/$L$189</f>
        <v>2.7777777777777776E-2</v>
      </c>
    </row>
    <row r="108" spans="2:13" ht="14.45">
      <c r="B108" s="364" t="e">
        <f>'BASE DA MATRIZ DE RISCOS'!#REF!</f>
        <v>#REF!</v>
      </c>
      <c r="F108" t="e">
        <f>'BASE DA MATRIZ DE RISCOS'!#REF!</f>
        <v>#REF!</v>
      </c>
      <c r="K108" t="str">
        <f>'BASE DA MATRIZ DE RISCOS'!C79</f>
        <v>[P2]</v>
      </c>
      <c r="L108">
        <f>'BASE DA MATRIZ DE RISCOS'!I79</f>
        <v>45</v>
      </c>
      <c r="M108" s="353">
        <f t="shared" si="0"/>
        <v>2.6041666666666668E-2</v>
      </c>
    </row>
    <row r="109" spans="2:13" ht="14.45">
      <c r="B109" s="364" t="e">
        <f>'BASE DA MATRIZ DE RISCOS'!#REF!</f>
        <v>#REF!</v>
      </c>
      <c r="F109" t="e">
        <f>'BASE DA MATRIZ DE RISCOS'!#REF!</f>
        <v>#REF!</v>
      </c>
      <c r="K109" t="str">
        <f>'BASE DA MATRIZ DE RISCOS'!C80</f>
        <v>[P3]</v>
      </c>
      <c r="L109">
        <f>'BASE DA MATRIZ DE RISCOS'!I80</f>
        <v>24</v>
      </c>
      <c r="M109" s="353">
        <f t="shared" si="0"/>
        <v>1.3888888888888888E-2</v>
      </c>
    </row>
    <row r="110" spans="2:13" ht="14.45">
      <c r="B110" s="364" t="e">
        <f>'BASE DA MATRIZ DE RISCOS'!#REF!</f>
        <v>#REF!</v>
      </c>
      <c r="F110" t="e">
        <f>'BASE DA MATRIZ DE RISCOS'!#REF!</f>
        <v>#REF!</v>
      </c>
      <c r="K110" t="str">
        <f>'BASE DA MATRIZ DE RISCOS'!C81</f>
        <v>[P4]</v>
      </c>
      <c r="L110">
        <f>'BASE DA MATRIZ DE RISCOS'!I81</f>
        <v>40</v>
      </c>
      <c r="M110" s="353">
        <f t="shared" si="0"/>
        <v>2.3148148148148147E-2</v>
      </c>
    </row>
    <row r="111" spans="2:13" ht="14.45">
      <c r="B111" s="364" t="e">
        <f>'BASE DA MATRIZ DE RISCOS'!#REF!</f>
        <v>#REF!</v>
      </c>
      <c r="F111" t="e">
        <f>'BASE DA MATRIZ DE RISCOS'!#REF!</f>
        <v>#REF!</v>
      </c>
      <c r="K111" t="str">
        <f>'BASE DA MATRIZ DE RISCOS'!C82</f>
        <v>[P5]</v>
      </c>
      <c r="L111">
        <f>'BASE DA MATRIZ DE RISCOS'!I82</f>
        <v>12</v>
      </c>
      <c r="M111" s="353">
        <f t="shared" si="0"/>
        <v>6.9444444444444441E-3</v>
      </c>
    </row>
    <row r="112" spans="2:13" ht="14.45">
      <c r="B112" s="364" t="e">
        <f>'BASE DA MATRIZ DE RISCOS'!#REF!</f>
        <v>#REF!</v>
      </c>
      <c r="F112" t="e">
        <f>'BASE DA MATRIZ DE RISCOS'!#REF!</f>
        <v>#REF!</v>
      </c>
      <c r="K112" t="str">
        <f>'BASE DA MATRIZ DE RISCOS'!C83</f>
        <v>[P6]</v>
      </c>
      <c r="L112">
        <f>'BASE DA MATRIZ DE RISCOS'!I83</f>
        <v>20</v>
      </c>
      <c r="M112" s="353">
        <f t="shared" si="0"/>
        <v>1.1574074074074073E-2</v>
      </c>
    </row>
    <row r="113" spans="2:13" ht="14.45">
      <c r="B113" s="364">
        <f>'BASE DA MATRIZ DE RISCOS'!E107</f>
        <v>0</v>
      </c>
      <c r="F113">
        <f>'BASE DA MATRIZ DE RISCOS'!K107</f>
        <v>0</v>
      </c>
      <c r="K113" t="str">
        <f>'BASE DA MATRIZ DE RISCOS'!C84</f>
        <v>[P7]</v>
      </c>
      <c r="L113">
        <f>'BASE DA MATRIZ DE RISCOS'!I84</f>
        <v>125</v>
      </c>
      <c r="M113" s="353">
        <f t="shared" si="0"/>
        <v>7.2337962962962965E-2</v>
      </c>
    </row>
    <row r="114" spans="2:13" ht="14.45">
      <c r="B114" s="364">
        <f>'BASE DA MATRIZ DE RISCOS'!E108</f>
        <v>0</v>
      </c>
      <c r="F114">
        <f>'BASE DA MATRIZ DE RISCOS'!K108</f>
        <v>0</v>
      </c>
      <c r="K114" t="str">
        <f>'BASE DA MATRIZ DE RISCOS'!C85</f>
        <v>[P8]</v>
      </c>
      <c r="L114">
        <f>'BASE DA MATRIZ DE RISCOS'!I85</f>
        <v>60</v>
      </c>
      <c r="M114" s="353">
        <f t="shared" si="0"/>
        <v>3.4722222222222224E-2</v>
      </c>
    </row>
    <row r="115" spans="2:13" ht="14.45">
      <c r="B115" s="364">
        <f>'BASE DA MATRIZ DE RISCOS'!E109</f>
        <v>0</v>
      </c>
      <c r="F115">
        <f>'BASE DA MATRIZ DE RISCOS'!K109</f>
        <v>0</v>
      </c>
      <c r="K115" t="str">
        <f>'BASE DA MATRIZ DE RISCOS'!C86</f>
        <v>[P9]</v>
      </c>
      <c r="L115">
        <f>'BASE DA MATRIZ DE RISCOS'!I86</f>
        <v>45</v>
      </c>
      <c r="M115" s="353">
        <f t="shared" si="0"/>
        <v>2.6041666666666668E-2</v>
      </c>
    </row>
    <row r="116" spans="2:13" ht="14.45">
      <c r="B116" s="364">
        <f>'BASE DA MATRIZ DE RISCOS'!E110</f>
        <v>0</v>
      </c>
      <c r="F116">
        <f>'BASE DA MATRIZ DE RISCOS'!K110</f>
        <v>0</v>
      </c>
      <c r="K116" t="str">
        <f>'BASE DA MATRIZ DE RISCOS'!C87</f>
        <v>[P10]</v>
      </c>
      <c r="L116">
        <f>'BASE DA MATRIZ DE RISCOS'!I87</f>
        <v>125</v>
      </c>
      <c r="M116" s="353">
        <f t="shared" si="0"/>
        <v>7.2337962962962965E-2</v>
      </c>
    </row>
    <row r="117" spans="2:13" ht="14.45">
      <c r="B117" s="364">
        <f>'BASE DA MATRIZ DE RISCOS'!E111</f>
        <v>0</v>
      </c>
      <c r="F117">
        <f>'BASE DA MATRIZ DE RISCOS'!K111</f>
        <v>0</v>
      </c>
      <c r="K117" t="str">
        <f>'BASE DA MATRIZ DE RISCOS'!C88</f>
        <v>[P11]</v>
      </c>
      <c r="L117">
        <f>'BASE DA MATRIZ DE RISCOS'!I88</f>
        <v>100</v>
      </c>
      <c r="M117" s="353">
        <f t="shared" si="0"/>
        <v>5.7870370370370371E-2</v>
      </c>
    </row>
    <row r="118" spans="2:13" ht="14.45">
      <c r="B118" s="364">
        <f>'BASE DA MATRIZ DE RISCOS'!E112</f>
        <v>0</v>
      </c>
      <c r="F118">
        <f>'BASE DA MATRIZ DE RISCOS'!K112</f>
        <v>0</v>
      </c>
      <c r="K118" t="str">
        <f>'BASE DA MATRIZ DE RISCOS'!C89</f>
        <v>[P12]</v>
      </c>
      <c r="L118">
        <f>'BASE DA MATRIZ DE RISCOS'!I89</f>
        <v>64</v>
      </c>
      <c r="M118" s="353">
        <f t="shared" si="0"/>
        <v>3.7037037037037035E-2</v>
      </c>
    </row>
    <row r="119" spans="2:13" ht="14.45">
      <c r="B119" s="364">
        <f>'BASE DA MATRIZ DE RISCOS'!E113</f>
        <v>0</v>
      </c>
      <c r="F119">
        <f>'BASE DA MATRIZ DE RISCOS'!K113</f>
        <v>0</v>
      </c>
      <c r="K119" t="str">
        <f>'BASE DA MATRIZ DE RISCOS'!C90</f>
        <v>[P13]</v>
      </c>
      <c r="L119">
        <f>'BASE DA MATRIZ DE RISCOS'!I90</f>
        <v>36</v>
      </c>
      <c r="M119" s="353">
        <f t="shared" si="0"/>
        <v>2.0833333333333332E-2</v>
      </c>
    </row>
    <row r="120" spans="2:13" ht="14.45">
      <c r="B120" s="364">
        <f>'BASE DA MATRIZ DE RISCOS'!E114</f>
        <v>0</v>
      </c>
      <c r="F120">
        <f>'BASE DA MATRIZ DE RISCOS'!K114</f>
        <v>0</v>
      </c>
      <c r="K120" t="str">
        <f>'BASE DA MATRIZ DE RISCOS'!C91</f>
        <v>[P14]</v>
      </c>
      <c r="L120">
        <f>'BASE DA MATRIZ DE RISCOS'!I91</f>
        <v>48</v>
      </c>
      <c r="M120" s="353">
        <f t="shared" si="0"/>
        <v>2.7777777777777776E-2</v>
      </c>
    </row>
    <row r="121" spans="2:13" ht="14.45">
      <c r="B121" s="364">
        <f>'BASE DA MATRIZ DE RISCOS'!E115</f>
        <v>0</v>
      </c>
      <c r="F121">
        <f>'BASE DA MATRIZ DE RISCOS'!K115</f>
        <v>0</v>
      </c>
      <c r="K121" t="str">
        <f>'BASE DA MATRIZ DE RISCOS'!C92</f>
        <v>[P15]</v>
      </c>
      <c r="L121">
        <f>'BASE DA MATRIZ DE RISCOS'!I92</f>
        <v>36</v>
      </c>
      <c r="M121" s="353">
        <f t="shared" si="0"/>
        <v>2.0833333333333332E-2</v>
      </c>
    </row>
    <row r="122" spans="2:13" ht="14.45">
      <c r="B122" s="364">
        <f>'BASE DA MATRIZ DE RISCOS'!E116</f>
        <v>0</v>
      </c>
      <c r="F122">
        <f>'BASE DA MATRIZ DE RISCOS'!K116</f>
        <v>0</v>
      </c>
      <c r="K122" t="str">
        <f>'BASE DA MATRIZ DE RISCOS'!C93</f>
        <v>[P16]</v>
      </c>
      <c r="L122">
        <f>'BASE DA MATRIZ DE RISCOS'!I93</f>
        <v>125</v>
      </c>
      <c r="M122" s="353">
        <f t="shared" si="0"/>
        <v>7.2337962962962965E-2</v>
      </c>
    </row>
    <row r="123" spans="2:13" ht="14.45">
      <c r="B123" s="364">
        <f>'BASE DA MATRIZ DE RISCOS'!E117</f>
        <v>0</v>
      </c>
      <c r="F123">
        <f>'BASE DA MATRIZ DE RISCOS'!K117</f>
        <v>0</v>
      </c>
      <c r="K123" t="str">
        <f>'BASE DA MATRIZ DE RISCOS'!C94</f>
        <v>[P17]</v>
      </c>
      <c r="L123">
        <f>'BASE DA MATRIZ DE RISCOS'!I94</f>
        <v>125</v>
      </c>
      <c r="M123" s="353">
        <f t="shared" si="0"/>
        <v>7.2337962962962965E-2</v>
      </c>
    </row>
    <row r="124" spans="2:13" ht="14.45">
      <c r="B124" s="364">
        <f>'BASE DA MATRIZ DE RISCOS'!E118</f>
        <v>0</v>
      </c>
      <c r="F124">
        <f>'BASE DA MATRIZ DE RISCOS'!K118</f>
        <v>0</v>
      </c>
      <c r="K124" t="str">
        <f>'BASE DA MATRIZ DE RISCOS'!C95</f>
        <v>[P18]</v>
      </c>
      <c r="L124">
        <f>'BASE DA MATRIZ DE RISCOS'!I95</f>
        <v>60</v>
      </c>
      <c r="M124" s="353">
        <f t="shared" si="0"/>
        <v>3.4722222222222224E-2</v>
      </c>
    </row>
    <row r="125" spans="2:13" ht="14.45">
      <c r="B125" s="364">
        <f>'BASE DA MATRIZ DE RISCOS'!E119</f>
        <v>0</v>
      </c>
      <c r="F125">
        <f>'BASE DA MATRIZ DE RISCOS'!K119</f>
        <v>0</v>
      </c>
      <c r="K125" t="str">
        <f>'BASE DA MATRIZ DE RISCOS'!C96</f>
        <v>[P19]</v>
      </c>
      <c r="L125">
        <f>'BASE DA MATRIZ DE RISCOS'!I96</f>
        <v>60</v>
      </c>
      <c r="M125" s="353">
        <f t="shared" si="0"/>
        <v>3.4722222222222224E-2</v>
      </c>
    </row>
    <row r="126" spans="2:13" ht="14.45">
      <c r="B126" s="364">
        <f>'BASE DA MATRIZ DE RISCOS'!E120</f>
        <v>0</v>
      </c>
      <c r="F126">
        <f>'BASE DA MATRIZ DE RISCOS'!K120</f>
        <v>0</v>
      </c>
      <c r="K126" t="str">
        <f>'BASE DA MATRIZ DE RISCOS'!C97</f>
        <v>[P20]</v>
      </c>
      <c r="L126">
        <f>'BASE DA MATRIZ DE RISCOS'!I97</f>
        <v>15</v>
      </c>
      <c r="M126" s="353">
        <f t="shared" si="0"/>
        <v>8.6805555555555559E-3</v>
      </c>
    </row>
    <row r="127" spans="2:13" ht="14.45">
      <c r="B127" s="364">
        <f>'BASE DA MATRIZ DE RISCOS'!E121</f>
        <v>0</v>
      </c>
      <c r="F127">
        <f>'BASE DA MATRIZ DE RISCOS'!K121</f>
        <v>0</v>
      </c>
      <c r="K127" t="str">
        <f>'BASE DA MATRIZ DE RISCOS'!C98</f>
        <v>[P21]</v>
      </c>
      <c r="L127">
        <f>'BASE DA MATRIZ DE RISCOS'!I98</f>
        <v>60</v>
      </c>
      <c r="M127" s="353">
        <f t="shared" si="0"/>
        <v>3.4722222222222224E-2</v>
      </c>
    </row>
    <row r="128" spans="2:13" ht="14.45">
      <c r="B128" s="364">
        <f>'BASE DA MATRIZ DE RISCOS'!E122</f>
        <v>0</v>
      </c>
      <c r="F128">
        <f>'BASE DA MATRIZ DE RISCOS'!K122</f>
        <v>0</v>
      </c>
      <c r="K128" t="str">
        <f>'BASE DA MATRIZ DE RISCOS'!C99</f>
        <v>[P22]</v>
      </c>
      <c r="L128">
        <f>'BASE DA MATRIZ DE RISCOS'!I99</f>
        <v>40</v>
      </c>
      <c r="M128" s="353">
        <f t="shared" si="0"/>
        <v>2.3148148148148147E-2</v>
      </c>
    </row>
    <row r="129" spans="2:24" ht="14.45">
      <c r="B129" s="364">
        <f>'BASE DA MATRIZ DE RISCOS'!E123</f>
        <v>0</v>
      </c>
      <c r="F129">
        <f>'BASE DA MATRIZ DE RISCOS'!K123</f>
        <v>0</v>
      </c>
      <c r="K129" t="str">
        <f>'BASE DA MATRIZ DE RISCOS'!C100</f>
        <v>[P23]</v>
      </c>
      <c r="L129">
        <f>'BASE DA MATRIZ DE RISCOS'!I100</f>
        <v>48</v>
      </c>
      <c r="M129" s="353">
        <f t="shared" si="0"/>
        <v>2.7777777777777776E-2</v>
      </c>
    </row>
    <row r="130" spans="2:24" ht="14.45">
      <c r="B130" s="364">
        <f>'BASE DA MATRIZ DE RISCOS'!E124</f>
        <v>0</v>
      </c>
      <c r="F130">
        <f>'BASE DA MATRIZ DE RISCOS'!K124</f>
        <v>0</v>
      </c>
      <c r="K130" t="str">
        <f>'BASE DA MATRIZ DE RISCOS'!C101</f>
        <v>[P24]</v>
      </c>
      <c r="L130">
        <f>'BASE DA MATRIZ DE RISCOS'!I101</f>
        <v>36</v>
      </c>
      <c r="M130" s="353">
        <f t="shared" si="0"/>
        <v>2.0833333333333332E-2</v>
      </c>
    </row>
    <row r="131" spans="2:24" ht="14.45">
      <c r="B131" s="364">
        <f>'BASE DA MATRIZ DE RISCOS'!E125</f>
        <v>0</v>
      </c>
      <c r="F131">
        <f>'BASE DA MATRIZ DE RISCOS'!K125</f>
        <v>0</v>
      </c>
      <c r="K131" t="str">
        <f>'BASE DA MATRIZ DE RISCOS'!C102</f>
        <v>[P25]</v>
      </c>
      <c r="L131">
        <f>'BASE DA MATRIZ DE RISCOS'!I102</f>
        <v>60</v>
      </c>
      <c r="M131" s="353">
        <f t="shared" si="0"/>
        <v>3.4722222222222224E-2</v>
      </c>
    </row>
    <row r="132" spans="2:24" ht="14.45">
      <c r="B132" s="364">
        <f>'BASE DA MATRIZ DE RISCOS'!E126</f>
        <v>0</v>
      </c>
      <c r="F132">
        <f>'BASE DA MATRIZ DE RISCOS'!K126</f>
        <v>0</v>
      </c>
      <c r="K132" t="str">
        <f>'BASE DA MATRIZ DE RISCOS'!C103</f>
        <v>[P26]</v>
      </c>
      <c r="L132">
        <f>'BASE DA MATRIZ DE RISCOS'!I103</f>
        <v>60</v>
      </c>
      <c r="M132" s="353">
        <f t="shared" si="0"/>
        <v>3.4722222222222224E-2</v>
      </c>
    </row>
    <row r="133" spans="2:24" ht="14.45">
      <c r="B133" s="364">
        <f>'BASE DA MATRIZ DE RISCOS'!E127</f>
        <v>0</v>
      </c>
      <c r="F133">
        <f>'BASE DA MATRIZ DE RISCOS'!K127</f>
        <v>0</v>
      </c>
      <c r="K133" t="str">
        <f>'BASE DA MATRIZ DE RISCOS'!C104</f>
        <v>[P27]</v>
      </c>
      <c r="L133">
        <f>'BASE DA MATRIZ DE RISCOS'!I104</f>
        <v>100</v>
      </c>
      <c r="M133" s="353">
        <f t="shared" si="0"/>
        <v>5.7870370370370371E-2</v>
      </c>
    </row>
    <row r="134" spans="2:24" ht="14.45">
      <c r="B134" s="364">
        <f>'BASE DA MATRIZ DE RISCOS'!E128</f>
        <v>0</v>
      </c>
      <c r="F134">
        <f>'BASE DA MATRIZ DE RISCOS'!K128</f>
        <v>0</v>
      </c>
      <c r="K134" t="str">
        <f>'BASE DA MATRIZ DE RISCOS'!C105</f>
        <v>[P28]</v>
      </c>
      <c r="L134">
        <f>'BASE DA MATRIZ DE RISCOS'!I105</f>
        <v>36</v>
      </c>
      <c r="M134" s="353">
        <f t="shared" si="0"/>
        <v>2.0833333333333332E-2</v>
      </c>
    </row>
    <row r="135" spans="2:24" ht="14.45">
      <c r="B135" s="364">
        <f>'BASE DA MATRIZ DE RISCOS'!E129</f>
        <v>0</v>
      </c>
      <c r="F135">
        <f>'BASE DA MATRIZ DE RISCOS'!K129</f>
        <v>0</v>
      </c>
      <c r="K135" t="str">
        <f>'BASE DA MATRIZ DE RISCOS'!C106</f>
        <v>[P29]</v>
      </c>
      <c r="L135">
        <f>'BASE DA MATRIZ DE RISCOS'!I106</f>
        <v>75</v>
      </c>
      <c r="M135" s="353">
        <f t="shared" si="0"/>
        <v>4.3402777777777776E-2</v>
      </c>
    </row>
    <row r="136" spans="2:24" ht="14.45">
      <c r="B136" s="364">
        <f>'BASE DA MATRIZ DE RISCOS'!E130</f>
        <v>0</v>
      </c>
      <c r="F136">
        <f>'BASE DA MATRIZ DE RISCOS'!K130</f>
        <v>0</v>
      </c>
      <c r="K136">
        <f>'BASE DA MATRIZ DE RISCOS'!C107</f>
        <v>0</v>
      </c>
      <c r="L136">
        <f>'BASE DA MATRIZ DE RISCOS'!I107</f>
        <v>0</v>
      </c>
      <c r="M136" s="353">
        <f t="shared" si="0"/>
        <v>0</v>
      </c>
    </row>
    <row r="137" spans="2:24" ht="42" thickBot="1">
      <c r="B137" s="364">
        <f>'BASE DA MATRIZ DE RISCOS'!E131</f>
        <v>0</v>
      </c>
      <c r="F137">
        <f>'BASE DA MATRIZ DE RISCOS'!K131</f>
        <v>0</v>
      </c>
      <c r="K137">
        <f>'BASE DA MATRIZ DE RISCOS'!C108</f>
        <v>0</v>
      </c>
      <c r="L137">
        <f>'BASE DA MATRIZ DE RISCOS'!I108</f>
        <v>0</v>
      </c>
      <c r="M137" s="353">
        <f t="shared" si="0"/>
        <v>0</v>
      </c>
      <c r="R137" s="357" t="s">
        <v>446</v>
      </c>
      <c r="S137" s="355" t="s">
        <v>850</v>
      </c>
      <c r="T137" s="355"/>
      <c r="U137" s="356" t="s">
        <v>849</v>
      </c>
      <c r="V137" s="355" t="s">
        <v>240</v>
      </c>
      <c r="W137" s="355" t="s">
        <v>238</v>
      </c>
      <c r="X137" s="355" t="s">
        <v>236</v>
      </c>
    </row>
    <row r="138" spans="2:24" ht="15" thickTop="1">
      <c r="B138" s="364">
        <f>'BASE DA MATRIZ DE RISCOS'!E132</f>
        <v>0</v>
      </c>
      <c r="F138">
        <f>'BASE DA MATRIZ DE RISCOS'!K132</f>
        <v>0</v>
      </c>
      <c r="K138">
        <f>'BASE DA MATRIZ DE RISCOS'!C109</f>
        <v>0</v>
      </c>
      <c r="L138">
        <f>'BASE DA MATRIZ DE RISCOS'!I109</f>
        <v>0</v>
      </c>
      <c r="M138" s="353">
        <f t="shared" si="0"/>
        <v>0</v>
      </c>
      <c r="R138" s="358">
        <v>16</v>
      </c>
      <c r="S138" s="360">
        <f t="shared" ref="S138:S166" si="1">R138/$R$170</f>
        <v>1.2769353551476457E-2</v>
      </c>
      <c r="U138" s="365" t="s">
        <v>285</v>
      </c>
      <c r="V138" s="360">
        <f t="shared" ref="V138:V140" si="2">IF(R138&lt;=50,S138,"")</f>
        <v>1.2769353551476457E-2</v>
      </c>
      <c r="W138" s="360" t="str">
        <f t="shared" ref="W138:W163" si="3">IF(AND(R138&gt;50,R138&lt;75),S138,"")</f>
        <v/>
      </c>
      <c r="X138" s="360" t="str">
        <f t="shared" ref="X138:X163" si="4">IF(R138&gt;=75,S138,"")</f>
        <v/>
      </c>
    </row>
    <row r="139" spans="2:24" ht="14.45">
      <c r="B139" s="364">
        <f>'BASE DA MATRIZ DE RISCOS'!E133</f>
        <v>0</v>
      </c>
      <c r="F139">
        <f>'BASE DA MATRIZ DE RISCOS'!K133</f>
        <v>0</v>
      </c>
      <c r="K139">
        <f>'BASE DA MATRIZ DE RISCOS'!C110</f>
        <v>0</v>
      </c>
      <c r="L139">
        <f>'BASE DA MATRIZ DE RISCOS'!I110</f>
        <v>0</v>
      </c>
      <c r="M139" s="353">
        <f t="shared" si="0"/>
        <v>0</v>
      </c>
      <c r="R139" s="358">
        <v>20</v>
      </c>
      <c r="S139" s="360">
        <f t="shared" si="1"/>
        <v>1.596169193934557E-2</v>
      </c>
      <c r="U139" s="354" t="str">
        <f>'BASE DA MATRIZ DE RISCOS'!C79</f>
        <v>[P2]</v>
      </c>
      <c r="V139" s="360">
        <f t="shared" si="2"/>
        <v>1.596169193934557E-2</v>
      </c>
      <c r="W139" s="360" t="str">
        <f t="shared" si="3"/>
        <v/>
      </c>
      <c r="X139" s="360" t="str">
        <f t="shared" si="4"/>
        <v/>
      </c>
    </row>
    <row r="140" spans="2:24" ht="14.45">
      <c r="B140" s="364">
        <f>'BASE DA MATRIZ DE RISCOS'!E134</f>
        <v>0</v>
      </c>
      <c r="F140">
        <f>'BASE DA MATRIZ DE RISCOS'!K134</f>
        <v>0</v>
      </c>
      <c r="K140">
        <f>'BASE DA MATRIZ DE RISCOS'!C111</f>
        <v>0</v>
      </c>
      <c r="L140">
        <f>'BASE DA MATRIZ DE RISCOS'!I111</f>
        <v>0</v>
      </c>
      <c r="M140" s="353">
        <f t="shared" si="0"/>
        <v>0</v>
      </c>
      <c r="R140" s="358">
        <v>16</v>
      </c>
      <c r="S140" s="360">
        <f t="shared" si="1"/>
        <v>1.2769353551476457E-2</v>
      </c>
      <c r="U140" s="354" t="str">
        <f>'BASE DA MATRIZ DE RISCOS'!C80</f>
        <v>[P3]</v>
      </c>
      <c r="V140" s="360">
        <f t="shared" si="2"/>
        <v>1.2769353551476457E-2</v>
      </c>
      <c r="W140" s="360" t="str">
        <f t="shared" si="3"/>
        <v/>
      </c>
      <c r="X140" s="360" t="str">
        <f t="shared" si="4"/>
        <v/>
      </c>
    </row>
    <row r="141" spans="2:24" ht="14.45">
      <c r="B141" s="364"/>
      <c r="M141" s="353"/>
      <c r="R141" s="358">
        <v>16</v>
      </c>
      <c r="S141" s="360">
        <f t="shared" si="1"/>
        <v>1.2769353551476457E-2</v>
      </c>
      <c r="U141" s="354" t="str">
        <f>'BASE DA MATRIZ DE RISCOS'!C81</f>
        <v>[P4]</v>
      </c>
      <c r="V141" s="360">
        <f t="shared" ref="V141:V166" si="5">IF(R141&lt;=50,S141,"")</f>
        <v>1.2769353551476457E-2</v>
      </c>
      <c r="W141" s="360"/>
      <c r="X141" s="360"/>
    </row>
    <row r="142" spans="2:24" ht="14.45">
      <c r="B142" s="364"/>
      <c r="M142" s="353"/>
      <c r="R142" s="358">
        <v>9</v>
      </c>
      <c r="S142" s="360">
        <f t="shared" si="1"/>
        <v>7.1827613727055064E-3</v>
      </c>
      <c r="U142" s="354" t="str">
        <f>'BASE DA MATRIZ DE RISCOS'!C82</f>
        <v>[P5]</v>
      </c>
      <c r="V142" s="360">
        <f t="shared" si="5"/>
        <v>7.1827613727055064E-3</v>
      </c>
      <c r="W142" s="360"/>
      <c r="X142" s="360"/>
    </row>
    <row r="143" spans="2:24" ht="14.45">
      <c r="B143" s="364"/>
      <c r="M143" s="353"/>
      <c r="R143" s="358">
        <v>30</v>
      </c>
      <c r="S143" s="360">
        <f t="shared" si="1"/>
        <v>2.3942537909018357E-2</v>
      </c>
      <c r="U143" s="354" t="str">
        <f>'BASE DA MATRIZ DE RISCOS'!C83</f>
        <v>[P6]</v>
      </c>
      <c r="V143" s="360">
        <f t="shared" si="5"/>
        <v>2.3942537909018357E-2</v>
      </c>
      <c r="W143" s="360"/>
      <c r="X143" s="360"/>
    </row>
    <row r="144" spans="2:24" ht="14.45">
      <c r="B144" s="364"/>
      <c r="M144" s="353"/>
      <c r="R144" s="358">
        <v>3</v>
      </c>
      <c r="S144" s="360">
        <f t="shared" si="1"/>
        <v>2.3942537909018356E-3</v>
      </c>
      <c r="U144" s="354" t="str">
        <f>'BASE DA MATRIZ DE RISCOS'!C84</f>
        <v>[P7]</v>
      </c>
      <c r="V144" s="360">
        <f t="shared" si="5"/>
        <v>2.3942537909018356E-3</v>
      </c>
      <c r="W144" s="360"/>
      <c r="X144" s="360"/>
    </row>
    <row r="145" spans="2:24" ht="14.45">
      <c r="B145" s="364"/>
      <c r="M145" s="353"/>
      <c r="R145" s="358">
        <v>32</v>
      </c>
      <c r="S145" s="360">
        <f t="shared" si="1"/>
        <v>2.5538707102952914E-2</v>
      </c>
      <c r="U145" s="354" t="str">
        <f>'BASE DA MATRIZ DE RISCOS'!C85</f>
        <v>[P8]</v>
      </c>
      <c r="V145" s="360">
        <f t="shared" si="5"/>
        <v>2.5538707102952914E-2</v>
      </c>
      <c r="W145" s="360"/>
      <c r="X145" s="360"/>
    </row>
    <row r="146" spans="2:24" ht="14.45">
      <c r="B146" s="364"/>
      <c r="M146" s="353"/>
      <c r="R146" s="358">
        <v>125</v>
      </c>
      <c r="S146" s="360">
        <f t="shared" si="1"/>
        <v>9.9760574620909814E-2</v>
      </c>
      <c r="U146" s="354" t="str">
        <f>'BASE DA MATRIZ DE RISCOS'!C86</f>
        <v>[P9]</v>
      </c>
      <c r="V146" s="360" t="str">
        <f t="shared" si="5"/>
        <v/>
      </c>
      <c r="W146" s="360"/>
      <c r="X146" s="360"/>
    </row>
    <row r="147" spans="2:24" ht="14.45">
      <c r="B147" s="364"/>
      <c r="M147" s="353"/>
      <c r="R147" s="358">
        <v>40</v>
      </c>
      <c r="S147" s="360">
        <f t="shared" si="1"/>
        <v>3.192338387869114E-2</v>
      </c>
      <c r="U147" s="354" t="str">
        <f>'BASE DA MATRIZ DE RISCOS'!C87</f>
        <v>[P10]</v>
      </c>
      <c r="V147" s="360">
        <f t="shared" si="5"/>
        <v>3.192338387869114E-2</v>
      </c>
      <c r="W147" s="360"/>
      <c r="X147" s="360"/>
    </row>
    <row r="148" spans="2:24" ht="14.45">
      <c r="B148" s="364"/>
      <c r="M148" s="353"/>
      <c r="R148" s="358">
        <v>30</v>
      </c>
      <c r="S148" s="360">
        <f t="shared" si="1"/>
        <v>2.3942537909018357E-2</v>
      </c>
      <c r="U148" s="354" t="str">
        <f>'BASE DA MATRIZ DE RISCOS'!C88</f>
        <v>[P11]</v>
      </c>
      <c r="V148" s="360">
        <f t="shared" si="5"/>
        <v>2.3942537909018357E-2</v>
      </c>
      <c r="W148" s="360"/>
      <c r="X148" s="360"/>
    </row>
    <row r="149" spans="2:24" ht="14.45">
      <c r="B149" s="364">
        <f>'BASE DA MATRIZ DE RISCOS'!E135</f>
        <v>0</v>
      </c>
      <c r="F149">
        <f>'BASE DA MATRIZ DE RISCOS'!K141</f>
        <v>0</v>
      </c>
      <c r="K149">
        <f>'BASE DA MATRIZ DE RISCOS'!C112</f>
        <v>0</v>
      </c>
      <c r="L149">
        <f>'BASE DA MATRIZ DE RISCOS'!I112</f>
        <v>0</v>
      </c>
      <c r="M149" s="353">
        <f t="shared" ref="M149:M172" si="6">L149/$L$189</f>
        <v>0</v>
      </c>
      <c r="R149" s="358">
        <v>40</v>
      </c>
      <c r="S149" s="360">
        <f t="shared" si="1"/>
        <v>3.192338387869114E-2</v>
      </c>
      <c r="U149" s="354" t="str">
        <f>'BASE DA MATRIZ DE RISCOS'!C89</f>
        <v>[P12]</v>
      </c>
      <c r="V149" s="360">
        <f t="shared" si="5"/>
        <v>3.192338387869114E-2</v>
      </c>
      <c r="W149" s="360" t="str">
        <f t="shared" si="3"/>
        <v/>
      </c>
      <c r="X149" s="360" t="str">
        <f t="shared" si="4"/>
        <v/>
      </c>
    </row>
    <row r="150" spans="2:24" ht="14.45">
      <c r="B150" s="364">
        <f>'BASE DA MATRIZ DE RISCOS'!E136</f>
        <v>0</v>
      </c>
      <c r="K150">
        <f>'BASE DA MATRIZ DE RISCOS'!C113</f>
        <v>0</v>
      </c>
      <c r="L150">
        <f>'BASE DA MATRIZ DE RISCOS'!I113</f>
        <v>0</v>
      </c>
      <c r="M150" s="353">
        <f t="shared" si="6"/>
        <v>0</v>
      </c>
      <c r="R150" s="358">
        <v>40</v>
      </c>
      <c r="S150" s="360">
        <f t="shared" si="1"/>
        <v>3.192338387869114E-2</v>
      </c>
      <c r="U150" s="354" t="str">
        <f>'BASE DA MATRIZ DE RISCOS'!C90</f>
        <v>[P13]</v>
      </c>
      <c r="V150" s="360">
        <f t="shared" si="5"/>
        <v>3.192338387869114E-2</v>
      </c>
      <c r="W150" s="360" t="str">
        <f t="shared" si="3"/>
        <v/>
      </c>
      <c r="X150" s="360" t="str">
        <f t="shared" si="4"/>
        <v/>
      </c>
    </row>
    <row r="151" spans="2:24" ht="14.45">
      <c r="B151" s="364">
        <f>'BASE DA MATRIZ DE RISCOS'!E137</f>
        <v>0</v>
      </c>
      <c r="K151">
        <f>'BASE DA MATRIZ DE RISCOS'!C114</f>
        <v>0</v>
      </c>
      <c r="L151">
        <f>'BASE DA MATRIZ DE RISCOS'!I114</f>
        <v>0</v>
      </c>
      <c r="M151" s="353">
        <f t="shared" si="6"/>
        <v>0</v>
      </c>
      <c r="R151" s="358">
        <v>12</v>
      </c>
      <c r="S151" s="360">
        <f t="shared" si="1"/>
        <v>9.5770151636073424E-3</v>
      </c>
      <c r="U151" s="354" t="str">
        <f>'BASE DA MATRIZ DE RISCOS'!C91</f>
        <v>[P14]</v>
      </c>
      <c r="V151" s="360">
        <f t="shared" si="5"/>
        <v>9.5770151636073424E-3</v>
      </c>
      <c r="W151" s="360" t="str">
        <f t="shared" si="3"/>
        <v/>
      </c>
      <c r="X151" s="360" t="str">
        <f t="shared" si="4"/>
        <v/>
      </c>
    </row>
    <row r="152" spans="2:24" ht="14.45">
      <c r="B152" s="364">
        <f>'BASE DA MATRIZ DE RISCOS'!E138</f>
        <v>0</v>
      </c>
      <c r="K152">
        <f>'BASE DA MATRIZ DE RISCOS'!C115</f>
        <v>0</v>
      </c>
      <c r="L152">
        <f>'BASE DA MATRIZ DE RISCOS'!I115</f>
        <v>0</v>
      </c>
      <c r="M152" s="353">
        <f t="shared" si="6"/>
        <v>0</v>
      </c>
      <c r="R152" s="358">
        <v>16</v>
      </c>
      <c r="S152" s="360">
        <f t="shared" si="1"/>
        <v>1.2769353551476457E-2</v>
      </c>
      <c r="U152" s="354" t="str">
        <f>'BASE DA MATRIZ DE RISCOS'!C92</f>
        <v>[P15]</v>
      </c>
      <c r="V152" s="360">
        <f t="shared" si="5"/>
        <v>1.2769353551476457E-2</v>
      </c>
      <c r="W152" s="360" t="str">
        <f t="shared" si="3"/>
        <v/>
      </c>
      <c r="X152" s="360" t="str">
        <f t="shared" si="4"/>
        <v/>
      </c>
    </row>
    <row r="153" spans="2:24" ht="14.45">
      <c r="B153" s="364">
        <f>'BASE DA MATRIZ DE RISCOS'!E139</f>
        <v>0</v>
      </c>
      <c r="K153">
        <f>'BASE DA MATRIZ DE RISCOS'!C116</f>
        <v>0</v>
      </c>
      <c r="L153">
        <f>'BASE DA MATRIZ DE RISCOS'!I116</f>
        <v>0</v>
      </c>
      <c r="M153" s="353">
        <f t="shared" si="6"/>
        <v>0</v>
      </c>
      <c r="R153" s="358">
        <v>48</v>
      </c>
      <c r="S153" s="360">
        <f t="shared" si="1"/>
        <v>3.830806065442937E-2</v>
      </c>
      <c r="U153" s="354" t="str">
        <f>'BASE DA MATRIZ DE RISCOS'!C93</f>
        <v>[P16]</v>
      </c>
      <c r="V153" s="360">
        <f t="shared" si="5"/>
        <v>3.830806065442937E-2</v>
      </c>
      <c r="W153" s="360" t="str">
        <f t="shared" si="3"/>
        <v/>
      </c>
      <c r="X153" s="360" t="str">
        <f t="shared" si="4"/>
        <v/>
      </c>
    </row>
    <row r="154" spans="2:24" ht="14.45">
      <c r="B154" s="364">
        <f>'BASE DA MATRIZ DE RISCOS'!E140</f>
        <v>0</v>
      </c>
      <c r="K154">
        <f>'BASE DA MATRIZ DE RISCOS'!C117</f>
        <v>0</v>
      </c>
      <c r="L154">
        <f>'BASE DA MATRIZ DE RISCOS'!I117</f>
        <v>0</v>
      </c>
      <c r="M154" s="353">
        <f t="shared" si="6"/>
        <v>0</v>
      </c>
      <c r="R154" s="358">
        <v>60</v>
      </c>
      <c r="S154" s="360">
        <f t="shared" si="1"/>
        <v>4.7885075818036714E-2</v>
      </c>
      <c r="U154" s="354" t="str">
        <f>'BASE DA MATRIZ DE RISCOS'!C94</f>
        <v>[P17]</v>
      </c>
      <c r="V154" s="360" t="str">
        <f t="shared" si="5"/>
        <v/>
      </c>
      <c r="W154" s="360">
        <f t="shared" si="3"/>
        <v>4.7885075818036714E-2</v>
      </c>
      <c r="X154" s="360" t="str">
        <f t="shared" si="4"/>
        <v/>
      </c>
    </row>
    <row r="155" spans="2:24" ht="14.45">
      <c r="B155" s="364">
        <f>'BASE DA MATRIZ DE RISCOS'!E141</f>
        <v>0</v>
      </c>
      <c r="K155">
        <f>'BASE DA MATRIZ DE RISCOS'!C118</f>
        <v>0</v>
      </c>
      <c r="L155">
        <f>'BASE DA MATRIZ DE RISCOS'!I118</f>
        <v>0</v>
      </c>
      <c r="M155" s="353">
        <f t="shared" si="6"/>
        <v>0</v>
      </c>
      <c r="R155" s="358">
        <v>36</v>
      </c>
      <c r="S155" s="360">
        <f t="shared" si="1"/>
        <v>2.8731045490822026E-2</v>
      </c>
      <c r="U155" s="354" t="str">
        <f>'BASE DA MATRIZ DE RISCOS'!C95</f>
        <v>[P18]</v>
      </c>
      <c r="V155" s="360">
        <f t="shared" si="5"/>
        <v>2.8731045490822026E-2</v>
      </c>
      <c r="W155" s="360" t="str">
        <f t="shared" si="3"/>
        <v/>
      </c>
      <c r="X155" s="360" t="str">
        <f t="shared" si="4"/>
        <v/>
      </c>
    </row>
    <row r="156" spans="2:24" ht="14.45">
      <c r="B156" s="364">
        <f>'BASE DA MATRIZ DE RISCOS'!E142</f>
        <v>0</v>
      </c>
      <c r="K156">
        <f>'BASE DA MATRIZ DE RISCOS'!C119</f>
        <v>0</v>
      </c>
      <c r="L156">
        <f>'BASE DA MATRIZ DE RISCOS'!I119</f>
        <v>0</v>
      </c>
      <c r="M156" s="353">
        <f t="shared" si="6"/>
        <v>0</v>
      </c>
      <c r="R156" s="358">
        <v>48</v>
      </c>
      <c r="S156" s="360">
        <f t="shared" si="1"/>
        <v>3.830806065442937E-2</v>
      </c>
      <c r="U156" s="354" t="str">
        <f>'BASE DA MATRIZ DE RISCOS'!C96</f>
        <v>[P19]</v>
      </c>
      <c r="V156" s="360">
        <f t="shared" si="5"/>
        <v>3.830806065442937E-2</v>
      </c>
      <c r="W156" s="360" t="str">
        <f t="shared" si="3"/>
        <v/>
      </c>
      <c r="X156" s="360" t="str">
        <f t="shared" si="4"/>
        <v/>
      </c>
    </row>
    <row r="157" spans="2:24" ht="14.45">
      <c r="B157" s="364">
        <f>'BASE DA MATRIZ DE RISCOS'!E143</f>
        <v>0</v>
      </c>
      <c r="K157">
        <f>'BASE DA MATRIZ DE RISCOS'!C120</f>
        <v>0</v>
      </c>
      <c r="L157">
        <f>'BASE DA MATRIZ DE RISCOS'!I120</f>
        <v>0</v>
      </c>
      <c r="M157" s="353">
        <f t="shared" si="6"/>
        <v>0</v>
      </c>
      <c r="R157" s="358">
        <v>40</v>
      </c>
      <c r="S157" s="360">
        <f t="shared" si="1"/>
        <v>3.192338387869114E-2</v>
      </c>
      <c r="U157" s="354" t="str">
        <f>'BASE DA MATRIZ DE RISCOS'!C97</f>
        <v>[P20]</v>
      </c>
      <c r="V157" s="360">
        <f t="shared" si="5"/>
        <v>3.192338387869114E-2</v>
      </c>
      <c r="W157" s="360" t="str">
        <f t="shared" si="3"/>
        <v/>
      </c>
      <c r="X157" s="360" t="str">
        <f t="shared" si="4"/>
        <v/>
      </c>
    </row>
    <row r="158" spans="2:24" ht="14.45">
      <c r="B158" s="364">
        <f>'BASE DA MATRIZ DE RISCOS'!E144</f>
        <v>0</v>
      </c>
      <c r="K158">
        <f>'BASE DA MATRIZ DE RISCOS'!C121</f>
        <v>0</v>
      </c>
      <c r="L158">
        <f>'BASE DA MATRIZ DE RISCOS'!I121</f>
        <v>0</v>
      </c>
      <c r="M158" s="353">
        <f t="shared" si="6"/>
        <v>0</v>
      </c>
      <c r="R158" s="358">
        <v>40</v>
      </c>
      <c r="S158" s="360">
        <f t="shared" si="1"/>
        <v>3.192338387869114E-2</v>
      </c>
      <c r="U158" s="354" t="str">
        <f>'BASE DA MATRIZ DE RISCOS'!C98</f>
        <v>[P21]</v>
      </c>
      <c r="V158" s="360">
        <f t="shared" si="5"/>
        <v>3.192338387869114E-2</v>
      </c>
      <c r="W158" s="360" t="str">
        <f t="shared" si="3"/>
        <v/>
      </c>
      <c r="X158" s="360" t="str">
        <f t="shared" si="4"/>
        <v/>
      </c>
    </row>
    <row r="159" spans="2:24" ht="14.45">
      <c r="B159" s="364">
        <f>'BASE DA MATRIZ DE RISCOS'!E145</f>
        <v>0</v>
      </c>
      <c r="K159">
        <f>'BASE DA MATRIZ DE RISCOS'!C122</f>
        <v>0</v>
      </c>
      <c r="L159">
        <f>'BASE DA MATRIZ DE RISCOS'!I122</f>
        <v>0</v>
      </c>
      <c r="M159" s="353">
        <f t="shared" si="6"/>
        <v>0</v>
      </c>
      <c r="R159" s="358">
        <v>100</v>
      </c>
      <c r="S159" s="360">
        <f t="shared" si="1"/>
        <v>7.9808459696727854E-2</v>
      </c>
      <c r="U159" s="354" t="str">
        <f>'BASE DA MATRIZ DE RISCOS'!C99</f>
        <v>[P22]</v>
      </c>
      <c r="V159" s="360" t="str">
        <f t="shared" si="5"/>
        <v/>
      </c>
      <c r="W159" s="360" t="str">
        <f t="shared" si="3"/>
        <v/>
      </c>
      <c r="X159" s="360">
        <f t="shared" si="4"/>
        <v>7.9808459696727854E-2</v>
      </c>
    </row>
    <row r="160" spans="2:24" ht="14.45">
      <c r="B160" s="364">
        <f>'BASE DA MATRIZ DE RISCOS'!E146</f>
        <v>0</v>
      </c>
      <c r="K160">
        <f>'BASE DA MATRIZ DE RISCOS'!C123</f>
        <v>0</v>
      </c>
      <c r="L160">
        <f>'BASE DA MATRIZ DE RISCOS'!I123</f>
        <v>0</v>
      </c>
      <c r="M160" s="353">
        <f t="shared" si="6"/>
        <v>0</v>
      </c>
      <c r="R160" s="358">
        <v>100</v>
      </c>
      <c r="S160" s="360">
        <f t="shared" si="1"/>
        <v>7.9808459696727854E-2</v>
      </c>
      <c r="U160" s="354" t="str">
        <f>'BASE DA MATRIZ DE RISCOS'!C100</f>
        <v>[P23]</v>
      </c>
      <c r="V160" s="360" t="str">
        <f t="shared" si="5"/>
        <v/>
      </c>
      <c r="W160" s="360" t="str">
        <f t="shared" si="3"/>
        <v/>
      </c>
      <c r="X160" s="360">
        <f t="shared" si="4"/>
        <v>7.9808459696727854E-2</v>
      </c>
    </row>
    <row r="161" spans="2:48" ht="14.45">
      <c r="B161" s="364">
        <f>'BASE DA MATRIZ DE RISCOS'!E147</f>
        <v>0</v>
      </c>
      <c r="K161">
        <f>'BASE DA MATRIZ DE RISCOS'!C124</f>
        <v>0</v>
      </c>
      <c r="L161">
        <f>'BASE DA MATRIZ DE RISCOS'!I124</f>
        <v>0</v>
      </c>
      <c r="M161" s="353">
        <f t="shared" si="6"/>
        <v>0</v>
      </c>
      <c r="R161" s="358">
        <v>40</v>
      </c>
      <c r="S161" s="360">
        <f t="shared" si="1"/>
        <v>3.192338387869114E-2</v>
      </c>
      <c r="U161" s="354" t="str">
        <f>'BASE DA MATRIZ DE RISCOS'!C101</f>
        <v>[P24]</v>
      </c>
      <c r="V161" s="360">
        <f t="shared" si="5"/>
        <v>3.192338387869114E-2</v>
      </c>
      <c r="W161" s="360" t="str">
        <f t="shared" si="3"/>
        <v/>
      </c>
      <c r="X161" s="360" t="str">
        <f t="shared" si="4"/>
        <v/>
      </c>
    </row>
    <row r="162" spans="2:48" ht="14.45">
      <c r="B162" s="364">
        <f>'BASE DA MATRIZ DE RISCOS'!E148</f>
        <v>0</v>
      </c>
      <c r="K162">
        <f>'BASE DA MATRIZ DE RISCOS'!C125</f>
        <v>0</v>
      </c>
      <c r="L162">
        <f>'BASE DA MATRIZ DE RISCOS'!I125</f>
        <v>0</v>
      </c>
      <c r="M162" s="353">
        <f t="shared" si="6"/>
        <v>0</v>
      </c>
      <c r="R162" s="358">
        <v>24</v>
      </c>
      <c r="S162" s="360">
        <f t="shared" si="1"/>
        <v>1.9154030327214685E-2</v>
      </c>
      <c r="U162" s="354" t="str">
        <f>'BASE DA MATRIZ DE RISCOS'!C102</f>
        <v>[P25]</v>
      </c>
      <c r="V162" s="360">
        <f t="shared" si="5"/>
        <v>1.9154030327214685E-2</v>
      </c>
      <c r="W162" s="360" t="str">
        <f t="shared" si="3"/>
        <v/>
      </c>
      <c r="X162" s="360" t="str">
        <f t="shared" si="4"/>
        <v/>
      </c>
    </row>
    <row r="163" spans="2:48" ht="14.45">
      <c r="B163" s="364">
        <f>'BASE DA MATRIZ DE RISCOS'!E149</f>
        <v>0</v>
      </c>
      <c r="K163">
        <f>'BASE DA MATRIZ DE RISCOS'!C126</f>
        <v>0</v>
      </c>
      <c r="L163">
        <f>'BASE DA MATRIZ DE RISCOS'!I126</f>
        <v>0</v>
      </c>
      <c r="M163" s="353">
        <f t="shared" si="6"/>
        <v>0</v>
      </c>
      <c r="R163" s="358">
        <v>60</v>
      </c>
      <c r="S163" s="360">
        <f t="shared" si="1"/>
        <v>4.7885075818036714E-2</v>
      </c>
      <c r="U163" s="354" t="str">
        <f>'BASE DA MATRIZ DE RISCOS'!C103</f>
        <v>[P26]</v>
      </c>
      <c r="V163" s="360" t="str">
        <f t="shared" si="5"/>
        <v/>
      </c>
      <c r="W163" s="360">
        <f t="shared" si="3"/>
        <v>4.7885075818036714E-2</v>
      </c>
      <c r="X163" s="360" t="str">
        <f t="shared" si="4"/>
        <v/>
      </c>
    </row>
    <row r="164" spans="2:48" ht="14.45">
      <c r="B164" s="364">
        <f>'BASE DA MATRIZ DE RISCOS'!E150</f>
        <v>0</v>
      </c>
      <c r="K164">
        <f>'BASE DA MATRIZ DE RISCOS'!C127</f>
        <v>0</v>
      </c>
      <c r="L164">
        <f>'BASE DA MATRIZ DE RISCOS'!I127</f>
        <v>0</v>
      </c>
      <c r="M164" s="353">
        <f t="shared" si="6"/>
        <v>0</v>
      </c>
      <c r="R164" s="358">
        <v>100</v>
      </c>
      <c r="S164" s="360">
        <f t="shared" si="1"/>
        <v>7.9808459696727854E-2</v>
      </c>
      <c r="U164" s="354" t="str">
        <f>'BASE DA MATRIZ DE RISCOS'!C104</f>
        <v>[P27]</v>
      </c>
      <c r="V164" s="360" t="str">
        <f t="shared" si="5"/>
        <v/>
      </c>
      <c r="W164" s="360" t="str">
        <f t="shared" ref="W164:W166" si="7">IF(AND(R164&gt;50,R164&lt;75),S164,"")</f>
        <v/>
      </c>
      <c r="X164" s="360">
        <f t="shared" ref="X164:X168" si="8">IF(R164&gt;=75,S164,"")</f>
        <v>7.9808459696727854E-2</v>
      </c>
    </row>
    <row r="165" spans="2:48" ht="15" thickBot="1">
      <c r="B165" s="364">
        <f>'BASE DA MATRIZ DE RISCOS'!E151</f>
        <v>0</v>
      </c>
      <c r="K165">
        <f>'BASE DA MATRIZ DE RISCOS'!C128</f>
        <v>0</v>
      </c>
      <c r="L165">
        <f>'BASE DA MATRIZ DE RISCOS'!I128</f>
        <v>0</v>
      </c>
      <c r="M165" s="353">
        <f t="shared" si="6"/>
        <v>0</v>
      </c>
      <c r="R165" s="358">
        <v>12</v>
      </c>
      <c r="S165" s="360">
        <f t="shared" si="1"/>
        <v>9.5770151636073424E-3</v>
      </c>
      <c r="U165" s="354" t="str">
        <f>'BASE DA MATRIZ DE RISCOS'!C105</f>
        <v>[P28]</v>
      </c>
      <c r="V165" s="360">
        <f t="shared" si="5"/>
        <v>9.5770151636073424E-3</v>
      </c>
      <c r="W165" s="360" t="str">
        <f t="shared" si="7"/>
        <v/>
      </c>
      <c r="X165" s="360" t="str">
        <f t="shared" si="8"/>
        <v/>
      </c>
    </row>
    <row r="166" spans="2:48" ht="16.149999999999999" thickBot="1">
      <c r="B166" s="364">
        <f>'BASE DA MATRIZ DE RISCOS'!E152</f>
        <v>0</v>
      </c>
      <c r="K166">
        <f>'BASE DA MATRIZ DE RISCOS'!C129</f>
        <v>0</v>
      </c>
      <c r="L166">
        <f>'BASE DA MATRIZ DE RISCOS'!I129</f>
        <v>0</v>
      </c>
      <c r="M166" s="353">
        <f t="shared" si="6"/>
        <v>0</v>
      </c>
      <c r="R166" s="358">
        <v>100</v>
      </c>
      <c r="S166" s="360">
        <f t="shared" si="1"/>
        <v>7.9808459696727854E-2</v>
      </c>
      <c r="U166" s="354" t="str">
        <f>'BASE DA MATRIZ DE RISCOS'!C106</f>
        <v>[P29]</v>
      </c>
      <c r="V166" s="360" t="str">
        <f t="shared" si="5"/>
        <v/>
      </c>
      <c r="W166" s="360" t="str">
        <f t="shared" si="7"/>
        <v/>
      </c>
      <c r="X166" s="360">
        <f t="shared" si="8"/>
        <v>7.9808459696727854E-2</v>
      </c>
      <c r="AV166" s="362">
        <v>239.99</v>
      </c>
    </row>
    <row r="167" spans="2:48" ht="16.149999999999999" thickBot="1">
      <c r="B167" s="364">
        <f>'BASE DA MATRIZ DE RISCOS'!E153</f>
        <v>0</v>
      </c>
      <c r="K167">
        <f>'BASE DA MATRIZ DE RISCOS'!C130</f>
        <v>0</v>
      </c>
      <c r="L167">
        <f>'BASE DA MATRIZ DE RISCOS'!I130</f>
        <v>0</v>
      </c>
      <c r="M167" s="353">
        <f t="shared" si="6"/>
        <v>0</v>
      </c>
      <c r="R167" s="358"/>
      <c r="S167" s="360"/>
      <c r="U167" s="365"/>
      <c r="V167" s="360"/>
      <c r="W167" s="360"/>
      <c r="X167" s="360" t="str">
        <f t="shared" si="8"/>
        <v/>
      </c>
      <c r="AV167" s="363">
        <v>5</v>
      </c>
    </row>
    <row r="168" spans="2:48" ht="16.149999999999999" thickBot="1">
      <c r="B168" s="364">
        <f>'BASE DA MATRIZ DE RISCOS'!E154</f>
        <v>0</v>
      </c>
      <c r="K168">
        <f>'BASE DA MATRIZ DE RISCOS'!C131</f>
        <v>0</v>
      </c>
      <c r="L168">
        <f>'BASE DA MATRIZ DE RISCOS'!I131</f>
        <v>0</v>
      </c>
      <c r="M168" s="353">
        <f t="shared" si="6"/>
        <v>0</v>
      </c>
      <c r="R168" s="358"/>
      <c r="S168" s="360"/>
      <c r="U168" s="365"/>
      <c r="V168" s="360"/>
      <c r="W168" s="360"/>
      <c r="X168" s="360" t="str">
        <f t="shared" si="8"/>
        <v/>
      </c>
      <c r="AV168" s="363">
        <v>19.2</v>
      </c>
    </row>
    <row r="169" spans="2:48">
      <c r="K169">
        <f>'BASE DA MATRIZ DE RISCOS'!C138</f>
        <v>0</v>
      </c>
      <c r="L169">
        <f>'BASE DA MATRIZ DE RISCOS'!I138</f>
        <v>0</v>
      </c>
      <c r="M169" s="353">
        <f t="shared" si="6"/>
        <v>0</v>
      </c>
      <c r="V169" s="353"/>
      <c r="W169" s="353"/>
      <c r="X169" s="353"/>
    </row>
    <row r="170" spans="2:48">
      <c r="K170">
        <f>'BASE DA MATRIZ DE RISCOS'!C139</f>
        <v>0</v>
      </c>
      <c r="L170">
        <f>'BASE DA MATRIZ DE RISCOS'!I139</f>
        <v>0</v>
      </c>
      <c r="M170" s="353">
        <f t="shared" si="6"/>
        <v>0</v>
      </c>
      <c r="R170">
        <f>SUM(R138:R169)</f>
        <v>1253</v>
      </c>
      <c r="U170" s="353"/>
      <c r="V170" s="353"/>
      <c r="W170" s="353"/>
      <c r="AV170" s="361">
        <f>SUM(AV166:AV169)</f>
        <v>264.19</v>
      </c>
    </row>
    <row r="171" spans="2:48">
      <c r="K171">
        <f>'BASE DA MATRIZ DE RISCOS'!C140</f>
        <v>0</v>
      </c>
      <c r="L171">
        <f>'BASE DA MATRIZ DE RISCOS'!I140</f>
        <v>0</v>
      </c>
      <c r="M171" s="353">
        <f t="shared" si="6"/>
        <v>0</v>
      </c>
    </row>
    <row r="172" spans="2:48">
      <c r="K172">
        <f>'BASE DA MATRIZ DE RISCOS'!C141</f>
        <v>0</v>
      </c>
      <c r="L172">
        <f>'BASE DA MATRIZ DE RISCOS'!I141</f>
        <v>0</v>
      </c>
      <c r="M172" s="353">
        <f t="shared" si="6"/>
        <v>0</v>
      </c>
    </row>
    <row r="173" spans="2:48">
      <c r="K173">
        <f>'BASE DA MATRIZ DE RISCOS'!C142</f>
        <v>0</v>
      </c>
      <c r="L173">
        <f>'BASE DA MATRIZ DE RISCOS'!I142</f>
        <v>0</v>
      </c>
      <c r="M173" s="353">
        <f t="shared" ref="M173:M187" si="9">L173/$L$189</f>
        <v>0</v>
      </c>
    </row>
    <row r="174" spans="2:48">
      <c r="K174">
        <f>'BASE DA MATRIZ DE RISCOS'!C143</f>
        <v>0</v>
      </c>
      <c r="L174">
        <f>'BASE DA MATRIZ DE RISCOS'!I143</f>
        <v>0</v>
      </c>
      <c r="M174" s="353">
        <f t="shared" si="9"/>
        <v>0</v>
      </c>
    </row>
    <row r="175" spans="2:48">
      <c r="K175">
        <f>'BASE DA MATRIZ DE RISCOS'!C144</f>
        <v>0</v>
      </c>
      <c r="L175">
        <f>'BASE DA MATRIZ DE RISCOS'!I144</f>
        <v>0</v>
      </c>
      <c r="M175" s="353">
        <f t="shared" si="9"/>
        <v>0</v>
      </c>
    </row>
    <row r="176" spans="2:48">
      <c r="K176">
        <f>'BASE DA MATRIZ DE RISCOS'!C145</f>
        <v>0</v>
      </c>
      <c r="L176">
        <f>'BASE DA MATRIZ DE RISCOS'!I145</f>
        <v>0</v>
      </c>
      <c r="M176" s="353">
        <f t="shared" si="9"/>
        <v>0</v>
      </c>
    </row>
    <row r="177" spans="11:32">
      <c r="K177">
        <f>'BASE DA MATRIZ DE RISCOS'!C146</f>
        <v>0</v>
      </c>
      <c r="L177">
        <f>'BASE DA MATRIZ DE RISCOS'!I146</f>
        <v>0</v>
      </c>
      <c r="M177" s="353">
        <f t="shared" si="9"/>
        <v>0</v>
      </c>
    </row>
    <row r="178" spans="11:32">
      <c r="K178">
        <f>'BASE DA MATRIZ DE RISCOS'!C147</f>
        <v>0</v>
      </c>
      <c r="L178">
        <f>'BASE DA MATRIZ DE RISCOS'!I147</f>
        <v>0</v>
      </c>
      <c r="M178" s="353">
        <f t="shared" si="9"/>
        <v>0</v>
      </c>
    </row>
    <row r="179" spans="11:32">
      <c r="K179">
        <f>'BASE DA MATRIZ DE RISCOS'!C148</f>
        <v>0</v>
      </c>
      <c r="L179">
        <f>'BASE DA MATRIZ DE RISCOS'!I148</f>
        <v>0</v>
      </c>
      <c r="M179" s="353">
        <f t="shared" si="9"/>
        <v>0</v>
      </c>
    </row>
    <row r="180" spans="11:32">
      <c r="K180">
        <f>'BASE DA MATRIZ DE RISCOS'!C149</f>
        <v>0</v>
      </c>
      <c r="L180">
        <f>'BASE DA MATRIZ DE RISCOS'!I149</f>
        <v>0</v>
      </c>
      <c r="M180" s="353">
        <f t="shared" si="9"/>
        <v>0</v>
      </c>
      <c r="AC180" s="47"/>
      <c r="AD180" s="47"/>
      <c r="AF180" s="47"/>
    </row>
    <row r="181" spans="11:32">
      <c r="K181">
        <f>'BASE DA MATRIZ DE RISCOS'!C150</f>
        <v>0</v>
      </c>
      <c r="L181">
        <f>'BASE DA MATRIZ DE RISCOS'!I150</f>
        <v>0</v>
      </c>
      <c r="M181" s="353">
        <f t="shared" si="9"/>
        <v>0</v>
      </c>
    </row>
    <row r="182" spans="11:32">
      <c r="K182">
        <f>'BASE DA MATRIZ DE RISCOS'!C151</f>
        <v>0</v>
      </c>
      <c r="L182">
        <f>'BASE DA MATRIZ DE RISCOS'!I151</f>
        <v>0</v>
      </c>
      <c r="M182" s="353">
        <f t="shared" si="9"/>
        <v>0</v>
      </c>
      <c r="AC182" s="352"/>
    </row>
    <row r="183" spans="11:32">
      <c r="K183">
        <f>'BASE DA MATRIZ DE RISCOS'!C152</f>
        <v>0</v>
      </c>
      <c r="L183">
        <f>'BASE DA MATRIZ DE RISCOS'!I152</f>
        <v>0</v>
      </c>
      <c r="M183" s="353">
        <f t="shared" si="9"/>
        <v>0</v>
      </c>
      <c r="AC183" s="352"/>
    </row>
    <row r="184" spans="11:32">
      <c r="K184">
        <f>'BASE DA MATRIZ DE RISCOS'!C153</f>
        <v>0</v>
      </c>
      <c r="L184">
        <f>'BASE DA MATRIZ DE RISCOS'!I153</f>
        <v>0</v>
      </c>
      <c r="M184" s="353">
        <f t="shared" si="9"/>
        <v>0</v>
      </c>
      <c r="AC184" s="359"/>
    </row>
    <row r="185" spans="11:32">
      <c r="K185">
        <f>'BASE DA MATRIZ DE RISCOS'!C154</f>
        <v>0</v>
      </c>
      <c r="L185">
        <f>'BASE DA MATRIZ DE RISCOS'!I154</f>
        <v>0</v>
      </c>
      <c r="M185" s="353">
        <f t="shared" si="9"/>
        <v>0</v>
      </c>
      <c r="AC185" s="359"/>
    </row>
    <row r="186" spans="11:32">
      <c r="K186">
        <f>'BASE DA MATRIZ DE RISCOS'!C155</f>
        <v>0</v>
      </c>
      <c r="L186">
        <f>'BASE DA MATRIZ DE RISCOS'!I155</f>
        <v>0</v>
      </c>
      <c r="M186" s="353">
        <f t="shared" si="9"/>
        <v>0</v>
      </c>
      <c r="AC186" s="359"/>
    </row>
    <row r="187" spans="11:32">
      <c r="K187">
        <f>'BASE DA MATRIZ DE RISCOS'!C156</f>
        <v>0</v>
      </c>
      <c r="L187">
        <f>'BASE DA MATRIZ DE RISCOS'!I156</f>
        <v>0</v>
      </c>
      <c r="M187" s="353">
        <f t="shared" si="9"/>
        <v>0</v>
      </c>
      <c r="AC187" s="359"/>
    </row>
    <row r="188" spans="11:32">
      <c r="AB188" s="352"/>
    </row>
    <row r="189" spans="11:32">
      <c r="L189">
        <f>SUM(L107:L188)</f>
        <v>1728</v>
      </c>
      <c r="AB189" s="352"/>
    </row>
  </sheetData>
  <pageMargins left="0.511811024" right="0.511811024" top="0.78740157499999996" bottom="0.78740157499999996" header="0.31496062000000002" footer="0.31496062000000002"/>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1000"/>
  <sheetViews>
    <sheetView showGridLines="0" zoomScale="80" zoomScaleNormal="80" workbookViewId="0">
      <selection activeCell="C15" sqref="C15"/>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285</v>
      </c>
      <c r="E6" s="9"/>
    </row>
    <row r="7" spans="2:5" ht="14.45" thickBot="1">
      <c r="B7" s="443" t="s">
        <v>443</v>
      </c>
      <c r="C7" s="444" t="str">
        <f>VLOOKUP(C6,'BASE DA MATRIZ DE RISCOS'!$C$78:$D$202,2,)</f>
        <v xml:space="preserve">Pagamento sem documento fiscal </v>
      </c>
    </row>
    <row r="8" spans="2:5" thickBot="1">
      <c r="B8" s="49" t="s">
        <v>17</v>
      </c>
      <c r="C8" s="51" t="str">
        <f>VLOOKUP(C6,'BASE DA MATRIZ DE RISCOS'!$C$78:$E$202,3,)</f>
        <v>Legal</v>
      </c>
      <c r="E8" s="9"/>
    </row>
    <row r="9" spans="2:5" thickBot="1">
      <c r="B9" s="445" t="s">
        <v>17</v>
      </c>
      <c r="C9" s="446">
        <f>VLOOKUP(C6,'BASE DA MATRIZ DE RISCOS'!$C$78:$H$202,4,)</f>
        <v>3</v>
      </c>
      <c r="E9" s="9" t="s">
        <v>853</v>
      </c>
    </row>
    <row r="10" spans="2:5" thickBot="1">
      <c r="B10" s="52" t="s">
        <v>444</v>
      </c>
      <c r="C10" s="31">
        <f>VLOOKUP(C6,'BASE DA MATRIZ DE RISCOS'!$C$78:$H$202,5,)</f>
        <v>4</v>
      </c>
      <c r="E10" s="9" t="s">
        <v>854</v>
      </c>
    </row>
    <row r="11" spans="2:5" thickBot="1">
      <c r="B11" s="445" t="s">
        <v>449</v>
      </c>
      <c r="C11" s="446">
        <f>VLOOKUP(C6,'BASE DA MATRIZ DE RISCOS'!$C$78:$H$202,6,)</f>
        <v>2</v>
      </c>
      <c r="E11" s="9" t="s">
        <v>854</v>
      </c>
    </row>
    <row r="12" spans="2:5" thickBot="1">
      <c r="B12" s="52" t="s">
        <v>446</v>
      </c>
      <c r="C12" s="53">
        <f>C9*C10*C11</f>
        <v>24</v>
      </c>
      <c r="E12" s="9" t="s">
        <v>855</v>
      </c>
    </row>
    <row r="13" spans="2:5" thickBot="1">
      <c r="B13" s="445" t="s">
        <v>856</v>
      </c>
      <c r="C13" s="446" t="str">
        <f>VLOOKUP(C6,'BASE DA MATRIZ DE RISCOS'!$C$78:$J$202,8,)</f>
        <v>Voucher documental</v>
      </c>
      <c r="E13" s="9" t="s">
        <v>857</v>
      </c>
    </row>
    <row r="14" spans="2:5" ht="42" thickBot="1">
      <c r="B14" s="52" t="s">
        <v>464</v>
      </c>
      <c r="C14" s="31" t="str">
        <f>VLOOKUP(C$6,'RESUMO DE PONTOS'!$C$9:$H$64,3,)</f>
        <v>Verificamos que ocorreram gastos sem a respectiva emissão de documento fiscal pelos fornecedores e/ou prestadores de serviços.</v>
      </c>
    </row>
    <row r="15" spans="2:5" ht="69.599999999999994" thickBot="1">
      <c r="B15" s="445" t="s">
        <v>279</v>
      </c>
      <c r="C15" s="446" t="str">
        <f>IFERROR(VLOOKUP(C$6,'RESUMO DE PONTOS'!$C$9:$H$64,4,),"")</f>
        <v>Pagamentos sem os respectivos documentos fiscais dos fornecedores/prestadores de serviços não são permitidos pela legislação brasileira, assim como Convenção e Regimento Interno do Condomínio. Dessa forma, o mesmo pode ser multado e/ou sofrer outras penalidades impostas pelo fisco.</v>
      </c>
    </row>
    <row r="16" spans="2:5" ht="14.45" thickBot="1">
      <c r="B16" s="52" t="s">
        <v>280</v>
      </c>
      <c r="C16" s="84">
        <f>IFERROR(VLOOKUP(C$6,'RESUMO DE PONTOS'!$C$9:$H$64,5,),"")</f>
        <v>17679.82</v>
      </c>
    </row>
    <row r="17" spans="2:3" ht="42" thickBot="1">
      <c r="B17" s="447" t="s">
        <v>281</v>
      </c>
      <c r="C17" s="446" t="str">
        <f>IFERROR(VLOOKUP(C$6,'RESUMO DE PONTOS'!$C$9:$H$64,6,),"")</f>
        <v>Sugerimos que seja solicitado aos respectivos fornecedores/ prestadores de serviços a nota fiscal pelo fornecimento de material ou de prestação de serviço.</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113" priority="1" operator="containsText" text="BAIXO IMPACTO">
      <formula>NOT(ISERROR(SEARCH(("BAIXO IMPACTO"),(C4))))</formula>
    </cfRule>
    <cfRule type="containsText" dxfId="112" priority="2" operator="containsText" text="MÉDIO IMPACTO">
      <formula>NOT(ISERROR(SEARCH(("MÉDIO IMPACTO"),(C4))))</formula>
    </cfRule>
    <cfRule type="containsText" dxfId="111" priority="3" operator="containsText" text="ALTO IMPACTO">
      <formula>NOT(ISERROR(SEARCH(("ALTO IMPACTO"),(C4))))</formula>
    </cfRule>
  </conditionalFormatting>
  <dataValidations disablePrompts="1" count="3">
    <dataValidation type="list" allowBlank="1" showErrorMessage="1" sqref="C6" xr:uid="{00000000-0002-0000-0500-000000000000}">
      <formula1>"[P1],[P2],[P3],[P4],[P5],[P6],[P7],[P8],[P9],[P10],[P11],[P12],[P13],[P14],[P15],[P16],[P17],[P18],[P19],[P20],[P21],[P22],[P23],[P24],[P25],[P26],[P27],[P28],[P29],[P30],[P31],[P32],[P33],[P34],[P35],[P36],[P37],[P38],[P39],[P40]"</formula1>
    </dataValidation>
    <dataValidation type="list" allowBlank="1" showErrorMessage="1" sqref="C8" xr:uid="{4F4265D3-F018-47BD-9AD3-C7D348BA44E7}">
      <formula1>"Estratégico,Financeiro,Operacional,Legal,Tecnologia,Imagem"</formula1>
    </dataValidation>
    <dataValidation type="list" allowBlank="1" showErrorMessage="1" sqref="C4" xr:uid="{00000000-0002-0000-0500-000002000000}">
      <formula1>"ALTO IMPACTO,MÉDIO IMPACTO,BAIXO IMPACTO"</formula1>
    </dataValidation>
  </dataValidations>
  <pageMargins left="0.511811024" right="0.511811024" top="0.78740157499999996" bottom="0.78740157499999996"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6749-313E-478E-BED1-565BDF80A2A5}">
  <dimension ref="B2:E1000"/>
  <sheetViews>
    <sheetView showGridLines="0" topLeftCell="A14" workbookViewId="0">
      <selection activeCell="B3" sqref="B3:C14"/>
    </sheetView>
  </sheetViews>
  <sheetFormatPr defaultColWidth="12.625" defaultRowHeight="15" customHeight="1"/>
  <cols>
    <col min="1" max="1" width="3.1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451</v>
      </c>
      <c r="E6" s="9" t="s">
        <v>861</v>
      </c>
    </row>
    <row r="7" spans="2:5" ht="28.15" thickBot="1">
      <c r="B7" s="443" t="s">
        <v>443</v>
      </c>
      <c r="C7" s="444" t="str">
        <f>VLOOKUP(C6,'BASE DA MATRIZ DE RISCOS'!$C$78:$D$202,2,)</f>
        <v>Pagamentos realizados sem os respectivos comprovantes de pagamento anexados</v>
      </c>
    </row>
    <row r="8" spans="2:5" thickBot="1">
      <c r="B8" s="49" t="s">
        <v>17</v>
      </c>
      <c r="C8" s="51" t="str">
        <f>VLOOKUP(C6,'BASE DA MATRIZ DE RISCOS'!$C$78:$E$202,3,)</f>
        <v>Financeiro</v>
      </c>
      <c r="E8" s="9" t="s">
        <v>861</v>
      </c>
    </row>
    <row r="9" spans="2:5" thickBot="1">
      <c r="B9" s="445" t="s">
        <v>17</v>
      </c>
      <c r="C9" s="446">
        <f>VLOOKUP(C6,'BASE DA MATRIZ DE RISCOS'!$C$78:$H$202,4,)</f>
        <v>5</v>
      </c>
      <c r="E9" s="9" t="s">
        <v>853</v>
      </c>
    </row>
    <row r="10" spans="2:5" thickBot="1">
      <c r="B10" s="52" t="s">
        <v>444</v>
      </c>
      <c r="C10" s="31">
        <f>VLOOKUP(C6,'BASE DA MATRIZ DE RISCOS'!$C$78:$H$202,5,)</f>
        <v>3</v>
      </c>
      <c r="E10" s="9" t="s">
        <v>854</v>
      </c>
    </row>
    <row r="11" spans="2:5" thickBot="1">
      <c r="B11" s="445" t="s">
        <v>449</v>
      </c>
      <c r="C11" s="446">
        <f>VLOOKUP(C6,'BASE DA MATRIZ DE RISCOS'!$C$78:$H$202,6,)</f>
        <v>1</v>
      </c>
      <c r="E11" s="9" t="s">
        <v>854</v>
      </c>
    </row>
    <row r="12" spans="2:5" thickBot="1">
      <c r="B12" s="52" t="s">
        <v>446</v>
      </c>
      <c r="C12" s="53">
        <f>C9*C10*C11</f>
        <v>15</v>
      </c>
      <c r="E12" s="9" t="s">
        <v>855</v>
      </c>
    </row>
    <row r="13" spans="2:5" thickBot="1">
      <c r="B13" s="445" t="s">
        <v>856</v>
      </c>
      <c r="C13" s="446" t="str">
        <f>VLOOKUP(C6,'BASE DA MATRIZ DE RISCOS'!$C$78:$J$202,8,)</f>
        <v>Voucher documental</v>
      </c>
      <c r="E13" s="9" t="s">
        <v>857</v>
      </c>
    </row>
    <row r="14" spans="2:5" ht="55.9" thickBot="1">
      <c r="B14" s="52" t="s">
        <v>464</v>
      </c>
      <c r="C14" s="31" t="str">
        <f>VLOOKUP(C$6,'RESUMO DE PONTOS'!$C$9:$H$64,3,)</f>
        <v>Constatamos que alguns pagamentos foram realizados sem que fossem anexados os respectivos comprovantes de pagamentos ou documentos equivalentes dando a respectiva quitação.</v>
      </c>
    </row>
    <row r="15" spans="2:5" ht="42" thickBot="1">
      <c r="B15" s="445" t="s">
        <v>279</v>
      </c>
      <c r="C15" s="446" t="str">
        <f>IFERROR(VLOOKUP(C$6,'RESUMO DE PONTOS'!$C$9:$H$64,4,),"")</f>
        <v>Possibilidade de pagamento duplicado dos valores, ou caso haja a solicitação dos comprovantes de pagamentos o Condomínio não os possua.</v>
      </c>
    </row>
    <row r="16" spans="2:5" ht="14.45" thickBot="1">
      <c r="B16" s="52" t="s">
        <v>280</v>
      </c>
      <c r="C16" s="84">
        <f>IFERROR(VLOOKUP(C$6,'RESUMO DE PONTOS'!$C$9:$H$64,5,),"")</f>
        <v>1558.2399999999998</v>
      </c>
    </row>
    <row r="17" spans="2:3" ht="42" thickBot="1">
      <c r="B17" s="447" t="s">
        <v>281</v>
      </c>
      <c r="C17" s="446" t="str">
        <f>IFERROR(VLOOKUP(C$6,'RESUMO DE PONTOS'!$C$9:$H$64,6,),"")</f>
        <v>Sugerimos que sejam criados controles para que os comprovantes de pagamentos estejam anexados com seus respectivos documentos.</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110" priority="1" operator="containsText" text="BAIXO IMPACTO">
      <formula>NOT(ISERROR(SEARCH(("BAIXO IMPACTO"),(C4))))</formula>
    </cfRule>
    <cfRule type="containsText" dxfId="109" priority="2" operator="containsText" text="MÉDIO IMPACTO">
      <formula>NOT(ISERROR(SEARCH(("MÉDIO IMPACTO"),(C4))))</formula>
    </cfRule>
    <cfRule type="containsText" dxfId="108" priority="3" operator="containsText" text="ALTO IMPACTO">
      <formula>NOT(ISERROR(SEARCH(("ALTO IMPACTO"),(C4))))</formula>
    </cfRule>
  </conditionalFormatting>
  <dataValidations count="3">
    <dataValidation type="list" allowBlank="1" showErrorMessage="1" sqref="C4" xr:uid="{FCB75086-F164-470E-9C43-D467E618DC09}">
      <formula1>"ALTO IMPACTO,MÉDIO IMPACTO,BAIXO IMPACTO"</formula1>
    </dataValidation>
    <dataValidation type="list" allowBlank="1" showErrorMessage="1" sqref="C8" xr:uid="{F61F6A10-779B-4D33-96E7-E8E5FDE599ED}">
      <formula1>"Estratégico,Financeiro,Operacional,Legal,Tecnologia,Imagem"</formula1>
    </dataValidation>
    <dataValidation type="list" allowBlank="1" showErrorMessage="1" sqref="C6" xr:uid="{F837D7E2-7802-4F2A-B933-8663AB6CDA88}">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FE671-F565-46C2-BF4B-EE20B43DCC7E}">
  <dimension ref="B2:E1000"/>
  <sheetViews>
    <sheetView showGridLines="0" topLeftCell="A6"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452</v>
      </c>
      <c r="E6" s="9" t="s">
        <v>861</v>
      </c>
    </row>
    <row r="7" spans="2:5" ht="28.15" thickBot="1">
      <c r="B7" s="443" t="s">
        <v>443</v>
      </c>
      <c r="C7" s="444" t="s">
        <v>293</v>
      </c>
    </row>
    <row r="8" spans="2:5" thickBot="1">
      <c r="B8" s="49" t="s">
        <v>17</v>
      </c>
      <c r="C8" s="51" t="str">
        <f>VLOOKUP(C6,'BASE DA MATRIZ DE RISCOS'!$C$78:$E$202,3,)</f>
        <v>Operacional</v>
      </c>
      <c r="E8" s="9" t="s">
        <v>861</v>
      </c>
    </row>
    <row r="9" spans="2:5" thickBot="1">
      <c r="B9" s="445" t="s">
        <v>17</v>
      </c>
      <c r="C9" s="446">
        <f>VLOOKUP(C6,'BASE DA MATRIZ DE RISCOS'!$C$78:$H$202,4,)</f>
        <v>4</v>
      </c>
      <c r="E9" s="9" t="s">
        <v>853</v>
      </c>
    </row>
    <row r="10" spans="2:5" thickBot="1">
      <c r="B10" s="52" t="s">
        <v>444</v>
      </c>
      <c r="C10" s="31">
        <f>VLOOKUP(C6,'BASE DA MATRIZ DE RISCOS'!$C$78:$H$202,5,)</f>
        <v>3</v>
      </c>
      <c r="E10" s="9" t="s">
        <v>854</v>
      </c>
    </row>
    <row r="11" spans="2:5" thickBot="1">
      <c r="B11" s="445" t="s">
        <v>449</v>
      </c>
      <c r="C11" s="446">
        <f>VLOOKUP(C6,'BASE DA MATRIZ DE RISCOS'!$C$78:$H$202,6,)</f>
        <v>1</v>
      </c>
      <c r="E11" s="9" t="s">
        <v>854</v>
      </c>
    </row>
    <row r="12" spans="2:5" thickBot="1">
      <c r="B12" s="52" t="s">
        <v>446</v>
      </c>
      <c r="C12" s="53">
        <f>C9*C10*C11</f>
        <v>12</v>
      </c>
      <c r="E12" s="9" t="s">
        <v>855</v>
      </c>
    </row>
    <row r="13" spans="2:5" thickBot="1">
      <c r="B13" s="445" t="s">
        <v>856</v>
      </c>
      <c r="C13" s="446" t="str">
        <f>VLOOKUP(C6,'BASE DA MATRIZ DE RISCOS'!$C$78:$J$202,8,)</f>
        <v>Voucher documental</v>
      </c>
      <c r="E13" s="9" t="s">
        <v>857</v>
      </c>
    </row>
    <row r="14" spans="2:5" ht="42" thickBot="1">
      <c r="B14" s="52" t="s">
        <v>464</v>
      </c>
      <c r="C14" s="31" t="str">
        <f>VLOOKUP(C$6,'RESUMO DE PONTOS'!$C$9:$H$64,3,)</f>
        <v>Verificamos que alguns comprovantes não estão sendo arquivados com os cuidados necessários, com isso alguns estão ilegíveis.</v>
      </c>
    </row>
    <row r="15" spans="2:5" ht="42" thickBot="1">
      <c r="B15" s="445" t="s">
        <v>279</v>
      </c>
      <c r="C15" s="446" t="str">
        <f>IFERROR(VLOOKUP(C$6,'RESUMO DE PONTOS'!$C$9:$H$64,4,),"")</f>
        <v>Possível dificuldade e/ou impossibilidade na visualização dos gastos e dúvidas quanto a possíveis consultas no futuro em função do estado dos documentos.</v>
      </c>
    </row>
    <row r="16" spans="2:5" ht="14.45" thickBot="1">
      <c r="B16" s="52" t="s">
        <v>280</v>
      </c>
      <c r="C16" s="84">
        <f>IFERROR(VLOOKUP(C$6,'RESUMO DE PONTOS'!$C$9:$H$64,5,),"")</f>
        <v>118.82000000000001</v>
      </c>
    </row>
    <row r="17" spans="2:3" ht="55.9" thickBot="1">
      <c r="B17" s="447" t="s">
        <v>281</v>
      </c>
      <c r="C17" s="446" t="str">
        <f>IFERROR(VLOOKUP(C$6,'RESUMO DE PONTOS'!$C$9:$H$64,6,),"")</f>
        <v>Sugerimos aperfeiçoamento dos controles internos para que no momento do recebimento das documentações sejam retiradas as cópias ou ocorram as digitalizações visando preservar as informações.</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107" priority="1" operator="containsText" text="BAIXO IMPACTO">
      <formula>NOT(ISERROR(SEARCH(("BAIXO IMPACTO"),(C4))))</formula>
    </cfRule>
    <cfRule type="containsText" dxfId="106" priority="2" operator="containsText" text="MÉDIO IMPACTO">
      <formula>NOT(ISERROR(SEARCH(("MÉDIO IMPACTO"),(C4))))</formula>
    </cfRule>
    <cfRule type="containsText" dxfId="105" priority="3" operator="containsText" text="ALTO IMPACTO">
      <formula>NOT(ISERROR(SEARCH(("ALTO IMPACTO"),(C4))))</formula>
    </cfRule>
  </conditionalFormatting>
  <dataValidations count="3">
    <dataValidation type="list" allowBlank="1" showErrorMessage="1" sqref="C4" xr:uid="{61CB9B06-7600-49D9-9F0B-FF668C33CB5E}">
      <formula1>"ALTO IMPACTO,MÉDIO IMPACTO,BAIXO IMPACTO"</formula1>
    </dataValidation>
    <dataValidation type="list" allowBlank="1" showErrorMessage="1" sqref="C8" xr:uid="{05855CB7-9D29-480C-A943-9F42D3B65273}">
      <formula1>"Estratégico,Financeiro,Operacional,Legal,Tecnologia,Imagem"</formula1>
    </dataValidation>
    <dataValidation type="list" allowBlank="1" showErrorMessage="1" sqref="C6" xr:uid="{D1174E32-CB68-4EF6-8839-74EEA6FEEDD4}">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611E3-B40D-41B9-A919-1B26AB8A040F}">
  <dimension ref="B2:E1000"/>
  <sheetViews>
    <sheetView showGridLines="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453</v>
      </c>
      <c r="E6" s="9" t="s">
        <v>861</v>
      </c>
    </row>
    <row r="7" spans="2:5" ht="28.15" thickBot="1">
      <c r="B7" s="443" t="s">
        <v>443</v>
      </c>
      <c r="C7" s="444" t="str">
        <f>VLOOKUP(C6,'BASE DA MATRIZ DE RISCOS'!$C$78:$D$202,2,)</f>
        <v>Conjunto de documentos anexados fora do mês correspondente no Balancete.</v>
      </c>
    </row>
    <row r="8" spans="2:5" thickBot="1">
      <c r="B8" s="49" t="s">
        <v>17</v>
      </c>
      <c r="C8" s="51" t="str">
        <f>VLOOKUP(C6,'BASE DA MATRIZ DE RISCOS'!$C$78:$E$202,3,)</f>
        <v>Operacional</v>
      </c>
      <c r="E8" s="9" t="s">
        <v>861</v>
      </c>
    </row>
    <row r="9" spans="2:5" thickBot="1">
      <c r="B9" s="445" t="s">
        <v>17</v>
      </c>
      <c r="C9" s="446">
        <f>VLOOKUP(C6,'BASE DA MATRIZ DE RISCOS'!$C$78:$H$202,4,)</f>
        <v>4</v>
      </c>
      <c r="E9" s="9" t="s">
        <v>853</v>
      </c>
    </row>
    <row r="10" spans="2:5" thickBot="1">
      <c r="B10" s="52" t="s">
        <v>444</v>
      </c>
      <c r="C10" s="31">
        <f>VLOOKUP(C6,'BASE DA MATRIZ DE RISCOS'!$C$78:$H$202,5,)</f>
        <v>1</v>
      </c>
      <c r="E10" s="9" t="s">
        <v>854</v>
      </c>
    </row>
    <row r="11" spans="2:5" thickBot="1">
      <c r="B11" s="445" t="s">
        <v>449</v>
      </c>
      <c r="C11" s="446">
        <f>VLOOKUP(C6,'BASE DA MATRIZ DE RISCOS'!$C$78:$H$202,6,)</f>
        <v>1</v>
      </c>
      <c r="E11" s="9" t="s">
        <v>854</v>
      </c>
    </row>
    <row r="12" spans="2:5" thickBot="1">
      <c r="B12" s="52" t="s">
        <v>446</v>
      </c>
      <c r="C12" s="53">
        <f>C9*C10*C11</f>
        <v>4</v>
      </c>
      <c r="E12" s="9" t="s">
        <v>855</v>
      </c>
    </row>
    <row r="13" spans="2:5" thickBot="1">
      <c r="B13" s="445" t="s">
        <v>856</v>
      </c>
      <c r="C13" s="446" t="str">
        <f>VLOOKUP(C6,'BASE DA MATRIZ DE RISCOS'!$C$78:$J$202,8,)</f>
        <v>Voucher documental</v>
      </c>
      <c r="E13" s="9" t="s">
        <v>857</v>
      </c>
    </row>
    <row r="14" spans="2:5" ht="28.15" thickBot="1">
      <c r="B14" s="52" t="s">
        <v>464</v>
      </c>
      <c r="C14" s="31" t="str">
        <f>VLOOKUP(C$6,'RESUMO DE PONTOS'!$C$9:$H$64,3,)</f>
        <v>Desorganização da documentação suporte dificultam a análise de todas as partes envolvidas.</v>
      </c>
    </row>
    <row r="15" spans="2:5" ht="42" thickBot="1">
      <c r="B15" s="445" t="s">
        <v>279</v>
      </c>
      <c r="C15" s="446" t="s">
        <v>862</v>
      </c>
    </row>
    <row r="16" spans="2:5" ht="14.45" thickBot="1">
      <c r="B16" s="52" t="s">
        <v>280</v>
      </c>
      <c r="C16" s="84">
        <f>IFERROR(VLOOKUP(C$6,'RESUMO DE PONTOS'!$C$9:$H$64,5,),"")</f>
        <v>418.07</v>
      </c>
    </row>
    <row r="17" spans="2:3" ht="42" thickBot="1">
      <c r="B17" s="447" t="s">
        <v>281</v>
      </c>
      <c r="C17" s="446" t="s">
        <v>863</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104" priority="1" operator="containsText" text="BAIXO IMPACTO">
      <formula>NOT(ISERROR(SEARCH(("BAIXO IMPACTO"),(C4))))</formula>
    </cfRule>
    <cfRule type="containsText" dxfId="103" priority="2" operator="containsText" text="MÉDIO IMPACTO">
      <formula>NOT(ISERROR(SEARCH(("MÉDIO IMPACTO"),(C4))))</formula>
    </cfRule>
    <cfRule type="containsText" dxfId="102" priority="3" operator="containsText" text="ALTO IMPACTO">
      <formula>NOT(ISERROR(SEARCH(("ALTO IMPACTO"),(C4))))</formula>
    </cfRule>
  </conditionalFormatting>
  <dataValidations disablePrompts="1" count="3">
    <dataValidation type="list" allowBlank="1" showErrorMessage="1" sqref="C6" xr:uid="{3C0D2925-01C5-4024-8EE7-E2C41662C006}">
      <formula1>"[P1],[P2],[P3],[P4],[P5],[P6],[P7],[P8],[P9],[P10],[P11],[P12],[P13],[P14],[P15],[P16],[P17],[P18],[P19],[P20],[P21],[P22],[P23],[P24],[P25],[P26],[P27],[P28],[P29],[P30],[P31],[P32],[P33],[P34],[P35],[P36],[P37],[P38],[P39],[P40]"</formula1>
    </dataValidation>
    <dataValidation type="list" allowBlank="1" showErrorMessage="1" sqref="C8" xr:uid="{85B8C9FC-2792-4961-AAA6-B44D63FB38CF}">
      <formula1>"Estratégico,Financeiro,Operacional,Legal,Tecnologia,Imagem"</formula1>
    </dataValidation>
    <dataValidation type="list" allowBlank="1" showErrorMessage="1" sqref="C4" xr:uid="{72373892-2D22-4158-9886-5A36916ACC48}">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1FAE2-D537-4CA7-BD2F-A801D448DC69}">
  <dimension ref="B2:E1000"/>
  <sheetViews>
    <sheetView showGridLines="0" topLeftCell="A6" zoomScale="70" zoomScaleNormal="7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454</v>
      </c>
      <c r="E6" s="9" t="s">
        <v>861</v>
      </c>
    </row>
    <row r="7" spans="2:5" ht="28.15" thickBot="1">
      <c r="B7" s="443" t="s">
        <v>443</v>
      </c>
      <c r="C7" s="444" t="str">
        <f>VLOOKUP(C6,'BASE DA MATRIZ DE RISCOS'!$C$78:$D$202,2,)</f>
        <v>Informações apresentado fora do mês correspondente na demonstração financeira.</v>
      </c>
    </row>
    <row r="8" spans="2:5" thickBot="1">
      <c r="B8" s="49" t="s">
        <v>17</v>
      </c>
      <c r="C8" s="51" t="str">
        <f>VLOOKUP(C6,'BASE DA MATRIZ DE RISCOS'!$C$78:$E$202,3,)</f>
        <v>Financeiro</v>
      </c>
      <c r="E8" s="9" t="s">
        <v>861</v>
      </c>
    </row>
    <row r="9" spans="2:5" thickBot="1">
      <c r="B9" s="445" t="s">
        <v>17</v>
      </c>
      <c r="C9" s="446">
        <f>VLOOKUP(C6,'BASE DA MATRIZ DE RISCOS'!$C$78:$H$202,4,)</f>
        <v>5</v>
      </c>
      <c r="E9" s="9" t="s">
        <v>853</v>
      </c>
    </row>
    <row r="10" spans="2:5" thickBot="1">
      <c r="B10" s="52" t="s">
        <v>444</v>
      </c>
      <c r="C10" s="31">
        <f>VLOOKUP(C6,'BASE DA MATRIZ DE RISCOS'!$C$78:$H$202,5,)</f>
        <v>1</v>
      </c>
      <c r="E10" s="9" t="s">
        <v>854</v>
      </c>
    </row>
    <row r="11" spans="2:5" thickBot="1">
      <c r="B11" s="445" t="s">
        <v>449</v>
      </c>
      <c r="C11" s="446">
        <f>VLOOKUP(C6,'BASE DA MATRIZ DE RISCOS'!$C$78:$H$202,6,)</f>
        <v>1</v>
      </c>
      <c r="E11" s="9" t="s">
        <v>854</v>
      </c>
    </row>
    <row r="12" spans="2:5" thickBot="1">
      <c r="B12" s="52" t="s">
        <v>446</v>
      </c>
      <c r="C12" s="53">
        <f>C9*C10*C11</f>
        <v>5</v>
      </c>
      <c r="E12" s="9" t="s">
        <v>855</v>
      </c>
    </row>
    <row r="13" spans="2:5" thickBot="1">
      <c r="B13" s="445" t="s">
        <v>856</v>
      </c>
      <c r="C13" s="446" t="str">
        <f>VLOOKUP(C6,'BASE DA MATRIZ DE RISCOS'!$C$78:$J$202,8,)</f>
        <v>Voucher documental</v>
      </c>
      <c r="E13" s="9" t="s">
        <v>857</v>
      </c>
    </row>
    <row r="14" spans="2:5" ht="59.65" customHeight="1" thickBot="1">
      <c r="B14" s="52" t="s">
        <v>464</v>
      </c>
      <c r="C14" s="31" t="str">
        <f>VLOOKUP(C$6,'RESUMO DE PONTOS'!$C$9:$H$64,3,)</f>
        <v>Verificamos que há desorganização das informações na demonstração financeira que dificultam na análise de todas as partes envolvidas.</v>
      </c>
    </row>
    <row r="15" spans="2:5" ht="55.9" thickBot="1">
      <c r="B15" s="445" t="s">
        <v>279</v>
      </c>
      <c r="C15" s="446" t="str">
        <f>IFERROR(VLOOKUP(C$6,'RESUMO DE PONTOS'!$C$9:$H$64,4,),"")</f>
        <v>A falta de apresentação de maneira tempestiva das informações financeiras poderá afetar diretamente o controle financeiro do condomínio e o entendimento dos Demonstrativos.</v>
      </c>
    </row>
    <row r="16" spans="2:5" ht="14.45" thickBot="1">
      <c r="B16" s="52" t="s">
        <v>280</v>
      </c>
      <c r="C16" s="84">
        <f>IFERROR(VLOOKUP(C$6,'RESUMO DE PONTOS'!$C$9:$H$64,5,),"")</f>
        <v>418.07</v>
      </c>
    </row>
    <row r="17" spans="2:3" ht="42" thickBot="1">
      <c r="B17" s="447" t="s">
        <v>281</v>
      </c>
      <c r="C17" s="446" t="str">
        <f>IFERROR(VLOOKUP(C$6,'RESUMO DE PONTOS'!$C$9:$H$64,6,),"")</f>
        <v>Indicamos que as informações apresentadas nas Demonstrações Financeiras sejam realizadas conforme o período correspondente.</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101" priority="1" operator="containsText" text="BAIXO IMPACTO">
      <formula>NOT(ISERROR(SEARCH(("BAIXO IMPACTO"),(C4))))</formula>
    </cfRule>
    <cfRule type="containsText" dxfId="100" priority="2" operator="containsText" text="MÉDIO IMPACTO">
      <formula>NOT(ISERROR(SEARCH(("MÉDIO IMPACTO"),(C4))))</formula>
    </cfRule>
    <cfRule type="containsText" dxfId="99" priority="3" operator="containsText" text="ALTO IMPACTO">
      <formula>NOT(ISERROR(SEARCH(("ALTO IMPACTO"),(C4))))</formula>
    </cfRule>
  </conditionalFormatting>
  <dataValidations count="3">
    <dataValidation type="list" allowBlank="1" showErrorMessage="1" sqref="C4" xr:uid="{2370B10C-F9FA-4F5B-8093-EE321CE69223}">
      <formula1>"ALTO IMPACTO,MÉDIO IMPACTO,BAIXO IMPACTO"</formula1>
    </dataValidation>
    <dataValidation type="list" allowBlank="1" showErrorMessage="1" sqref="C8" xr:uid="{6893277D-EEA4-472C-87F5-48E62EDD507E}">
      <formula1>"Estratégico,Financeiro,Operacional,Legal,Tecnologia,Imagem"</formula1>
    </dataValidation>
    <dataValidation type="list" allowBlank="1" showErrorMessage="1" sqref="C6" xr:uid="{1539EB79-1B6C-41B5-9CFD-061E05216CF2}">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4CE44-268E-49AC-A688-C0F942A770C2}">
  <dimension ref="B2:E1000"/>
  <sheetViews>
    <sheetView showGridLines="0" workbookViewId="0">
      <selection sqref="A1:XFD1048576"/>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13.5" customHeight="1" thickBot="1">
      <c r="B5" s="443" t="s">
        <v>274</v>
      </c>
      <c r="C5" s="444" t="str">
        <f>IFERROR(VLOOKUP(C6,'RESUMO DE PONTOS'!$C$9:$M$64,11,),"")</f>
        <v xml:space="preserve">•	08/11/2022
•	Novo
■	Vorcon Auditoria &amp; Consultoria
</v>
      </c>
    </row>
    <row r="6" spans="2:5" thickBot="1">
      <c r="B6" s="49" t="s">
        <v>276</v>
      </c>
      <c r="C6" s="50" t="s">
        <v>301</v>
      </c>
      <c r="E6" s="9" t="s">
        <v>861</v>
      </c>
    </row>
    <row r="7" spans="2:5" ht="28.15" thickBot="1">
      <c r="B7" s="443" t="s">
        <v>443</v>
      </c>
      <c r="C7" s="444" t="str">
        <f>VLOOKUP(C6,'BASE DA MATRIZ DE RISCOS'!$C$78:$D$202,2,)</f>
        <v>Diferenças entre: Valor do comprovante de pagamento X Valor da documentação suporte.</v>
      </c>
    </row>
    <row r="8" spans="2:5" thickBot="1">
      <c r="B8" s="49" t="s">
        <v>17</v>
      </c>
      <c r="C8" s="51" t="str">
        <f>VLOOKUP(C6,'BASE DA MATRIZ DE RISCOS'!$C$78:$E$202,3,)</f>
        <v>Financeiro</v>
      </c>
      <c r="E8" s="9" t="s">
        <v>861</v>
      </c>
    </row>
    <row r="9" spans="2:5" thickBot="1">
      <c r="B9" s="445" t="s">
        <v>17</v>
      </c>
      <c r="C9" s="446">
        <f>VLOOKUP(C6,'BASE DA MATRIZ DE RISCOS'!$C$78:$H$202,4,)</f>
        <v>5</v>
      </c>
      <c r="E9" s="9" t="s">
        <v>853</v>
      </c>
    </row>
    <row r="10" spans="2:5" thickBot="1">
      <c r="B10" s="52" t="s">
        <v>444</v>
      </c>
      <c r="C10" s="31">
        <f>VLOOKUP(C6,'BASE DA MATRIZ DE RISCOS'!$C$78:$H$202,5,)</f>
        <v>3</v>
      </c>
      <c r="E10" s="9" t="s">
        <v>854</v>
      </c>
    </row>
    <row r="11" spans="2:5" thickBot="1">
      <c r="B11" s="445" t="s">
        <v>449</v>
      </c>
      <c r="C11" s="446">
        <f>VLOOKUP(C6,'BASE DA MATRIZ DE RISCOS'!$C$78:$H$202,6,)</f>
        <v>1</v>
      </c>
      <c r="E11" s="9" t="s">
        <v>854</v>
      </c>
    </row>
    <row r="12" spans="2:5" thickBot="1">
      <c r="B12" s="52" t="s">
        <v>446</v>
      </c>
      <c r="C12" s="53">
        <f>C9*C10*C11</f>
        <v>15</v>
      </c>
      <c r="E12" s="9" t="s">
        <v>855</v>
      </c>
    </row>
    <row r="13" spans="2:5" thickBot="1">
      <c r="B13" s="445" t="s">
        <v>856</v>
      </c>
      <c r="C13" s="446" t="str">
        <f>VLOOKUP(C6,'BASE DA MATRIZ DE RISCOS'!$C$78:$J$202,8,)</f>
        <v>Voucher documental</v>
      </c>
      <c r="E13" s="9" t="s">
        <v>857</v>
      </c>
    </row>
    <row r="14" spans="2:5" ht="28.15" thickBot="1">
      <c r="B14" s="52" t="s">
        <v>464</v>
      </c>
      <c r="C14" s="31" t="str">
        <f>VLOOKUP(C$6,'RESUMO DE PONTOS'!$C$9:$H$64,3,)</f>
        <v>Verificamos que alguns pagamentos foram realizados após a data de vencimento acarretando em gastos adicionais.</v>
      </c>
    </row>
    <row r="15" spans="2:5" ht="28.15" thickBot="1">
      <c r="B15" s="445" t="s">
        <v>279</v>
      </c>
      <c r="C15" s="446" t="str">
        <f>IFERROR(VLOOKUP(C$6,'RESUMO DE PONTOS'!$C$9:$H$64,4,),"")</f>
        <v>Possibilidade do condomínio incorrer em gastos desnecessários</v>
      </c>
    </row>
    <row r="16" spans="2:5" ht="14.45" thickBot="1">
      <c r="B16" s="52" t="s">
        <v>280</v>
      </c>
      <c r="C16" s="84">
        <f>IFERROR(VLOOKUP(C$6,'RESUMO DE PONTOS'!$C$9:$H$64,5,),"")</f>
        <v>10.37</v>
      </c>
    </row>
    <row r="17" spans="2:3" ht="42" thickBot="1">
      <c r="B17" s="447" t="s">
        <v>281</v>
      </c>
      <c r="C17" s="446" t="str">
        <f>IFERROR(VLOOKUP(C$6,'RESUMO DE PONTOS'!$C$9:$H$64,6,),"")</f>
        <v>Sugerimos que seja elaborado um controle de vencimento das despesas e que sejam efetuados os pagamentos até o vencimento.</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98" priority="1" operator="containsText" text="BAIXO IMPACTO">
      <formula>NOT(ISERROR(SEARCH(("BAIXO IMPACTO"),(C4))))</formula>
    </cfRule>
    <cfRule type="containsText" dxfId="97" priority="2" operator="containsText" text="MÉDIO IMPACTO">
      <formula>NOT(ISERROR(SEARCH(("MÉDIO IMPACTO"),(C4))))</formula>
    </cfRule>
    <cfRule type="containsText" dxfId="96" priority="3" operator="containsText" text="ALTO IMPACTO">
      <formula>NOT(ISERROR(SEARCH(("ALTO IMPACTO"),(C4))))</formula>
    </cfRule>
  </conditionalFormatting>
  <dataValidations count="3">
    <dataValidation type="list" allowBlank="1" showErrorMessage="1" sqref="C6" xr:uid="{E228C316-758E-42EB-A06B-C5893350B9B6}">
      <formula1>"[P1],[P2],[P3],[P4],[P5],[P6],[P7],[P8],[P9],[P10],[P11],[P12],[P13],[P14],[P15],[P16],[P17],[P18],[P19],[P20],[P21],[P22],[P23],[P24],[P25],[P26],[P27],[P28],[P29],[P30],[P31],[P32],[P33],[P34],[P35],[P36],[P37],[P38],[P39],[P40]"</formula1>
    </dataValidation>
    <dataValidation type="list" allowBlank="1" showErrorMessage="1" sqref="C8" xr:uid="{8EF75CE2-BA02-4043-BE90-4056BBDDD583}">
      <formula1>"Estratégico,Financeiro,Operacional,Legal,Tecnologia,Imagem"</formula1>
    </dataValidation>
    <dataValidation type="list" allowBlank="1" showErrorMessage="1" sqref="C4" xr:uid="{A6B9E39D-37EA-4525-8DC1-930CC849FEF8}">
      <formula1>"ALTO IMPACTO,MÉDIO IMPACTO,BAIXO IMPACTO"</formula1>
    </dataValidation>
  </dataValidations>
  <pageMargins left="0.511811024" right="0.511811024" top="0.78740157499999996" bottom="0.78740157499999996" header="0" footer="0"/>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0CE24-194E-409F-8AFD-B4B98FF54A71}">
  <dimension ref="B2:E1000"/>
  <sheetViews>
    <sheetView showGridLines="0" topLeftCell="A5" workbookViewId="0">
      <selection activeCell="B5" sqref="A1:XFD1048576"/>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304</v>
      </c>
      <c r="E6" s="9" t="s">
        <v>861</v>
      </c>
    </row>
    <row r="7" spans="2:5" ht="14.45" thickBot="1">
      <c r="B7" s="443" t="s">
        <v>443</v>
      </c>
      <c r="C7" s="444" t="str">
        <f>VLOOKUP(C6,'BASE DA MATRIZ DE RISCOS'!$C$78:$D$202,2,)</f>
        <v>Pagamentos realizados antes da emissão da nota fiscal.</v>
      </c>
    </row>
    <row r="8" spans="2:5" thickBot="1">
      <c r="B8" s="49" t="s">
        <v>17</v>
      </c>
      <c r="C8" s="51" t="str">
        <f>VLOOKUP(C6,'BASE DA MATRIZ DE RISCOS'!$C$78:$E$202,3,)</f>
        <v>Legal</v>
      </c>
      <c r="E8" s="9" t="s">
        <v>861</v>
      </c>
    </row>
    <row r="9" spans="2:5" thickBot="1">
      <c r="B9" s="445" t="s">
        <v>17</v>
      </c>
      <c r="C9" s="446">
        <f>VLOOKUP($C$8,'BASE DA MATRIZ DE RISCOS'!$C$30:$E$35,3)</f>
        <v>5</v>
      </c>
      <c r="E9" s="9" t="s">
        <v>853</v>
      </c>
    </row>
    <row r="10" spans="2:5" thickBot="1">
      <c r="B10" s="52" t="s">
        <v>444</v>
      </c>
      <c r="C10" s="31">
        <f>VLOOKUP(C6,'BASE DA MATRIZ DE RISCOS'!$C$78:$H$202,5,)</f>
        <v>3</v>
      </c>
      <c r="E10" s="9" t="s">
        <v>854</v>
      </c>
    </row>
    <row r="11" spans="2:5" thickBot="1">
      <c r="B11" s="445" t="s">
        <v>449</v>
      </c>
      <c r="C11" s="446">
        <f>VLOOKUP(C6,'BASE DA MATRIZ DE RISCOS'!$C$78:$H$202,6,)</f>
        <v>1</v>
      </c>
      <c r="E11" s="9" t="s">
        <v>854</v>
      </c>
    </row>
    <row r="12" spans="2:5" thickBot="1">
      <c r="B12" s="52" t="s">
        <v>446</v>
      </c>
      <c r="C12" s="53">
        <f>C9*C10*C11</f>
        <v>15</v>
      </c>
      <c r="E12" s="9" t="s">
        <v>855</v>
      </c>
    </row>
    <row r="13" spans="2:5" thickBot="1">
      <c r="B13" s="445" t="s">
        <v>856</v>
      </c>
      <c r="C13" s="446" t="str">
        <f>VLOOKUP(C6,'BASE DA MATRIZ DE RISCOS'!$C$78:$J$202,8,)</f>
        <v>Voucher documental</v>
      </c>
      <c r="E13" s="9" t="s">
        <v>857</v>
      </c>
    </row>
    <row r="14" spans="2:5" ht="42" thickBot="1">
      <c r="B14" s="52" t="s">
        <v>464</v>
      </c>
      <c r="C14" s="31" t="str">
        <f>VLOOKUP(C$6,'RESUMO DE PONTOS'!$C$9:$H$64,3,)</f>
        <v>Verificamos que ocorreram pagamentos onde a emissão da  documentação fiscal é posterior a data em que a transação bancária foi realizada.</v>
      </c>
    </row>
    <row r="15" spans="2:5" ht="42" thickBot="1">
      <c r="B15" s="445" t="s">
        <v>279</v>
      </c>
      <c r="C15" s="446" t="str">
        <f>IFERROR(VLOOKUP(C$6,'RESUMO DE PONTOS'!$C$9:$H$64,4,),"")</f>
        <v>O pagamento antes da emissão das notas fiscais traz uma vulnerabilidade a respeito do cumprimento das melhores práticas de gestão podendo gerar penalidades tributárias.</v>
      </c>
    </row>
    <row r="16" spans="2:5" ht="14.45" thickBot="1">
      <c r="B16" s="52" t="s">
        <v>280</v>
      </c>
      <c r="C16" s="84">
        <f>IFERROR(VLOOKUP(C$6,'RESUMO DE PONTOS'!$C$9:$H$64,5,),"")</f>
        <v>3563.1600000000003</v>
      </c>
    </row>
    <row r="17" spans="2:3" ht="28.15" thickBot="1">
      <c r="B17" s="447" t="s">
        <v>281</v>
      </c>
      <c r="C17" s="446" t="str">
        <f>IFERROR(VLOOKUP(C$6,'RESUMO DE PONTOS'!$C$9:$H$64,6,),"")</f>
        <v>Recomendamos que seja verificada a emissão da nota fiscal antes da realização do pagamento.</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95" priority="1" operator="containsText" text="BAIXO IMPACTO">
      <formula>NOT(ISERROR(SEARCH(("BAIXO IMPACTO"),(C4))))</formula>
    </cfRule>
    <cfRule type="containsText" dxfId="94" priority="2" operator="containsText" text="MÉDIO IMPACTO">
      <formula>NOT(ISERROR(SEARCH(("MÉDIO IMPACTO"),(C4))))</formula>
    </cfRule>
    <cfRule type="containsText" dxfId="93" priority="3" operator="containsText" text="ALTO IMPACTO">
      <formula>NOT(ISERROR(SEARCH(("ALTO IMPACTO"),(C4))))</formula>
    </cfRule>
  </conditionalFormatting>
  <dataValidations count="3">
    <dataValidation type="list" allowBlank="1" showErrorMessage="1" sqref="C6" xr:uid="{D60D47FD-1F1F-4C8D-ABBC-049DB17F4A03}">
      <formula1>"[P1],[P2],[P3],[P4],[P5],[P6],[P7],[P8],[P9],[P10],[P11],[P12],[P13],[P14],[P15],[P16],[P17],[P18],[P19],[P20],[P21],[P22],[P23],[P24],[P25],[P26],[P27],[P28],[P29],[P30],[P31],[P32],[P33],[P34],[P35],[P36],[P37],[P38],[P39],[P40]"</formula1>
    </dataValidation>
    <dataValidation type="list" allowBlank="1" showErrorMessage="1" sqref="C8" xr:uid="{A48B7E6B-8AEB-4221-97ED-148622FB022E}">
      <formula1>"Estratégico,Financeiro,Operacional,Legal,Tecnologia,Imagem"</formula1>
    </dataValidation>
    <dataValidation type="list" allowBlank="1" showErrorMessage="1" sqref="C4" xr:uid="{048D1F61-28DE-4844-980E-062D927EAF3A}">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CB8CD-3F2E-4379-889D-DE0933E2F380}">
  <dimension ref="B2:E1000"/>
  <sheetViews>
    <sheetView showGridLines="0" workbookViewId="0">
      <selection activeCell="C5" sqref="A1:XFD1048576"/>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ALTO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307</v>
      </c>
      <c r="E6" s="9"/>
    </row>
    <row r="7" spans="2:5" ht="28.15" thickBot="1">
      <c r="B7" s="443" t="s">
        <v>443</v>
      </c>
      <c r="C7" s="444" t="str">
        <f>VLOOKUP(C6,'BASE DA MATRIZ DE RISCOS'!$C$78:$D$202,2,)</f>
        <v>Os balancetes sem aprovação dos conselheiros fiscais e do síndico no termo de aprovação.</v>
      </c>
    </row>
    <row r="8" spans="2:5" thickBot="1">
      <c r="B8" s="49" t="s">
        <v>17</v>
      </c>
      <c r="C8" s="51" t="str">
        <f>VLOOKUP(C6,'BASE DA MATRIZ DE RISCOS'!$C$78:$E$202,3,)</f>
        <v>Legal</v>
      </c>
      <c r="E8" s="9"/>
    </row>
    <row r="9" spans="2:5" thickBot="1">
      <c r="B9" s="445" t="s">
        <v>17</v>
      </c>
      <c r="C9" s="446">
        <f>VLOOKUP($C$8,'BASE DA MATRIZ DE RISCOS'!$C$30:$E$35,3)</f>
        <v>5</v>
      </c>
      <c r="E9" s="9" t="s">
        <v>853</v>
      </c>
    </row>
    <row r="10" spans="2:5" thickBot="1">
      <c r="B10" s="52" t="s">
        <v>444</v>
      </c>
      <c r="C10" s="31">
        <f>VLOOKUP(C6,'BASE DA MATRIZ DE RISCOS'!$C$78:$H$202,5,)</f>
        <v>5</v>
      </c>
      <c r="E10" s="9" t="s">
        <v>854</v>
      </c>
    </row>
    <row r="11" spans="2:5" thickBot="1">
      <c r="B11" s="445" t="s">
        <v>449</v>
      </c>
      <c r="C11" s="446">
        <f>VLOOKUP(C6,'BASE DA MATRIZ DE RISCOS'!$C$78:$H$202,6,)</f>
        <v>4</v>
      </c>
      <c r="E11" s="9" t="s">
        <v>854</v>
      </c>
    </row>
    <row r="12" spans="2:5" thickBot="1">
      <c r="B12" s="52" t="s">
        <v>446</v>
      </c>
      <c r="C12" s="53">
        <f>C9*C10*C11</f>
        <v>100</v>
      </c>
      <c r="E12" s="9" t="s">
        <v>855</v>
      </c>
    </row>
    <row r="13" spans="2:5" thickBot="1">
      <c r="B13" s="445" t="s">
        <v>856</v>
      </c>
      <c r="C13" s="446" t="str">
        <f>VLOOKUP(C6,'BASE DA MATRIZ DE RISCOS'!$C$78:$J$202,8,)</f>
        <v>Resumo Convenção</v>
      </c>
      <c r="E13" s="9" t="s">
        <v>857</v>
      </c>
    </row>
    <row r="14" spans="2:5" ht="138.6" thickBot="1">
      <c r="B14" s="52" t="s">
        <v>464</v>
      </c>
      <c r="C14" s="31" t="str">
        <f>VLOOKUP(C$6,'RESUMO DE PONTOS'!$C$9:$H$64,3,)</f>
        <v>No período de 03/2021 a 02/2022 não constam as assinaturas do síndico e dos conselheiros fiscais para aprovação dos balancetes. Porém, conforme a Convenção do Subcondomínio Reserva das Plantas na cláusula 4.9.1 - f) "O Síndico de cada Subcondomínio tem as seguintes atribuições [...] rubrica[...] dos livros". Além disso, no item G-4.21-c) "Cada Conselho Fiscal [...] terá as seguintes atribuições: emitir parecer sobre as contas [...] do Síndico do Subcondomínio Residencial [...], conferindo-as, aprovando-as ou rejeitando-as".</v>
      </c>
    </row>
    <row r="15" spans="2:5" ht="69.599999999999994" thickBot="1">
      <c r="B15" s="445" t="s">
        <v>279</v>
      </c>
      <c r="C15" s="446" t="str">
        <f>IFERROR(VLOOKUP(C$6,'RESUMO DE PONTOS'!$C$9:$H$64,4,),"")</f>
        <v>A falta das assinaturas dos conselheiros fiscais nos termos de aprovação dos balancetes indica que as contas do condomínio não foram submetidas ao exame, podendo acarretar a redução do nível de confiança dos demonstrativos e prejudicar a leitura dos usuários.</v>
      </c>
    </row>
    <row r="16" spans="2:5" ht="14.45" thickBot="1">
      <c r="B16" s="52" t="s">
        <v>280</v>
      </c>
      <c r="C16" s="84" t="str">
        <f>IFERROR(VLOOKUP(C$6,'RESUMO DE PONTOS'!$C$9:$H$64,5,),"")</f>
        <v>NA</v>
      </c>
    </row>
    <row r="17" spans="2:3" ht="69.599999999999994" thickBot="1">
      <c r="B17" s="447" t="s">
        <v>281</v>
      </c>
      <c r="C17" s="446" t="str">
        <f>IFERROR(VLOOKUP(C$6,'RESUMO DE PONTOS'!$C$9:$H$64,6,),"")</f>
        <v>Sugerimos que os conselheiros fiscais realizem o exame dos balancetes e caso ocorra a aprovação dos mesmos, confirmem com as suas assinaturas nos termos de aprovação. Mesmo com as demonstrações financeiras sendo auditadas mensalmente, é necessário a validação do conselho fiscal.</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92" priority="1" operator="containsText" text="BAIXO IMPACTO">
      <formula>NOT(ISERROR(SEARCH(("BAIXO IMPACTO"),(C4))))</formula>
    </cfRule>
    <cfRule type="containsText" dxfId="91" priority="2" operator="containsText" text="MÉDIO IMPACTO">
      <formula>NOT(ISERROR(SEARCH(("MÉDIO IMPACTO"),(C4))))</formula>
    </cfRule>
    <cfRule type="containsText" dxfId="90" priority="3" operator="containsText" text="ALTO IMPACTO">
      <formula>NOT(ISERROR(SEARCH(("ALTO IMPACTO"),(C4))))</formula>
    </cfRule>
  </conditionalFormatting>
  <dataValidations count="3">
    <dataValidation type="list" allowBlank="1" showErrorMessage="1" sqref="C4" xr:uid="{91033074-7E18-4901-85B1-C87A091502AE}">
      <formula1>"ALTO IMPACTO,MÉDIO IMPACTO,BAIXO IMPACTO"</formula1>
    </dataValidation>
    <dataValidation type="list" allowBlank="1" showErrorMessage="1" sqref="C8" xr:uid="{41259DFA-3C1F-48FD-BDB0-751113926FDE}">
      <formula1>"Estratégico,Financeiro,Operacional,Legal,Tecnologia,Imagem"</formula1>
    </dataValidation>
    <dataValidation type="list" allowBlank="1" showErrorMessage="1" sqref="C6" xr:uid="{4637A457-604F-4777-87B8-B3B28CD62D9C}">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8299-0B92-41E9-9E80-AA941A5B1771}">
  <dimension ref="B2:E1000"/>
  <sheetViews>
    <sheetView showGridLines="0" topLeftCell="A13" workbookViewId="0">
      <selection activeCell="C16" sqref="A1:XFD1048576"/>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ALTO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319</v>
      </c>
      <c r="E6" s="9" t="s">
        <v>861</v>
      </c>
    </row>
    <row r="7" spans="2:5" ht="14.45" thickBot="1">
      <c r="B7" s="443" t="s">
        <v>443</v>
      </c>
      <c r="C7" s="444" t="str">
        <f>VLOOKUP(C6,'BASE DA MATRIZ DE RISCOS'!$C$78:$D$202,2,)</f>
        <v>Falta de registro de Ata's em cartório</v>
      </c>
    </row>
    <row r="8" spans="2:5" thickBot="1">
      <c r="B8" s="49" t="s">
        <v>17</v>
      </c>
      <c r="C8" s="51" t="str">
        <f>VLOOKUP(C6,'BASE DA MATRIZ DE RISCOS'!$C$78:$E$202,3,)</f>
        <v>Legal</v>
      </c>
      <c r="E8" s="9" t="s">
        <v>861</v>
      </c>
    </row>
    <row r="9" spans="2:5" thickBot="1">
      <c r="B9" s="445" t="s">
        <v>17</v>
      </c>
      <c r="C9" s="446">
        <f>VLOOKUP($C$8,'BASE DA MATRIZ DE RISCOS'!$C$30:$E$35,3)</f>
        <v>5</v>
      </c>
      <c r="E9" s="9" t="s">
        <v>853</v>
      </c>
    </row>
    <row r="10" spans="2:5" thickBot="1">
      <c r="B10" s="52" t="s">
        <v>444</v>
      </c>
      <c r="C10" s="31">
        <f>VLOOKUP(C6,'BASE DA MATRIZ DE RISCOS'!$C$78:$H$202,5,)</f>
        <v>5</v>
      </c>
      <c r="E10" s="9" t="s">
        <v>854</v>
      </c>
    </row>
    <row r="11" spans="2:5" thickBot="1">
      <c r="B11" s="445" t="s">
        <v>449</v>
      </c>
      <c r="C11" s="446">
        <f>VLOOKUP(C6,'BASE DA MATRIZ DE RISCOS'!$C$78:$H$202,6,)</f>
        <v>4</v>
      </c>
      <c r="E11" s="9" t="s">
        <v>854</v>
      </c>
    </row>
    <row r="12" spans="2:5" thickBot="1">
      <c r="B12" s="52" t="s">
        <v>446</v>
      </c>
      <c r="C12" s="53">
        <f>C9*C10*C11</f>
        <v>100</v>
      </c>
      <c r="E12" s="9" t="s">
        <v>855</v>
      </c>
    </row>
    <row r="13" spans="2:5" thickBot="1">
      <c r="B13" s="445" t="s">
        <v>856</v>
      </c>
      <c r="C13" s="446" t="str">
        <f>VLOOKUP(C6,'BASE DA MATRIZ DE RISCOS'!$C$78:$J$202,8,)</f>
        <v>Resumo Convenção</v>
      </c>
      <c r="E13" s="9" t="s">
        <v>857</v>
      </c>
    </row>
    <row r="14" spans="2:5" ht="111" thickBot="1">
      <c r="B14" s="52" t="s">
        <v>464</v>
      </c>
      <c r="C14" s="31" t="str">
        <f>VLOOKUP(C$6,'RESUMO DE PONTOS'!$C$9:$H$64,3,)</f>
        <v>Não identificamos o registro em cartório das Ata's: 16/12/2021, 09/09/2021, 14/10/2021, 27/01/2022, 03/02/2022. Conforme a Convenção do Subcondomínio Reserva das Plantas na cláusula 4.9.1 - f) "O Síndico de cada Subcondomínio tem as seguintes atribuições [...] Providenciar abertura, numeração, rubrica e encerramento dos livros, bem como o registro das atas em Cartório de Registro de Títulos e Documentos".</v>
      </c>
    </row>
    <row r="15" spans="2:5" ht="28.15" thickBot="1">
      <c r="B15" s="445" t="s">
        <v>279</v>
      </c>
      <c r="C15" s="446" t="str">
        <f>IFERROR(VLOOKUP(C$6,'RESUMO DE PONTOS'!$C$9:$H$64,4,),"")</f>
        <v>Possível questionamento dos Condominos quanto a validação das Ata's por falta de registo no cartório.</v>
      </c>
    </row>
    <row r="16" spans="2:5" ht="14.45" thickBot="1">
      <c r="B16" s="52" t="s">
        <v>280</v>
      </c>
      <c r="C16" s="84" t="str">
        <f>IFERROR(VLOOKUP(C$6,'RESUMO DE PONTOS'!$C$9:$H$64,5,),"")</f>
        <v>NA</v>
      </c>
    </row>
    <row r="17" spans="2:3" ht="28.15" thickBot="1">
      <c r="B17" s="447" t="s">
        <v>281</v>
      </c>
      <c r="C17" s="446" t="str">
        <f>IFERROR(VLOOKUP(C$6,'RESUMO DE PONTOS'!$C$9:$H$64,6,),"")</f>
        <v>Sugerimos que haja registro das Ata's em cartório, conforme convenção.</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89" priority="1" operator="containsText" text="BAIXO IMPACTO">
      <formula>NOT(ISERROR(SEARCH(("BAIXO IMPACTO"),(C4))))</formula>
    </cfRule>
    <cfRule type="containsText" dxfId="88" priority="2" operator="containsText" text="MÉDIO IMPACTO">
      <formula>NOT(ISERROR(SEARCH(("MÉDIO IMPACTO"),(C4))))</formula>
    </cfRule>
    <cfRule type="containsText" dxfId="87" priority="3" operator="containsText" text="ALTO IMPACTO">
      <formula>NOT(ISERROR(SEARCH(("ALTO IMPACTO"),(C4))))</formula>
    </cfRule>
  </conditionalFormatting>
  <dataValidations count="3">
    <dataValidation type="list" allowBlank="1" showErrorMessage="1" sqref="C6" xr:uid="{865A4EDB-0882-46D6-BC7F-546EF3B93B39}">
      <formula1>"[P1],[P2],[P3],[P4],[P5],[P6],[P7],[P8],[P9],[P10],[P11],[P12],[P13],[P14],[P15],[P16],[P17],[P18],[P19],[P20],[P21],[P22],[P23],[P24],[P25],[P26],[P27],[P28],[P29],[P30],[P31],[P32],[P33],[P34],[P35],[P36],[P37],[P38],[P39],[P40]"</formula1>
    </dataValidation>
    <dataValidation type="list" allowBlank="1" showErrorMessage="1" sqref="C8" xr:uid="{303D9239-3D51-4659-8038-90D4BC000C12}">
      <formula1>"Estratégico,Financeiro,Operacional,Legal,Tecnologia,Imagem"</formula1>
    </dataValidation>
    <dataValidation type="list" allowBlank="1" showErrorMessage="1" sqref="C4" xr:uid="{7A409A14-D242-47D7-BFA3-64093C17C64D}">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8CA90-FF64-4939-B1DC-C012FAC7D464}">
  <dimension ref="B2:E1000"/>
  <sheetViews>
    <sheetView showGridLines="0" workbookViewId="0">
      <selection activeCell="C5" sqref="C5"/>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ALTO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326</v>
      </c>
      <c r="E6" s="9" t="s">
        <v>861</v>
      </c>
    </row>
    <row r="7" spans="2:5" ht="14.45" thickBot="1">
      <c r="B7" s="443" t="s">
        <v>443</v>
      </c>
      <c r="C7" s="444" t="str">
        <f>VLOOKUP(C6,'BASE DA MATRIZ DE RISCOS'!$C$78:$D$202,2,)</f>
        <v>Falta relatório de auditoria do período anterior.</v>
      </c>
    </row>
    <row r="8" spans="2:5" thickBot="1">
      <c r="B8" s="49" t="s">
        <v>17</v>
      </c>
      <c r="C8" s="51" t="str">
        <f>VLOOKUP(C6,'BASE DA MATRIZ DE RISCOS'!$C$78:$E$202,3,)</f>
        <v>Estratégico</v>
      </c>
      <c r="E8" s="9" t="s">
        <v>861</v>
      </c>
    </row>
    <row r="9" spans="2:5" thickBot="1">
      <c r="B9" s="445" t="s">
        <v>17</v>
      </c>
      <c r="C9" s="446">
        <f>VLOOKUP($C$8,'BASE DA MATRIZ DE RISCOS'!$C$30:$E$35,3)</f>
        <v>4</v>
      </c>
      <c r="E9" s="9" t="s">
        <v>853</v>
      </c>
    </row>
    <row r="10" spans="2:5" thickBot="1">
      <c r="B10" s="52" t="s">
        <v>444</v>
      </c>
      <c r="C10" s="31">
        <f>VLOOKUP(C6,'BASE DA MATRIZ DE RISCOS'!$C$78:$H$202,5,)</f>
        <v>5</v>
      </c>
      <c r="E10" s="9" t="s">
        <v>854</v>
      </c>
    </row>
    <row r="11" spans="2:5" thickBot="1">
      <c r="B11" s="445" t="s">
        <v>449</v>
      </c>
      <c r="C11" s="446">
        <f>VLOOKUP(C6,'BASE DA MATRIZ DE RISCOS'!$C$78:$H$202,6,)</f>
        <v>4</v>
      </c>
      <c r="E11" s="9" t="s">
        <v>854</v>
      </c>
    </row>
    <row r="12" spans="2:5" thickBot="1">
      <c r="B12" s="52" t="s">
        <v>446</v>
      </c>
      <c r="C12" s="53">
        <f>C9*C10*C11</f>
        <v>80</v>
      </c>
      <c r="E12" s="9" t="s">
        <v>855</v>
      </c>
    </row>
    <row r="13" spans="2:5" thickBot="1">
      <c r="B13" s="445" t="s">
        <v>856</v>
      </c>
      <c r="C13" s="446" t="str">
        <f>VLOOKUP(C6,'BASE DA MATRIZ DE RISCOS'!$C$78:$J$202,8,)</f>
        <v>Follow Up CCI</v>
      </c>
      <c r="E13" s="9" t="s">
        <v>857</v>
      </c>
    </row>
    <row r="14" spans="2:5" ht="138.6" thickBot="1">
      <c r="B14" s="52" t="s">
        <v>464</v>
      </c>
      <c r="C14" s="31" t="str">
        <f>VLOOKUP(C$6,'RESUMO DE PONTOS'!$C$9:$H$64,3,)</f>
        <v>Conforme a Convenção do Subcondomínio Reserva das Plantas na cláusula 4.9.1 - h) "O Síndico de cada Subcondomínio tem as seguintes atribuições [...] Contratar, anualmente, empresa de auditoria para fiscalizar as contas do Subcondomínio."
Dessa forma, não foi identificado o relatório da auditoria do período que antecedeu a auditoria atual (03/2021 a 02/2022). No entanto, analisamos conforme entendimento com o cliente que o condomínio realizou a auditoria em 2021 e não receberam o relatório.</v>
      </c>
    </row>
    <row r="15" spans="2:5" ht="69.599999999999994" thickBot="1">
      <c r="B15" s="445" t="s">
        <v>279</v>
      </c>
      <c r="C15" s="446" t="str">
        <f>IFERROR(VLOOKUP(C$6,'RESUMO DE PONTOS'!$C$9:$H$64,4,),"")</f>
        <v xml:space="preserve">A ausência de contratação da auditoria e apresentação do relatório em relação ao período anterior, além de infringir a convenção condomonial, prejudica a transparência na prestação de contas podendo causar danos a situação financeira, econômica, legal e imagem da entidade. </v>
      </c>
    </row>
    <row r="16" spans="2:5" ht="14.45" thickBot="1">
      <c r="B16" s="52" t="s">
        <v>280</v>
      </c>
      <c r="C16" s="84" t="str">
        <f>IFERROR(VLOOKUP(C$6,'RESUMO DE PONTOS'!$C$9:$H$64,5,),"")</f>
        <v>NA</v>
      </c>
    </row>
    <row r="17" spans="2:3" ht="28.15" thickBot="1">
      <c r="B17" s="447" t="s">
        <v>281</v>
      </c>
      <c r="C17" s="446" t="str">
        <f>IFERROR(VLOOKUP(C$6,'RESUMO DE PONTOS'!$C$9:$H$64,6,),"")</f>
        <v>Recomendamos que a administração sempre realize auditorias preventivas.</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86" priority="1" operator="containsText" text="BAIXO IMPACTO">
      <formula>NOT(ISERROR(SEARCH(("BAIXO IMPACTO"),(C4))))</formula>
    </cfRule>
    <cfRule type="containsText" dxfId="85" priority="2" operator="containsText" text="MÉDIO IMPACTO">
      <formula>NOT(ISERROR(SEARCH(("MÉDIO IMPACTO"),(C4))))</formula>
    </cfRule>
    <cfRule type="containsText" dxfId="84" priority="3" operator="containsText" text="ALTO IMPACTO">
      <formula>NOT(ISERROR(SEARCH(("ALTO IMPACTO"),(C4))))</formula>
    </cfRule>
  </conditionalFormatting>
  <dataValidations count="3">
    <dataValidation type="list" allowBlank="1" showErrorMessage="1" sqref="C6" xr:uid="{5FECD4E8-F3D5-4897-808F-94A451622345}">
      <formula1>"[P1],[P2],[P3],[P4],[P5],[P6],[P7],[P8],[P9],[P10],[P11],[P12],[P13],[P14],[P15],[P16],[P17],[P18],[P19],[P20],[P21],[P22],[P23],[P24],[P25],[P26],[P27],[P28],[P29],[P30],[P31],[P32],[P33],[P34],[P35],[P36],[P37],[P38],[P39],[P40]"</formula1>
    </dataValidation>
    <dataValidation type="list" allowBlank="1" showErrorMessage="1" sqref="C8" xr:uid="{AA178727-D6B6-4CEE-8005-35C1A5F1C374}">
      <formula1>"Estratégico,Financeiro,Operacional,Legal,Tecnologia,Imagem"</formula1>
    </dataValidation>
    <dataValidation type="list" allowBlank="1" showErrorMessage="1" sqref="C4" xr:uid="{376A3000-ED86-4AE7-8D4B-158D32CAEBB5}">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6782-BAB8-44A4-815A-4E30DCD287AB}">
  <dimension ref="B2:E1000"/>
  <sheetViews>
    <sheetView showGridLines="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ALTO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333</v>
      </c>
      <c r="E6" s="9"/>
    </row>
    <row r="7" spans="2:5" ht="14.45" thickBot="1">
      <c r="B7" s="443" t="s">
        <v>443</v>
      </c>
      <c r="C7" s="444" t="str">
        <f>VLOOKUP(C6,'BASE DA MATRIZ DE RISCOS'!$C$78:$D$202,2,)</f>
        <v>Falta de Planejamento Orçamentário Anual</v>
      </c>
    </row>
    <row r="8" spans="2:5" thickBot="1">
      <c r="B8" s="49" t="s">
        <v>17</v>
      </c>
      <c r="C8" s="51" t="str">
        <f>VLOOKUP(C6,'BASE DA MATRIZ DE RISCOS'!$C$78:$E$202,3,)</f>
        <v>Estratégico</v>
      </c>
      <c r="E8" s="9" t="s">
        <v>861</v>
      </c>
    </row>
    <row r="9" spans="2:5" thickBot="1">
      <c r="B9" s="445" t="s">
        <v>17</v>
      </c>
      <c r="C9" s="446">
        <f>VLOOKUP($C$8,'BASE DA MATRIZ DE RISCOS'!$C$30:$E$35,3)</f>
        <v>4</v>
      </c>
      <c r="E9" s="9" t="s">
        <v>853</v>
      </c>
    </row>
    <row r="10" spans="2:5" thickBot="1">
      <c r="B10" s="52" t="s">
        <v>444</v>
      </c>
      <c r="C10" s="31">
        <f>VLOOKUP(C6,'BASE DA MATRIZ DE RISCOS'!$C$78:$H$202,5,)</f>
        <v>5</v>
      </c>
      <c r="E10" s="9" t="s">
        <v>854</v>
      </c>
    </row>
    <row r="11" spans="2:5" thickBot="1">
      <c r="B11" s="445" t="s">
        <v>449</v>
      </c>
      <c r="C11" s="446">
        <f>VLOOKUP(C6,'BASE DA MATRIZ DE RISCOS'!$C$78:$H$202,6,)</f>
        <v>5</v>
      </c>
      <c r="E11" s="9" t="s">
        <v>854</v>
      </c>
    </row>
    <row r="12" spans="2:5" thickBot="1">
      <c r="B12" s="52" t="s">
        <v>446</v>
      </c>
      <c r="C12" s="53">
        <f>C9*C10*C11</f>
        <v>100</v>
      </c>
      <c r="E12" s="9" t="s">
        <v>855</v>
      </c>
    </row>
    <row r="13" spans="2:5" thickBot="1">
      <c r="B13" s="445" t="s">
        <v>856</v>
      </c>
      <c r="C13" s="446" t="str">
        <f>VLOOKUP(C6,'BASE DA MATRIZ DE RISCOS'!$C$78:$J$202,8,)</f>
        <v>Orçado X Realizado</v>
      </c>
      <c r="E13" s="9" t="s">
        <v>857</v>
      </c>
    </row>
    <row r="14" spans="2:5" ht="193.9" thickBot="1">
      <c r="B14" s="52" t="s">
        <v>464</v>
      </c>
      <c r="C14" s="31" t="str">
        <f>VLOOKUP(C$6,'RESUMO DE PONTOS'!$C$9:$H$64,3,)</f>
        <v>Conforme a Convenção do Subcondomínio Reserva das Plantas na cláusula 4.36.1 "A assembleia geral ordinária do Condomínio realizar-se-á anualmente [...] outra assembleia geral ordinária do CONDOMÍNIO [Sic], sempre até o final do mês de novembro de cada ano e a ela competirá especificamente fixar o orçamento anual do CONDOMÍNIO para o exercicio social vindouro e a forma de cobrança das respectivas despesas." Dessa forma, não foi identificado o Planejamento Orçamentário para o ano de 2021. Além disso, identificamos nas Atas que o Sr. Marco Ribeiro, demonstrou as prinipais causas do aumento das despesas e informou que o condomíno está lidando com o mesmo planejamento orçamentário há 03 anos e que com a pandemia, todos os produtos e serviços tem sofrido aumentos fora do comum.</v>
      </c>
    </row>
    <row r="15" spans="2:5" ht="42" thickBot="1">
      <c r="B15" s="445" t="s">
        <v>279</v>
      </c>
      <c r="C15" s="446" t="str">
        <f>IFERROR(VLOOKUP(C$6,'RESUMO DE PONTOS'!$C$9:$H$64,4,),"")</f>
        <v>A falta da elaboração do planejamento orçamentário poderá prejudicar o controle das contas condominiais e a prevenção dos gastos desnecerrários ou demasiados.</v>
      </c>
    </row>
    <row r="16" spans="2:5" ht="14.45" thickBot="1">
      <c r="B16" s="52" t="s">
        <v>280</v>
      </c>
      <c r="C16" s="84" t="str">
        <f>IFERROR(VLOOKUP(C$6,'RESUMO DE PONTOS'!$C$9:$H$64,5,),"")</f>
        <v>NA</v>
      </c>
    </row>
    <row r="17" spans="2:3" ht="28.15" thickBot="1">
      <c r="B17" s="447" t="s">
        <v>281</v>
      </c>
      <c r="C17" s="446" t="str">
        <f>IFERROR(VLOOKUP(C$6,'RESUMO DE PONTOS'!$C$9:$H$64,6,),"")</f>
        <v>Recomendamos que o o planejamento orçamentário ocorra dentro do período previsto em convenção.</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83" priority="1" operator="containsText" text="BAIXO IMPACTO">
      <formula>NOT(ISERROR(SEARCH(("BAIXO IMPACTO"),(C4))))</formula>
    </cfRule>
    <cfRule type="containsText" dxfId="82" priority="2" operator="containsText" text="MÉDIO IMPACTO">
      <formula>NOT(ISERROR(SEARCH(("MÉDIO IMPACTO"),(C4))))</formula>
    </cfRule>
    <cfRule type="containsText" dxfId="81" priority="3" operator="containsText" text="ALTO IMPACTO">
      <formula>NOT(ISERROR(SEARCH(("ALTO IMPACTO"),(C4))))</formula>
    </cfRule>
  </conditionalFormatting>
  <dataValidations count="3">
    <dataValidation type="list" allowBlank="1" showErrorMessage="1" sqref="C4" xr:uid="{6B16C121-26D8-476E-99F4-BE97BEE5BF31}">
      <formula1>"ALTO IMPACTO,MÉDIO IMPACTO,BAIXO IMPACTO"</formula1>
    </dataValidation>
    <dataValidation type="list" allowBlank="1" showErrorMessage="1" sqref="C8" xr:uid="{F8B27FE2-7C61-4AFB-B2A2-80F6E582DBC2}">
      <formula1>"Estratégico,Financeiro,Operacional,Legal,Tecnologia,Imagem"</formula1>
    </dataValidation>
    <dataValidation type="list" allowBlank="1" showErrorMessage="1" sqref="C6" xr:uid="{E71EC2A7-AAB8-4DD1-B95D-3D75EDF00576}">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EAB13-333D-4F68-8AA0-589FE28BB006}">
  <dimension ref="B2:E1000"/>
  <sheetViews>
    <sheetView showGridLines="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ALTO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340</v>
      </c>
      <c r="E6" s="9" t="s">
        <v>861</v>
      </c>
    </row>
    <row r="7" spans="2:5" ht="28.15" thickBot="1">
      <c r="B7" s="443" t="s">
        <v>443</v>
      </c>
      <c r="C7" s="444" t="str">
        <f>VLOOKUP(C6,'BASE DA MATRIZ DE RISCOS'!$C$78:$D$202,2,)</f>
        <v>Sistema de medição da água realizado de forma não individualizada</v>
      </c>
    </row>
    <row r="8" spans="2:5" thickBot="1">
      <c r="B8" s="49" t="s">
        <v>17</v>
      </c>
      <c r="C8" s="51" t="str">
        <f>VLOOKUP(C6,'BASE DA MATRIZ DE RISCOS'!$C$78:$E$202,3,)</f>
        <v>Legal</v>
      </c>
      <c r="E8" s="9" t="s">
        <v>861</v>
      </c>
    </row>
    <row r="9" spans="2:5" thickBot="1">
      <c r="B9" s="445" t="s">
        <v>17</v>
      </c>
      <c r="C9" s="446">
        <f>VLOOKUP($C$8,'BASE DA MATRIZ DE RISCOS'!$C$30:$E$35,3)</f>
        <v>5</v>
      </c>
      <c r="E9" s="9" t="s">
        <v>853</v>
      </c>
    </row>
    <row r="10" spans="2:5" thickBot="1">
      <c r="B10" s="52" t="s">
        <v>444</v>
      </c>
      <c r="C10" s="31">
        <f>VLOOKUP(C6,'BASE DA MATRIZ DE RISCOS'!$C$78:$H$202,5,)</f>
        <v>5</v>
      </c>
      <c r="E10" s="9" t="s">
        <v>854</v>
      </c>
    </row>
    <row r="11" spans="2:5" thickBot="1">
      <c r="B11" s="445" t="s">
        <v>449</v>
      </c>
      <c r="C11" s="446">
        <f>VLOOKUP(C6,'BASE DA MATRIZ DE RISCOS'!$C$78:$H$202,6,)</f>
        <v>4</v>
      </c>
      <c r="E11" s="9" t="s">
        <v>854</v>
      </c>
    </row>
    <row r="12" spans="2:5" thickBot="1">
      <c r="B12" s="52" t="s">
        <v>446</v>
      </c>
      <c r="C12" s="53">
        <f>C9*C10*C11</f>
        <v>100</v>
      </c>
      <c r="E12" s="9" t="s">
        <v>855</v>
      </c>
    </row>
    <row r="13" spans="2:5" thickBot="1">
      <c r="B13" s="445" t="s">
        <v>856</v>
      </c>
      <c r="C13" s="446" t="str">
        <f>VLOOKUP(C6,'BASE DA MATRIZ DE RISCOS'!$C$78:$J$202,8,)</f>
        <v>Resumo Convenção</v>
      </c>
      <c r="E13" s="9" t="s">
        <v>857</v>
      </c>
    </row>
    <row r="14" spans="2:5" ht="97.15" thickBot="1">
      <c r="B14" s="52" t="s">
        <v>464</v>
      </c>
      <c r="C14" s="31" t="str">
        <f>VLOOKUP(C$6,'RESUMO DE PONTOS'!$C$9:$H$64,3,)</f>
        <v>Segundo a ATA Reunião de Moradores do dia 09/09/2021 o "Sr. Roque Andrade entrou na tratativa da individualização da água e falou sobre os benefícios que isso traria por conta do consumo desigual entre as unidades [...]". Dessa forma, identificamos que o sistema de medição da água não é realizado de forma  individualizada, infringindo assim, a cláusula 15.1 - e) da Convenção Condominial.</v>
      </c>
    </row>
    <row r="15" spans="2:5" ht="55.9" thickBot="1">
      <c r="B15" s="445" t="s">
        <v>279</v>
      </c>
      <c r="C15" s="446" t="str">
        <f>IFERROR(VLOOKUP(C$6,'RESUMO DE PONTOS'!$C$9:$H$64,4,),"")</f>
        <v xml:space="preserve">A infração em relação a item previsto na Convenção Condominial pode gerar questionamentos, reclamações, impactos em relação a sustentabilidade e prejuizos de ordem legal para o condominio. </v>
      </c>
    </row>
    <row r="16" spans="2:5" ht="14.45" thickBot="1">
      <c r="B16" s="52" t="s">
        <v>280</v>
      </c>
      <c r="C16" s="84" t="str">
        <f>IFERROR(VLOOKUP(C$6,'RESUMO DE PONTOS'!$C$9:$H$64,5,),"")</f>
        <v>NA</v>
      </c>
    </row>
    <row r="17" spans="2:3" ht="69.599999999999994" thickBot="1">
      <c r="B17" s="447" t="s">
        <v>281</v>
      </c>
      <c r="C17" s="446" t="str">
        <f>IFERROR(VLOOKUP(C$6,'RESUMO DE PONTOS'!$C$9:$H$64,6,),"")</f>
        <v>Recomendamos que a administração analise a viabilidade da individualização de medição da água junto aos condominos e profissionais técnicos. Após isso, se for viável planeje a implementação e caso contrário, atualize a convenção para modificar a previsão desse item.</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80" priority="1" operator="containsText" text="BAIXO IMPACTO">
      <formula>NOT(ISERROR(SEARCH(("BAIXO IMPACTO"),(C4))))</formula>
    </cfRule>
    <cfRule type="containsText" dxfId="79" priority="2" operator="containsText" text="MÉDIO IMPACTO">
      <formula>NOT(ISERROR(SEARCH(("MÉDIO IMPACTO"),(C4))))</formula>
    </cfRule>
    <cfRule type="containsText" dxfId="78" priority="3" operator="containsText" text="ALTO IMPACTO">
      <formula>NOT(ISERROR(SEARCH(("ALTO IMPACTO"),(C4))))</formula>
    </cfRule>
  </conditionalFormatting>
  <dataValidations count="3">
    <dataValidation type="list" allowBlank="1" showErrorMessage="1" sqref="C6" xr:uid="{CC551B59-8244-4447-9DDE-998050FA1206}">
      <formula1>"[P1],[P2],[P3],[P4],[P5],[P6],[P7],[P8],[P9],[P10],[P11],[P12],[P13],[P14],[P15],[P16],[P17],[P18],[P19],[P20],[P21],[P22],[P23],[P24],[P25],[P26],[P27],[P28],[P29],[P30],[P31],[P32],[P33],[P34],[P35],[P36],[P37],[P38],[P39],[P40]"</formula1>
    </dataValidation>
    <dataValidation type="list" allowBlank="1" showErrorMessage="1" sqref="C8" xr:uid="{F4D76E79-8433-49F6-8270-B52A23FC9F29}">
      <formula1>"Estratégico,Financeiro,Operacional,Legal,Tecnologia,Imagem"</formula1>
    </dataValidation>
    <dataValidation type="list" allowBlank="1" showErrorMessage="1" sqref="C4" xr:uid="{13AEA429-AAB0-49F3-BC19-09037013A18E}">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63036-1903-4575-9221-57CC5BE1573E}">
  <dimension ref="B2:E1000"/>
  <sheetViews>
    <sheetView showGridLines="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14.45" thickBot="1">
      <c r="B5" s="443" t="s">
        <v>274</v>
      </c>
      <c r="C5" s="444" t="str">
        <f>IFERROR(VLOOKUP(C6,'RESUMO DE PONTOS'!$C$9:$M$64,11,),"")</f>
        <v/>
      </c>
    </row>
    <row r="6" spans="2:5" thickBot="1">
      <c r="B6" s="49" t="s">
        <v>276</v>
      </c>
      <c r="C6" s="50" t="s">
        <v>346</v>
      </c>
      <c r="E6" s="9" t="s">
        <v>861</v>
      </c>
    </row>
    <row r="7" spans="2:5" ht="28.15" thickBot="1">
      <c r="B7" s="443" t="s">
        <v>443</v>
      </c>
      <c r="C7" s="444" t="str">
        <f>VLOOKUP(C6,'BASE DA MATRIZ DE RISCOS'!$C$78:$D$202,2,)</f>
        <v>Valor apresentado no comprovante de pagamento, mas que não consta no extrato bancário</v>
      </c>
    </row>
    <row r="8" spans="2:5" thickBot="1">
      <c r="B8" s="49" t="s">
        <v>17</v>
      </c>
      <c r="C8" s="51" t="str">
        <f>VLOOKUP(C6,'BASE DA MATRIZ DE RISCOS'!$C$78:$E$202,3,)</f>
        <v>Financeiro</v>
      </c>
      <c r="E8" s="9" t="s">
        <v>861</v>
      </c>
    </row>
    <row r="9" spans="2:5" thickBot="1">
      <c r="B9" s="445" t="s">
        <v>17</v>
      </c>
      <c r="C9" s="446">
        <f>VLOOKUP($C$8,'BASE DA MATRIZ DE RISCOS'!$C$30:$E$35,3)</f>
        <v>5</v>
      </c>
      <c r="E9" s="9" t="s">
        <v>853</v>
      </c>
    </row>
    <row r="10" spans="2:5" thickBot="1">
      <c r="B10" s="52" t="s">
        <v>444</v>
      </c>
      <c r="C10" s="31">
        <f>VLOOKUP(C6,'BASE DA MATRIZ DE RISCOS'!$C$78:$H$202,5,)</f>
        <v>3</v>
      </c>
      <c r="E10" s="9" t="s">
        <v>854</v>
      </c>
    </row>
    <row r="11" spans="2:5" thickBot="1">
      <c r="B11" s="445" t="s">
        <v>449</v>
      </c>
      <c r="C11" s="446">
        <f>VLOOKUP(C6,'BASE DA MATRIZ DE RISCOS'!$C$78:$H$202,6,)</f>
        <v>3</v>
      </c>
      <c r="E11" s="9" t="s">
        <v>854</v>
      </c>
    </row>
    <row r="12" spans="2:5" thickBot="1">
      <c r="B12" s="52" t="s">
        <v>446</v>
      </c>
      <c r="C12" s="53">
        <f>C9*C10*C11</f>
        <v>45</v>
      </c>
      <c r="E12" s="9" t="s">
        <v>855</v>
      </c>
    </row>
    <row r="13" spans="2:5" thickBot="1">
      <c r="B13" s="445" t="s">
        <v>856</v>
      </c>
      <c r="C13" s="446" t="str">
        <f>VLOOKUP(C6,'BASE DA MATRIZ DE RISCOS'!$C$78:$J$202,8,)</f>
        <v>Demonstrativo Financeiro + voucher nos extratos</v>
      </c>
      <c r="E13" s="9" t="s">
        <v>857</v>
      </c>
    </row>
    <row r="14" spans="2:5" ht="69.599999999999994" thickBot="1">
      <c r="B14" s="52" t="s">
        <v>464</v>
      </c>
      <c r="C14" s="31" t="str">
        <f>VLOOKUP(C$6,'RESUMO DE PONTOS'!$C$9:$H$64,3,)</f>
        <v>Identificamos comprovante de pagamento do dia 19/10/2021 informando que foi realizado o pagamento no valor de R$ 1000,00 através da Agência: 4306 e Conta: 130035030. No entanto, essas informações não constam no extrato bancário dessa respectiva conta.</v>
      </c>
    </row>
    <row r="15" spans="2:5" ht="55.9" thickBot="1">
      <c r="B15" s="445" t="s">
        <v>279</v>
      </c>
      <c r="C15" s="446" t="str">
        <f>IFERROR(VLOOKUP(C$6,'RESUMO DE PONTOS'!$C$9:$H$64,4,),"")</f>
        <v xml:space="preserve">A divergência de informações entre comprovante de pagamento e o extrato bancário pode indicar  erro ou fraude na gestão financeira condominial e impactar nas disponibilidades da entidade. </v>
      </c>
    </row>
    <row r="16" spans="2:5" ht="14.45" thickBot="1">
      <c r="B16" s="52" t="s">
        <v>280</v>
      </c>
      <c r="C16" s="84">
        <f>IFERROR(VLOOKUP(C$6,'RESUMO DE PONTOS'!$C$9:$H$64,5,),"")</f>
        <v>1000</v>
      </c>
    </row>
    <row r="17" spans="2:3" ht="55.9" thickBot="1">
      <c r="B17" s="447" t="s">
        <v>281</v>
      </c>
      <c r="C17" s="446" t="str">
        <f>IFERROR(VLOOKUP(C$6,'RESUMO DE PONTOS'!$C$9:$H$64,6,),"")</f>
        <v>Indicamos que a Administração promova melhorias em seus controles interno tendo como finalidade a apresentação de informações financeiras convergentes com os registros expostos nos extratos bancários.</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77" priority="1" operator="containsText" text="BAIXO IMPACTO">
      <formula>NOT(ISERROR(SEARCH(("BAIXO IMPACTO"),(C4))))</formula>
    </cfRule>
    <cfRule type="containsText" dxfId="76" priority="2" operator="containsText" text="MÉDIO IMPACTO">
      <formula>NOT(ISERROR(SEARCH(("MÉDIO IMPACTO"),(C4))))</formula>
    </cfRule>
    <cfRule type="containsText" dxfId="75" priority="3" operator="containsText" text="ALTO IMPACTO">
      <formula>NOT(ISERROR(SEARCH(("ALTO IMPACTO"),(C4))))</formula>
    </cfRule>
  </conditionalFormatting>
  <dataValidations count="3">
    <dataValidation type="list" allowBlank="1" showErrorMessage="1" sqref="C4" xr:uid="{55F9FCC8-CA5E-4C8F-A39B-D77C0DBCFC74}">
      <formula1>"ALTO IMPACTO,MÉDIO IMPACTO,BAIXO IMPACTO"</formula1>
    </dataValidation>
    <dataValidation type="list" allowBlank="1" showErrorMessage="1" sqref="C8" xr:uid="{5E368F4E-7F29-4132-ABBA-A32C3C555964}">
      <formula1>"Estratégico,Financeiro,Operacional,Legal,Tecnologia,Imagem"</formula1>
    </dataValidation>
    <dataValidation type="list" allowBlank="1" showErrorMessage="1" sqref="C6" xr:uid="{F07F679A-308B-424C-9CB0-E67EDC929C7F}">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E728B-5238-44DD-B8D2-3B2B22B9BA7D}">
  <dimension ref="B2:E1000"/>
  <sheetViews>
    <sheetView showGridLines="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ALTO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354</v>
      </c>
      <c r="E6" s="9" t="s">
        <v>861</v>
      </c>
    </row>
    <row r="7" spans="2:5" ht="14.45" thickBot="1">
      <c r="B7" s="443" t="s">
        <v>443</v>
      </c>
      <c r="C7" s="444" t="str">
        <f>VLOOKUP(C6,'BASE DA MATRIZ DE RISCOS'!$C$78:$D$202,2,)</f>
        <v xml:space="preserve">Falta de apresentação de extratos bancários </v>
      </c>
    </row>
    <row r="8" spans="2:5" thickBot="1">
      <c r="B8" s="49" t="s">
        <v>17</v>
      </c>
      <c r="C8" s="51" t="str">
        <f>VLOOKUP(C6,'BASE DA MATRIZ DE RISCOS'!$C$78:$E$202,3,)</f>
        <v>Financeiro</v>
      </c>
      <c r="E8" s="9" t="s">
        <v>861</v>
      </c>
    </row>
    <row r="9" spans="2:5" thickBot="1">
      <c r="B9" s="445" t="s">
        <v>17</v>
      </c>
      <c r="C9" s="446">
        <f>VLOOKUP($C$8,'BASE DA MATRIZ DE RISCOS'!$C$30:$E$35,3)</f>
        <v>5</v>
      </c>
      <c r="E9" s="9" t="s">
        <v>853</v>
      </c>
    </row>
    <row r="10" spans="2:5" thickBot="1">
      <c r="B10" s="52" t="s">
        <v>444</v>
      </c>
      <c r="C10" s="31">
        <f>VLOOKUP(C6,'BASE DA MATRIZ DE RISCOS'!$C$78:$H$202,5,)</f>
        <v>4</v>
      </c>
      <c r="E10" s="9" t="s">
        <v>854</v>
      </c>
    </row>
    <row r="11" spans="2:5" thickBot="1">
      <c r="B11" s="445" t="s">
        <v>449</v>
      </c>
      <c r="C11" s="446">
        <f>VLOOKUP(C6,'BASE DA MATRIZ DE RISCOS'!$C$78:$H$202,6,)</f>
        <v>4</v>
      </c>
      <c r="E11" s="9" t="s">
        <v>854</v>
      </c>
    </row>
    <row r="12" spans="2:5" thickBot="1">
      <c r="B12" s="52" t="s">
        <v>446</v>
      </c>
      <c r="C12" s="53">
        <f>C9*C10*C11</f>
        <v>80</v>
      </c>
      <c r="E12" s="9" t="s">
        <v>855</v>
      </c>
    </row>
    <row r="13" spans="2:5" thickBot="1">
      <c r="B13" s="445" t="s">
        <v>856</v>
      </c>
      <c r="C13" s="446" t="str">
        <f>VLOOKUP(C6,'BASE DA MATRIZ DE RISCOS'!$C$78:$J$202,8,)</f>
        <v>Demonstrativo Financeiro + voucher nos extratos</v>
      </c>
      <c r="E13" s="9" t="s">
        <v>857</v>
      </c>
    </row>
    <row r="14" spans="2:5" ht="33" customHeight="1" thickBot="1">
      <c r="B14" s="52" t="s">
        <v>464</v>
      </c>
      <c r="C14" s="31" t="str">
        <f>VLOOKUP(C$6,'RESUMO DE PONTOS'!$C$9:$H$64,3,)</f>
        <v>Verificamos que em alguns meses não foram apresentados à auditoria os extratos do Banco Santander, agência: 4306 e contas: 13.003502-3 /  13.003496-7, além das aplicações financeiras.</v>
      </c>
    </row>
    <row r="15" spans="2:5" ht="42" thickBot="1">
      <c r="B15" s="445" t="s">
        <v>279</v>
      </c>
      <c r="C15" s="446" t="str">
        <f>IFERROR(VLOOKUP(C$6,'RESUMO DE PONTOS'!$C$9:$H$64,4,),"")</f>
        <v>A falta dos extratos bancários prejudica a análise das informações, o entendimento e a validação das entradas e saídas financeiras do condomínio.</v>
      </c>
    </row>
    <row r="16" spans="2:5" ht="14.45" thickBot="1">
      <c r="B16" s="52" t="s">
        <v>280</v>
      </c>
      <c r="C16" s="84" t="str">
        <f>IFERROR(VLOOKUP(C$6,'RESUMO DE PONTOS'!$C$9:$H$64,5,),"")</f>
        <v>NA</v>
      </c>
    </row>
    <row r="17" spans="2:3" ht="55.9" thickBot="1">
      <c r="B17" s="447" t="s">
        <v>281</v>
      </c>
      <c r="C17" s="446" t="str">
        <f>IFERROR(VLOOKUP(C$6,'RESUMO DE PONTOS'!$C$9:$H$64,6,),"")</f>
        <v>Visando aumentar a transparência na prestação de contas do condomínio, sugerimos à Administração que envie os extratos bancários emitidos diretamente pelas instituições financeiras para que as análises dessas informações se tornem possíveis.</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74" priority="1" operator="containsText" text="BAIXO IMPACTO">
      <formula>NOT(ISERROR(SEARCH(("BAIXO IMPACTO"),(C4))))</formula>
    </cfRule>
    <cfRule type="containsText" dxfId="73" priority="2" operator="containsText" text="MÉDIO IMPACTO">
      <formula>NOT(ISERROR(SEARCH(("MÉDIO IMPACTO"),(C4))))</formula>
    </cfRule>
    <cfRule type="containsText" dxfId="72" priority="3" operator="containsText" text="ALTO IMPACTO">
      <formula>NOT(ISERROR(SEARCH(("ALTO IMPACTO"),(C4))))</formula>
    </cfRule>
  </conditionalFormatting>
  <dataValidations count="3">
    <dataValidation type="list" allowBlank="1" showErrorMessage="1" sqref="C4" xr:uid="{05ECF68C-BD1A-46B6-8CDE-00886EDFCEF3}">
      <formula1>"ALTO IMPACTO,MÉDIO IMPACTO,BAIXO IMPACTO"</formula1>
    </dataValidation>
    <dataValidation type="list" allowBlank="1" showErrorMessage="1" sqref="C8" xr:uid="{48C61C62-6CAC-4052-8FED-87FE0B37CE7D}">
      <formula1>"Estratégico,Financeiro,Operacional,Legal,Tecnologia,Imagem"</formula1>
    </dataValidation>
    <dataValidation type="list" allowBlank="1" showErrorMessage="1" sqref="C6" xr:uid="{B4006F70-8C83-4D2B-B042-E749EA6BF645}">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B6FD5-1D47-4D08-B5A0-9BBAA221BB31}">
  <dimension ref="B2:E1000"/>
  <sheetViews>
    <sheetView showGridLines="0" workbookViewId="0">
      <selection activeCell="C5" sqref="C5"/>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361</v>
      </c>
      <c r="E6" s="9" t="s">
        <v>861</v>
      </c>
    </row>
    <row r="7" spans="2:5" ht="14.45" thickBot="1">
      <c r="B7" s="443" t="s">
        <v>443</v>
      </c>
      <c r="C7" s="444" t="str">
        <f>VLOOKUP(C6,'BASE DA MATRIZ DE RISCOS'!$C$78:$D$202,2,)</f>
        <v>Saídas nos extratos não validados com a voucher</v>
      </c>
    </row>
    <row r="8" spans="2:5" thickBot="1">
      <c r="B8" s="49" t="s">
        <v>17</v>
      </c>
      <c r="C8" s="51" t="str">
        <f>VLOOKUP(C6,'BASE DA MATRIZ DE RISCOS'!$C$78:$E$202,3,)</f>
        <v>Financeiro</v>
      </c>
      <c r="E8" s="9" t="s">
        <v>861</v>
      </c>
    </row>
    <row r="9" spans="2:5" thickBot="1">
      <c r="B9" s="445" t="s">
        <v>17</v>
      </c>
      <c r="C9" s="446">
        <f>VLOOKUP($C$8,'BASE DA MATRIZ DE RISCOS'!$C$30:$E$35,3)</f>
        <v>5</v>
      </c>
      <c r="E9" s="9" t="s">
        <v>853</v>
      </c>
    </row>
    <row r="10" spans="2:5" thickBot="1">
      <c r="B10" s="52" t="s">
        <v>444</v>
      </c>
      <c r="C10" s="31">
        <f>VLOOKUP(C6,'BASE DA MATRIZ DE RISCOS'!$C$78:$H$202,5,)</f>
        <v>3</v>
      </c>
      <c r="E10" s="9" t="s">
        <v>854</v>
      </c>
    </row>
    <row r="11" spans="2:5" thickBot="1">
      <c r="B11" s="445" t="s">
        <v>449</v>
      </c>
      <c r="C11" s="446">
        <f>VLOOKUP(C6,'BASE DA MATRIZ DE RISCOS'!$C$78:$H$202,6,)</f>
        <v>3</v>
      </c>
      <c r="E11" s="9" t="s">
        <v>854</v>
      </c>
    </row>
    <row r="12" spans="2:5" thickBot="1">
      <c r="B12" s="52" t="s">
        <v>446</v>
      </c>
      <c r="C12" s="53">
        <f>C9*C10*C11</f>
        <v>45</v>
      </c>
      <c r="E12" s="9" t="s">
        <v>855</v>
      </c>
    </row>
    <row r="13" spans="2:5" thickBot="1">
      <c r="B13" s="445" t="s">
        <v>856</v>
      </c>
      <c r="C13" s="446" t="str">
        <f>VLOOKUP(C6,'BASE DA MATRIZ DE RISCOS'!$C$78:$J$202,8,)</f>
        <v>Demonstrativo Financeiro + voucher nos extratos</v>
      </c>
      <c r="E13" s="9" t="s">
        <v>857</v>
      </c>
    </row>
    <row r="14" spans="2:5" ht="97.15" thickBot="1">
      <c r="B14" s="52" t="s">
        <v>464</v>
      </c>
      <c r="C14" s="31" t="str">
        <f>VLOOKUP(C$6,'RESUMO DE PONTOS'!$C$9:$H$64,3,)</f>
        <v>Identificamos no momento do confronto entre os extratos bancários e a Voucher Documental produzida com as informações apresentadas pelo condomínio, a existência de saídas de recursos dos extratos que não constam na Voucher. Diante disso, não ocorre a verificação dos documentos comprobatórios dos respectivos dispêndios realizados pelo condomínio</v>
      </c>
    </row>
    <row r="15" spans="2:5" ht="69.599999999999994" thickBot="1">
      <c r="B15" s="445" t="s">
        <v>279</v>
      </c>
      <c r="C15" s="446" t="str">
        <f>IFERROR(VLOOKUP(C$6,'RESUMO DE PONTOS'!$C$9:$H$64,4,),"")</f>
        <v>As saídas de recursos dos extratos sem a validação da Voucher Documental poderão prejudicar a transparência e afetar a prestação de contas, dando oportunidade de os valores não serem utilizados para fins que geram benefícios econômicos ao condomínio.</v>
      </c>
    </row>
    <row r="16" spans="2:5" ht="14.45" thickBot="1">
      <c r="B16" s="52" t="s">
        <v>280</v>
      </c>
      <c r="C16" s="84">
        <f>IFERROR(VLOOKUP(C$6,'RESUMO DE PONTOS'!$C$9:$H$64,5,),"")</f>
        <v>2117.9899999999998</v>
      </c>
    </row>
    <row r="17" spans="2:3" ht="69.599999999999994" thickBot="1">
      <c r="B17" s="447" t="s">
        <v>281</v>
      </c>
      <c r="C17" s="446" t="str">
        <f>IFERROR(VLOOKUP(C$6,'RESUMO DE PONTOS'!$C$9:$H$64,6,),"")</f>
        <v>Indicamos ao Conselho Fiscal a estruturação de procedimentos de controles internos que garantam destinação adequada dos recursos condominiais sendo apresentados todos os documentos comprobatórios da realização de suas despesas e validados por uma auditoria contínua.</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71" priority="1" operator="containsText" text="BAIXO IMPACTO">
      <formula>NOT(ISERROR(SEARCH(("BAIXO IMPACTO"),(C4))))</formula>
    </cfRule>
    <cfRule type="containsText" dxfId="70" priority="2" operator="containsText" text="MÉDIO IMPACTO">
      <formula>NOT(ISERROR(SEARCH(("MÉDIO IMPACTO"),(C4))))</formula>
    </cfRule>
    <cfRule type="containsText" dxfId="69" priority="3" operator="containsText" text="ALTO IMPACTO">
      <formula>NOT(ISERROR(SEARCH(("ALTO IMPACTO"),(C4))))</formula>
    </cfRule>
  </conditionalFormatting>
  <dataValidations count="3">
    <dataValidation type="list" allowBlank="1" showErrorMessage="1" sqref="C4" xr:uid="{4C614907-7ADF-48B1-9D47-4B559C8D25FC}">
      <formula1>"ALTO IMPACTO,MÉDIO IMPACTO,BAIXO IMPACTO"</formula1>
    </dataValidation>
    <dataValidation type="list" allowBlank="1" showErrorMessage="1" sqref="C8" xr:uid="{44FA8387-BEAD-4CBD-A24E-45EBA3B98835}">
      <formula1>"Estratégico,Financeiro,Operacional,Legal,Tecnologia,Imagem"</formula1>
    </dataValidation>
    <dataValidation type="list" allowBlank="1" showErrorMessage="1" sqref="C6" xr:uid="{A6E62FA3-D93B-4D0B-BAC5-A219FDAC8973}">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BF2F7-CBA9-4447-813D-7DAC705A9063}">
  <dimension ref="B2:E1000"/>
  <sheetViews>
    <sheetView showGridLines="0" workbookViewId="0">
      <selection activeCell="C5" sqref="C5"/>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MÉDIO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367</v>
      </c>
      <c r="E6" s="9" t="s">
        <v>861</v>
      </c>
    </row>
    <row r="7" spans="2:5" ht="14.45" thickBot="1">
      <c r="B7" s="443" t="s">
        <v>443</v>
      </c>
      <c r="C7" s="444" t="str">
        <f>VLOOKUP(C6,'BASE DA MATRIZ DE RISCOS'!$C$78:$D$202,2,)</f>
        <v xml:space="preserve">Apresentação incompleta de extrato bancário </v>
      </c>
    </row>
    <row r="8" spans="2:5" thickBot="1">
      <c r="B8" s="49" t="s">
        <v>17</v>
      </c>
      <c r="C8" s="51" t="str">
        <f>VLOOKUP(C6,'BASE DA MATRIZ DE RISCOS'!$C$78:$E$202,3,)</f>
        <v>Financeiro</v>
      </c>
      <c r="E8" s="9" t="s">
        <v>861</v>
      </c>
    </row>
    <row r="9" spans="2:5" thickBot="1">
      <c r="B9" s="445" t="s">
        <v>17</v>
      </c>
      <c r="C9" s="446">
        <f>VLOOKUP($C$8,'BASE DA MATRIZ DE RISCOS'!$C$30:$E$35,3)</f>
        <v>5</v>
      </c>
      <c r="E9" s="9" t="s">
        <v>853</v>
      </c>
    </row>
    <row r="10" spans="2:5" thickBot="1">
      <c r="B10" s="52" t="s">
        <v>444</v>
      </c>
      <c r="C10" s="31">
        <f>VLOOKUP(C6,'BASE DA MATRIZ DE RISCOS'!$C$78:$H$202,5,)</f>
        <v>3</v>
      </c>
      <c r="E10" s="9" t="s">
        <v>854</v>
      </c>
    </row>
    <row r="11" spans="2:5" thickBot="1">
      <c r="B11" s="445" t="s">
        <v>449</v>
      </c>
      <c r="C11" s="446">
        <f>VLOOKUP(C6,'BASE DA MATRIZ DE RISCOS'!$C$78:$H$202,6,)</f>
        <v>4</v>
      </c>
      <c r="E11" s="9" t="s">
        <v>854</v>
      </c>
    </row>
    <row r="12" spans="2:5" thickBot="1">
      <c r="B12" s="52" t="s">
        <v>446</v>
      </c>
      <c r="C12" s="53">
        <f>C9*C10*C11</f>
        <v>60</v>
      </c>
      <c r="E12" s="9" t="s">
        <v>855</v>
      </c>
    </row>
    <row r="13" spans="2:5" thickBot="1">
      <c r="B13" s="445" t="s">
        <v>856</v>
      </c>
      <c r="C13" s="446" t="str">
        <f>VLOOKUP(C6,'BASE DA MATRIZ DE RISCOS'!$C$78:$J$202,8,)</f>
        <v>Demonstrativo Financeiro + voucher nos extratos</v>
      </c>
      <c r="E13" s="9" t="s">
        <v>857</v>
      </c>
    </row>
    <row r="14" spans="2:5" ht="55.9" thickBot="1">
      <c r="B14" s="52" t="s">
        <v>464</v>
      </c>
      <c r="C14" s="31" t="str">
        <f>VLOOKUP(C$6,'RESUMO DE PONTOS'!$C$9:$H$64,3,)</f>
        <v>Recebemos o extrato do Banco Santander, agência: 4306 e conta: 13.003503-0 referente ao mês 02/2022 de forma incompleta, impossibilitando assim, a conferência de todas as suas informações.</v>
      </c>
    </row>
    <row r="15" spans="2:5" ht="55.9" thickBot="1">
      <c r="B15" s="445" t="s">
        <v>279</v>
      </c>
      <c r="C15" s="446" t="str">
        <f>IFERROR(VLOOKUP(C$6,'RESUMO DE PONTOS'!$C$9:$H$64,4,),"")</f>
        <v>A entrega de extrato realizada de forma incompleta impede a análise, o entendimento e a validação das entradas e saídas financeiras, reduzindo assim, a transparência nas prestação de contas do condomínio.</v>
      </c>
    </row>
    <row r="16" spans="2:5" ht="14.45" thickBot="1">
      <c r="B16" s="52" t="s">
        <v>280</v>
      </c>
      <c r="C16" s="84" t="str">
        <f>IFERROR(VLOOKUP(C$6,'RESUMO DE PONTOS'!$C$9:$H$64,5,),"")</f>
        <v>NA</v>
      </c>
    </row>
    <row r="17" spans="2:3" ht="42" thickBot="1">
      <c r="B17" s="447" t="s">
        <v>281</v>
      </c>
      <c r="C17" s="446" t="str">
        <f>IFERROR(VLOOKUP(C$6,'RESUMO DE PONTOS'!$C$9:$H$64,6,),"")</f>
        <v xml:space="preserve">Recomendamos à Administração que envie os extratos bancários emitidos diretamente pelas instituições financeiras contemplando todas as informações do período solicitado. </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68" priority="1" operator="containsText" text="BAIXO IMPACTO">
      <formula>NOT(ISERROR(SEARCH(("BAIXO IMPACTO"),(C4))))</formula>
    </cfRule>
    <cfRule type="containsText" dxfId="67" priority="2" operator="containsText" text="MÉDIO IMPACTO">
      <formula>NOT(ISERROR(SEARCH(("MÉDIO IMPACTO"),(C4))))</formula>
    </cfRule>
    <cfRule type="containsText" dxfId="66" priority="3" operator="containsText" text="ALTO IMPACTO">
      <formula>NOT(ISERROR(SEARCH(("ALTO IMPACTO"),(C4))))</formula>
    </cfRule>
  </conditionalFormatting>
  <dataValidations count="3">
    <dataValidation type="list" allowBlank="1" showErrorMessage="1" sqref="C6" xr:uid="{2A1F12C4-2DA5-45DB-AFE3-C6B3541F667B}">
      <formula1>"[P1],[P2],[P3],[P4],[P5],[P6],[P7],[P8],[P9],[P10],[P11],[P12],[P13],[P14],[P15],[P16],[P17],[P18],[P19],[P20],[P21],[P22],[P23],[P24],[P25],[P26],[P27],[P28],[P29],[P30],[P31],[P32],[P33],[P34],[P35],[P36],[P37],[P38],[P39],[P40]"</formula1>
    </dataValidation>
    <dataValidation type="list" allowBlank="1" showErrorMessage="1" sqref="C8" xr:uid="{CC4243F7-1664-45BC-A8E6-D921DDA56AB7}">
      <formula1>"Estratégico,Financeiro,Operacional,Legal,Tecnologia,Imagem"</formula1>
    </dataValidation>
    <dataValidation type="list" allowBlank="1" showErrorMessage="1" sqref="C4" xr:uid="{B684EFEC-A2C7-4618-B17A-159929A6958B}">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B1F1-8450-4C81-9F06-8D8E97130EF6}">
  <dimension ref="B2:E1000"/>
  <sheetViews>
    <sheetView showGridLines="0" topLeftCell="A3"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373</v>
      </c>
      <c r="E6" s="9" t="s">
        <v>861</v>
      </c>
    </row>
    <row r="7" spans="2:5" ht="42" thickBot="1">
      <c r="B7" s="443" t="s">
        <v>443</v>
      </c>
      <c r="C7" s="444" t="str">
        <f>VLOOKUP(C6,'BASE DA MATRIZ DE RISCOS'!$C$78:$D$202,2,)</f>
        <v>Diferenças entre os saldos dos Demonstrativos Financeiros de Receitas e Despesas em relação a Demonstração dos Saldos Financeiros.</v>
      </c>
    </row>
    <row r="8" spans="2:5" thickBot="1">
      <c r="B8" s="49" t="s">
        <v>17</v>
      </c>
      <c r="C8" s="51" t="str">
        <f>VLOOKUP(C6,'BASE DA MATRIZ DE RISCOS'!$C$78:$E$202,3,)</f>
        <v>Financeiro</v>
      </c>
      <c r="E8" s="9" t="s">
        <v>861</v>
      </c>
    </row>
    <row r="9" spans="2:5" thickBot="1">
      <c r="B9" s="445" t="s">
        <v>17</v>
      </c>
      <c r="C9" s="446">
        <f>VLOOKUP($C$8,'BASE DA MATRIZ DE RISCOS'!$C$30:$E$35,3)</f>
        <v>5</v>
      </c>
      <c r="E9" s="9" t="s">
        <v>853</v>
      </c>
    </row>
    <row r="10" spans="2:5" thickBot="1">
      <c r="B10" s="52" t="s">
        <v>444</v>
      </c>
      <c r="C10" s="31">
        <f>VLOOKUP(C6,'BASE DA MATRIZ DE RISCOS'!$C$78:$H$202,5,)</f>
        <v>2</v>
      </c>
      <c r="E10" s="9" t="s">
        <v>854</v>
      </c>
    </row>
    <row r="11" spans="2:5" thickBot="1">
      <c r="B11" s="445" t="s">
        <v>449</v>
      </c>
      <c r="C11" s="446">
        <f>VLOOKUP(C6,'BASE DA MATRIZ DE RISCOS'!$C$78:$H$202,6,)</f>
        <v>2</v>
      </c>
      <c r="E11" s="9" t="s">
        <v>854</v>
      </c>
    </row>
    <row r="12" spans="2:5" thickBot="1">
      <c r="B12" s="52" t="s">
        <v>446</v>
      </c>
      <c r="C12" s="53">
        <f>C9*C10*C11</f>
        <v>20</v>
      </c>
      <c r="E12" s="9" t="s">
        <v>855</v>
      </c>
    </row>
    <row r="13" spans="2:5" ht="28.15" thickBot="1">
      <c r="B13" s="445" t="s">
        <v>856</v>
      </c>
      <c r="C13" s="446" t="str">
        <f>VLOOKUP(C6,'BASE DA MATRIZ DE RISCOS'!$C$78:$J$202,8,)</f>
        <v>Conciliação Bancária + Elaboração dos quadros dos Demonstrativos Financeiros</v>
      </c>
      <c r="E13" s="9" t="s">
        <v>857</v>
      </c>
    </row>
    <row r="14" spans="2:5" ht="55.9" thickBot="1">
      <c r="B14" s="52" t="s">
        <v>464</v>
      </c>
      <c r="C14" s="31" t="str">
        <f>VLOOKUP(C$6,'RESUMO DE PONTOS'!$C$9:$H$64,3,)</f>
        <v>Verificamos os saldos finais dos demonstrativos financeiros de receitas e despesas (DF) e confrontamos com os valores finais dos demonstrativos dos saldos financeiros (DSF), nos quais foram identificadas divergências.</v>
      </c>
    </row>
    <row r="15" spans="2:5" ht="69.599999999999994" thickBot="1">
      <c r="B15" s="445" t="s">
        <v>279</v>
      </c>
      <c r="C15" s="446" t="str">
        <f>IFERROR(VLOOKUP(C$6,'RESUMO DE PONTOS'!$C$9:$H$64,4,),"")</f>
        <v>A apresentação dos saldos divergentes nos demonstrativos financeiros de receita e despesas, poderá prejudicar a transparência e afetar a prestação de contas comprometendo a interpretação dos usuários das informações financeiras do condomínio.</v>
      </c>
    </row>
    <row r="16" spans="2:5" ht="14.45" thickBot="1">
      <c r="B16" s="52" t="s">
        <v>280</v>
      </c>
      <c r="C16" s="84">
        <f>IFERROR(VLOOKUP(C$6,'RESUMO DE PONTOS'!$C$9:$H$64,5,),"")</f>
        <v>109</v>
      </c>
    </row>
    <row r="17" spans="2:3" ht="42" thickBot="1">
      <c r="B17" s="447" t="s">
        <v>281</v>
      </c>
      <c r="C17" s="446" t="str">
        <f>IFERROR(VLOOKUP(C$6,'RESUMO DE PONTOS'!$C$9:$H$64,6,),"")</f>
        <v>Recomendamos que os demonstrativos dos saldos financeiros assim como os demonstrativo de receita e despesas sejam revisados para reduzir os riscos de divergências.</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65" priority="1" operator="containsText" text="BAIXO IMPACTO">
      <formula>NOT(ISERROR(SEARCH(("BAIXO IMPACTO"),(C4))))</formula>
    </cfRule>
    <cfRule type="containsText" dxfId="64" priority="2" operator="containsText" text="MÉDIO IMPACTO">
      <formula>NOT(ISERROR(SEARCH(("MÉDIO IMPACTO"),(C4))))</formula>
    </cfRule>
    <cfRule type="containsText" dxfId="63" priority="3" operator="containsText" text="ALTO IMPACTO">
      <formula>NOT(ISERROR(SEARCH(("ALTO IMPACTO"),(C4))))</formula>
    </cfRule>
  </conditionalFormatting>
  <dataValidations count="3">
    <dataValidation type="list" allowBlank="1" showErrorMessage="1" sqref="C6" xr:uid="{F31BD15E-4BA4-422C-9F05-B9BC454DC826}">
      <formula1>"[P1],[P2],[P3],[P4],[P5],[P6],[P7],[P8],[P9],[P10],[P11],[P12],[P13],[P14],[P15],[P16],[P17],[P18],[P19],[P20],[P21],[P22],[P23],[P24],[P25],[P26],[P27],[P28],[P29],[P30],[P31],[P32],[P33],[P34],[P35],[P36],[P37],[P38],[P39],[P40]"</formula1>
    </dataValidation>
    <dataValidation type="list" allowBlank="1" showErrorMessage="1" sqref="C8" xr:uid="{D4BA3BF8-347B-4D30-86B6-3EFBF2AA5C03}">
      <formula1>"Estratégico,Financeiro,Operacional,Legal,Tecnologia,Imagem"</formula1>
    </dataValidation>
    <dataValidation type="list" allowBlank="1" showErrorMessage="1" sqref="C4" xr:uid="{FA9783A2-D175-42E6-A24E-197199F8CF5A}">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A690F-CC1B-40D7-BB95-4D6B972D1EAE}">
  <dimension ref="B2:E1000"/>
  <sheetViews>
    <sheetView showGridLines="0" topLeftCell="A5"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379</v>
      </c>
      <c r="E6" s="9" t="s">
        <v>861</v>
      </c>
    </row>
    <row r="7" spans="2:5" ht="14.45" thickBot="1">
      <c r="B7" s="443" t="s">
        <v>443</v>
      </c>
      <c r="C7" s="444" t="str">
        <f>VLOOKUP(C6,'BASE DA MATRIZ DE RISCOS'!$C$78:$D$202,2,)</f>
        <v>Ausência de apresentação de mapa de cotação</v>
      </c>
    </row>
    <row r="8" spans="2:5" thickBot="1">
      <c r="B8" s="49" t="s">
        <v>17</v>
      </c>
      <c r="C8" s="51" t="str">
        <f>VLOOKUP(C6,'BASE DA MATRIZ DE RISCOS'!$C$78:$E$202,3,)</f>
        <v>Operacional</v>
      </c>
      <c r="E8" s="9" t="s">
        <v>861</v>
      </c>
    </row>
    <row r="9" spans="2:5" thickBot="1">
      <c r="B9" s="445" t="s">
        <v>17</v>
      </c>
      <c r="C9" s="446">
        <f>VLOOKUP($C$8,'BASE DA MATRIZ DE RISCOS'!$C$30:$E$36,3)</f>
        <v>3</v>
      </c>
      <c r="E9" s="9" t="s">
        <v>853</v>
      </c>
    </row>
    <row r="10" spans="2:5" thickBot="1">
      <c r="B10" s="52" t="s">
        <v>444</v>
      </c>
      <c r="C10" s="31">
        <f>VLOOKUP(C6,'BASE DA MATRIZ DE RISCOS'!$C$78:$H$202,5,)</f>
        <v>4</v>
      </c>
      <c r="E10" s="9" t="s">
        <v>854</v>
      </c>
    </row>
    <row r="11" spans="2:5" thickBot="1">
      <c r="B11" s="445" t="s">
        <v>449</v>
      </c>
      <c r="C11" s="446">
        <f>VLOOKUP(C6,'BASE DA MATRIZ DE RISCOS'!$C$78:$H$202,6,)</f>
        <v>3</v>
      </c>
      <c r="E11" s="9" t="s">
        <v>854</v>
      </c>
    </row>
    <row r="12" spans="2:5" thickBot="1">
      <c r="B12" s="52" t="s">
        <v>446</v>
      </c>
      <c r="C12" s="53">
        <f>C9*C10*C11</f>
        <v>36</v>
      </c>
      <c r="E12" s="9" t="s">
        <v>855</v>
      </c>
    </row>
    <row r="13" spans="2:5" thickBot="1">
      <c r="B13" s="445" t="s">
        <v>856</v>
      </c>
      <c r="C13" s="446" t="str">
        <f>VLOOKUP(C6,'BASE DA MATRIZ DE RISCOS'!$C$78:$J$202,8,)</f>
        <v>Voucher documental</v>
      </c>
      <c r="E13" s="9" t="s">
        <v>857</v>
      </c>
    </row>
    <row r="14" spans="2:5" ht="28.15" thickBot="1">
      <c r="B14" s="52" t="s">
        <v>464</v>
      </c>
      <c r="C14" s="31" t="str">
        <f>VLOOKUP(C$6,'RESUMO DE PONTOS'!$C$9:$H$64,3,)</f>
        <v>Verificamos que algumas compras realizadas não estavam sendo efetuado o mapa de cotação.</v>
      </c>
    </row>
    <row r="15" spans="2:5" ht="55.9" thickBot="1">
      <c r="B15" s="445" t="s">
        <v>279</v>
      </c>
      <c r="C15" s="446" t="str">
        <f>IFERROR(VLOOKUP(C$6,'RESUMO DE PONTOS'!$C$9:$H$64,4,),"")</f>
        <v>A falta da cotação mínima de 3 orçamentos poderá prejudicar o condomínio através de aquisições de bens e/ou serviços de baixa qualidade, com fornecedores sem conhecimento ou respaldo técnico e entregas diferente do escopo esperado.</v>
      </c>
    </row>
    <row r="16" spans="2:5" ht="14.45" thickBot="1">
      <c r="B16" s="52" t="s">
        <v>280</v>
      </c>
      <c r="C16" s="84" t="str">
        <f>IFERROR(VLOOKUP(C$6,'RESUMO DE PONTOS'!$C$9:$H$64,5,),"")</f>
        <v>NA</v>
      </c>
    </row>
    <row r="17" spans="2:3" ht="42" thickBot="1">
      <c r="B17" s="447" t="s">
        <v>281</v>
      </c>
      <c r="C17" s="446" t="str">
        <f>IFERROR(VLOOKUP(C$6,'RESUMO DE PONTOS'!$C$9:$H$64,6,),"")</f>
        <v>Recomendamos a administração que seja realizado mapa de orçamento no mínimo de 3 cotações para as aquisições dos bens ou serviços do condomínio.</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62" priority="1" operator="containsText" text="BAIXO IMPACTO">
      <formula>NOT(ISERROR(SEARCH(("BAIXO IMPACTO"),(C4))))</formula>
    </cfRule>
    <cfRule type="containsText" dxfId="61" priority="2" operator="containsText" text="MÉDIO IMPACTO">
      <formula>NOT(ISERROR(SEARCH(("MÉDIO IMPACTO"),(C4))))</formula>
    </cfRule>
    <cfRule type="containsText" dxfId="60" priority="3" operator="containsText" text="ALTO IMPACTO">
      <formula>NOT(ISERROR(SEARCH(("ALTO IMPACTO"),(C4))))</formula>
    </cfRule>
  </conditionalFormatting>
  <dataValidations count="3">
    <dataValidation type="list" allowBlank="1" showErrorMessage="1" sqref="C4" xr:uid="{4529D817-7FB4-4144-821F-512B30C5FEEF}">
      <formula1>"ALTO IMPACTO,MÉDIO IMPACTO,BAIXO IMPACTO"</formula1>
    </dataValidation>
    <dataValidation type="list" allowBlank="1" showErrorMessage="1" sqref="C8" xr:uid="{25271CBF-E81D-4705-80FF-AFB38B159074}">
      <formula1>"Estratégico,Financeiro,Operacional,Legal,Tecnologia,Imagem"</formula1>
    </dataValidation>
    <dataValidation type="list" allowBlank="1" showErrorMessage="1" sqref="C6" xr:uid="{BD903BA4-0DD4-4842-8E8B-3F4AD54A2F88}">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255F-BFEC-435B-A9DB-1B6D254BBB3A}">
  <dimension ref="B2:E1000"/>
  <sheetViews>
    <sheetView showGridLines="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MÉDIO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386</v>
      </c>
      <c r="E6" s="9" t="s">
        <v>861</v>
      </c>
    </row>
    <row r="7" spans="2:5" ht="14.45" thickBot="1">
      <c r="B7" s="443" t="s">
        <v>443</v>
      </c>
      <c r="C7" s="444" t="str">
        <f>VLOOKUP(C6,'BASE DA MATRIZ DE RISCOS'!$C$78:$D$202,2,)</f>
        <v>Ausência de inventário dos ativos imobilizados</v>
      </c>
    </row>
    <row r="8" spans="2:5" thickBot="1">
      <c r="B8" s="49" t="s">
        <v>17</v>
      </c>
      <c r="C8" s="51" t="str">
        <f>VLOOKUP(C6,'BASE DA MATRIZ DE RISCOS'!$C$78:$E$202,3,)</f>
        <v>Financeiro</v>
      </c>
      <c r="E8" s="9" t="s">
        <v>861</v>
      </c>
    </row>
    <row r="9" spans="2:5" thickBot="1">
      <c r="B9" s="445" t="s">
        <v>17</v>
      </c>
      <c r="C9" s="446">
        <f>VLOOKUP($C$8,'BASE DA MATRIZ DE RISCOS'!$C$30:$E$36,3)</f>
        <v>5</v>
      </c>
      <c r="E9" s="9" t="s">
        <v>853</v>
      </c>
    </row>
    <row r="10" spans="2:5" thickBot="1">
      <c r="B10" s="52" t="s">
        <v>444</v>
      </c>
      <c r="C10" s="31">
        <f>VLOOKUP(C6,'BASE DA MATRIZ DE RISCOS'!$C$78:$H$202,5,)</f>
        <v>4</v>
      </c>
      <c r="E10" s="9" t="s">
        <v>854</v>
      </c>
    </row>
    <row r="11" spans="2:5" thickBot="1">
      <c r="B11" s="445" t="s">
        <v>449</v>
      </c>
      <c r="C11" s="446">
        <f>VLOOKUP(C6,'BASE DA MATRIZ DE RISCOS'!$C$78:$H$202,6,)</f>
        <v>3</v>
      </c>
      <c r="E11" s="9" t="s">
        <v>854</v>
      </c>
    </row>
    <row r="12" spans="2:5" thickBot="1">
      <c r="B12" s="52" t="s">
        <v>446</v>
      </c>
      <c r="C12" s="53">
        <f>C9*C10*C11</f>
        <v>60</v>
      </c>
      <c r="E12" s="9" t="s">
        <v>855</v>
      </c>
    </row>
    <row r="13" spans="2:5" thickBot="1">
      <c r="B13" s="445" t="s">
        <v>856</v>
      </c>
      <c r="C13" s="446" t="str">
        <f>VLOOKUP(C6,'BASE DA MATRIZ DE RISCOS'!$C$78:$J$202,8,)</f>
        <v>Inspeção estatística dos itens do Imobilizado</v>
      </c>
      <c r="E13" s="9" t="s">
        <v>857</v>
      </c>
    </row>
    <row r="14" spans="2:5" ht="55.9" thickBot="1">
      <c r="B14" s="52" t="s">
        <v>464</v>
      </c>
      <c r="C14" s="31" t="str">
        <f>VLOOKUP(C$6,'RESUMO DE PONTOS'!$C$9:$H$64,3,)</f>
        <v>Não identificamos o controle patrimonial dos ativos imobilizados para atualização do saldo em decorrência dos bens adquiridos, obsoletos e/ou perdidos para realização da baixa, assim como as depreciações.</v>
      </c>
    </row>
    <row r="15" spans="2:5" ht="28.15" thickBot="1">
      <c r="B15" s="445" t="s">
        <v>279</v>
      </c>
      <c r="C15" s="446" t="str">
        <f>IFERROR(VLOOKUP(C$6,'RESUMO DE PONTOS'!$C$9:$H$64,4,),"")</f>
        <v>A ausência do controle patrimonial do condomínio poderá impactar em possíveis perdas ou desvios do ativo imobilizado.</v>
      </c>
    </row>
    <row r="16" spans="2:5" ht="14.45" thickBot="1">
      <c r="B16" s="52" t="s">
        <v>280</v>
      </c>
      <c r="C16" s="84" t="str">
        <f>IFERROR(VLOOKUP(C$6,'RESUMO DE PONTOS'!$C$9:$H$64,5,),"")</f>
        <v>NA</v>
      </c>
    </row>
    <row r="17" spans="2:3" ht="28.15" thickBot="1">
      <c r="B17" s="447" t="s">
        <v>281</v>
      </c>
      <c r="C17" s="446" t="str">
        <f>IFERROR(VLOOKUP(C$6,'RESUMO DE PONTOS'!$C$9:$H$64,6,),"")</f>
        <v>Sugerimos que à Administração do condomínio busque realizar o inventário dos ativos imobilizados anualmente.</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59" priority="1" operator="containsText" text="BAIXO IMPACTO">
      <formula>NOT(ISERROR(SEARCH(("BAIXO IMPACTO"),(C4))))</formula>
    </cfRule>
    <cfRule type="containsText" dxfId="58" priority="2" operator="containsText" text="MÉDIO IMPACTO">
      <formula>NOT(ISERROR(SEARCH(("MÉDIO IMPACTO"),(C4))))</formula>
    </cfRule>
    <cfRule type="containsText" dxfId="57" priority="3" operator="containsText" text="ALTO IMPACTO">
      <formula>NOT(ISERROR(SEARCH(("ALTO IMPACTO"),(C4))))</formula>
    </cfRule>
  </conditionalFormatting>
  <dataValidations count="3">
    <dataValidation type="list" allowBlank="1" showErrorMessage="1" sqref="C6" xr:uid="{74056292-94D0-4878-9298-10324B610F23}">
      <formula1>"[P1],[P2],[P3],[P4],[P5],[P6],[P7],[P8],[P9],[P10],[P11],[P12],[P13],[P14],[P15],[P16],[P17],[P18],[P19],[P20],[P21],[P22],[P23],[P24],[P25],[P26],[P27],[P28],[P29],[P30],[P31],[P32],[P33],[P34],[P35],[P36],[P37],[P38],[P39],[P40]"</formula1>
    </dataValidation>
    <dataValidation type="list" allowBlank="1" showErrorMessage="1" sqref="C8" xr:uid="{45AF853C-BFEF-4AF7-A163-422DDB4E13E9}">
      <formula1>"Estratégico,Financeiro,Operacional,Legal,Tecnologia,Imagem"</formula1>
    </dataValidation>
    <dataValidation type="list" allowBlank="1" showErrorMessage="1" sqref="C4" xr:uid="{FCCB380E-5F21-45EA-9878-2F02CF8D9D80}">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207C0-AC17-4D0A-9248-5010AFCB9EEE}">
  <dimension ref="B2:E1000"/>
  <sheetViews>
    <sheetView showGridLines="0" topLeftCell="A18"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14.45" thickBot="1">
      <c r="B5" s="443" t="s">
        <v>274</v>
      </c>
      <c r="C5" s="444" t="str">
        <f>IFERROR(VLOOKUP(C6,'RESUMO DE PONTOS'!$C$9:$M$64,11,),"")</f>
        <v/>
      </c>
    </row>
    <row r="6" spans="2:5" thickBot="1">
      <c r="B6" s="49" t="s">
        <v>276</v>
      </c>
      <c r="C6" s="50" t="s">
        <v>393</v>
      </c>
      <c r="E6" s="9" t="s">
        <v>861</v>
      </c>
    </row>
    <row r="7" spans="2:5" ht="28.15" thickBot="1">
      <c r="B7" s="443" t="s">
        <v>443</v>
      </c>
      <c r="C7" s="444" t="str">
        <f>VLOOKUP(C6,'BASE DA MATRIZ DE RISCOS'!$C$78:$D$202,2,)</f>
        <v>Inexistência de valor estimado dos honorários advocatícios</v>
      </c>
    </row>
    <row r="8" spans="2:5" thickBot="1">
      <c r="B8" s="49" t="s">
        <v>17</v>
      </c>
      <c r="C8" s="51" t="str">
        <f>VLOOKUP(C6,'BASE DA MATRIZ DE RISCOS'!$C$78:$E$202,3,)</f>
        <v>Financeiro</v>
      </c>
      <c r="E8" s="9" t="s">
        <v>861</v>
      </c>
    </row>
    <row r="9" spans="2:5" thickBot="1">
      <c r="B9" s="445" t="s">
        <v>17</v>
      </c>
      <c r="C9" s="446">
        <f>VLOOKUP($C$8,'BASE DA MATRIZ DE RISCOS'!$C$30:$E$36,3)</f>
        <v>5</v>
      </c>
      <c r="E9" s="9" t="s">
        <v>853</v>
      </c>
    </row>
    <row r="10" spans="2:5" thickBot="1">
      <c r="B10" s="52" t="s">
        <v>444</v>
      </c>
      <c r="C10" s="31">
        <f>VLOOKUP(C6,'BASE DA MATRIZ DE RISCOS'!$C$78:$H$202,5,)</f>
        <v>3</v>
      </c>
      <c r="E10" s="9" t="s">
        <v>854</v>
      </c>
    </row>
    <row r="11" spans="2:5" thickBot="1">
      <c r="B11" s="445" t="s">
        <v>449</v>
      </c>
      <c r="C11" s="446">
        <f>VLOOKUP(C6,'BASE DA MATRIZ DE RISCOS'!$C$78:$H$202,6,)</f>
        <v>1</v>
      </c>
      <c r="E11" s="9" t="s">
        <v>854</v>
      </c>
    </row>
    <row r="12" spans="2:5" thickBot="1">
      <c r="B12" s="52" t="s">
        <v>446</v>
      </c>
      <c r="C12" s="53">
        <f>C9*C10*C11</f>
        <v>15</v>
      </c>
      <c r="E12" s="9" t="s">
        <v>855</v>
      </c>
    </row>
    <row r="13" spans="2:5" thickBot="1">
      <c r="B13" s="445" t="s">
        <v>856</v>
      </c>
      <c r="C13" s="446" t="str">
        <f>VLOOKUP(C6,'BASE DA MATRIZ DE RISCOS'!$C$78:$J$202,8,)</f>
        <v>Teste de Contingência</v>
      </c>
      <c r="E13" s="9" t="s">
        <v>857</v>
      </c>
    </row>
    <row r="14" spans="2:5" ht="42" thickBot="1">
      <c r="B14" s="52" t="s">
        <v>464</v>
      </c>
      <c r="C14" s="31" t="str">
        <f>VLOOKUP(C$6,'RESUMO DE PONTOS'!$C$9:$H$64,3,)</f>
        <v>Não identificamos o valor estimado da expectativa de exito nos casos de processos onde o condomínio esteja como polo ativo ou passivo para período de 03/2021 até 02/2022</v>
      </c>
    </row>
    <row r="15" spans="2:5" ht="14.45" thickBot="1">
      <c r="B15" s="445" t="s">
        <v>279</v>
      </c>
      <c r="C15" s="446">
        <f>IFERROR(VLOOKUP(C$6,'RESUMO DE PONTOS'!$C$9:$H$64,4,),"")</f>
        <v>0</v>
      </c>
    </row>
    <row r="16" spans="2:5" ht="14.45" thickBot="1">
      <c r="B16" s="52" t="s">
        <v>280</v>
      </c>
      <c r="C16" s="84" t="str">
        <f>IFERROR(VLOOKUP(C$6,'RESUMO DE PONTOS'!$C$9:$H$64,5,),"")</f>
        <v>N/A</v>
      </c>
    </row>
    <row r="17" spans="2:3" thickBot="1">
      <c r="B17" s="447" t="s">
        <v>281</v>
      </c>
      <c r="C17" s="446">
        <f>IFERROR(VLOOKUP(C$6,'RESUMO DE PONTOS'!$C$9:$H$64,6,),"")</f>
        <v>0</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56" priority="1" operator="containsText" text="BAIXO IMPACTO">
      <formula>NOT(ISERROR(SEARCH(("BAIXO IMPACTO"),(C4))))</formula>
    </cfRule>
    <cfRule type="containsText" dxfId="55" priority="2" operator="containsText" text="MÉDIO IMPACTO">
      <formula>NOT(ISERROR(SEARCH(("MÉDIO IMPACTO"),(C4))))</formula>
    </cfRule>
    <cfRule type="containsText" dxfId="54" priority="3" operator="containsText" text="ALTO IMPACTO">
      <formula>NOT(ISERROR(SEARCH(("ALTO IMPACTO"),(C4))))</formula>
    </cfRule>
  </conditionalFormatting>
  <dataValidations count="3">
    <dataValidation type="list" allowBlank="1" showErrorMessage="1" sqref="C4" xr:uid="{B7702B87-D1B8-4A01-8921-62002EA2129C}">
      <formula1>"ALTO IMPACTO,MÉDIO IMPACTO,BAIXO IMPACTO"</formula1>
    </dataValidation>
    <dataValidation type="list" allowBlank="1" showErrorMessage="1" sqref="C8" xr:uid="{20843D19-B2ED-4058-A4D6-9FBB48CDDEE2}">
      <formula1>"Estratégico,Financeiro,Operacional,Legal,Tecnologia,Imagem"</formula1>
    </dataValidation>
    <dataValidation type="list" allowBlank="1" showErrorMessage="1" sqref="C6" xr:uid="{2DA0E345-AB9B-41E5-957B-39AF5CD23CC1}">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B145-B007-40C2-9B6E-8113D5E322F0}">
  <dimension ref="B2:E1000"/>
  <sheetViews>
    <sheetView showGridLines="0" topLeftCell="A17"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ALTO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399</v>
      </c>
      <c r="E6" s="9" t="s">
        <v>861</v>
      </c>
    </row>
    <row r="7" spans="2:5" ht="14.45" thickBot="1">
      <c r="B7" s="443" t="s">
        <v>443</v>
      </c>
      <c r="C7" s="444" t="str">
        <f>VLOOKUP(C6,'BASE DA MATRIZ DE RISCOS'!$C$78:$D$202,2,)</f>
        <v xml:space="preserve">Perda Possível de Causa Judicial </v>
      </c>
    </row>
    <row r="8" spans="2:5" thickBot="1">
      <c r="B8" s="49" t="s">
        <v>17</v>
      </c>
      <c r="C8" s="51" t="str">
        <f>VLOOKUP(C6,'BASE DA MATRIZ DE RISCOS'!$C$78:$E$202,3,)</f>
        <v>Legal</v>
      </c>
      <c r="E8" s="9" t="s">
        <v>861</v>
      </c>
    </row>
    <row r="9" spans="2:5" thickBot="1">
      <c r="B9" s="445" t="s">
        <v>17</v>
      </c>
      <c r="C9" s="446">
        <f>VLOOKUP($C$8,'BASE DA MATRIZ DE RISCOS'!$C$30:$E$35,3)</f>
        <v>5</v>
      </c>
      <c r="E9" s="9" t="s">
        <v>853</v>
      </c>
    </row>
    <row r="10" spans="2:5" thickBot="1">
      <c r="B10" s="52" t="s">
        <v>444</v>
      </c>
      <c r="C10" s="31">
        <f>VLOOKUP(C6,'BASE DA MATRIZ DE RISCOS'!$C$78:$H$202,5,)</f>
        <v>5</v>
      </c>
      <c r="E10" s="9" t="s">
        <v>854</v>
      </c>
    </row>
    <row r="11" spans="2:5" thickBot="1">
      <c r="B11" s="445" t="s">
        <v>449</v>
      </c>
      <c r="C11" s="446">
        <f>VLOOKUP(C6,'BASE DA MATRIZ DE RISCOS'!$C$78:$H$202,6,)</f>
        <v>4</v>
      </c>
      <c r="E11" s="9" t="s">
        <v>854</v>
      </c>
    </row>
    <row r="12" spans="2:5" thickBot="1">
      <c r="B12" s="52" t="s">
        <v>446</v>
      </c>
      <c r="C12" s="53">
        <f>C9*C10*C11</f>
        <v>100</v>
      </c>
      <c r="E12" s="9" t="s">
        <v>855</v>
      </c>
    </row>
    <row r="13" spans="2:5" thickBot="1">
      <c r="B13" s="445" t="s">
        <v>856</v>
      </c>
      <c r="C13" s="446" t="str">
        <f>VLOOKUP(C6,'BASE DA MATRIZ DE RISCOS'!$C$78:$J$202,8,)</f>
        <v>Teste de Contingência</v>
      </c>
      <c r="E13" s="9" t="s">
        <v>857</v>
      </c>
    </row>
    <row r="14" spans="2:5" ht="69.599999999999994" thickBot="1">
      <c r="B14" s="52" t="s">
        <v>464</v>
      </c>
      <c r="C14" s="31" t="str">
        <f>VLOOKUP(C$6,'RESUMO DE PONTOS'!$C$9:$H$64,3,)</f>
        <v>Identificamos no período de 28 de fevereiro 2022 a perda possível de R$ 406.946,20. Salientamos que a Perda Possível é aquela que o condomínio tem ou não uma obrigação presente legal como resultado de evento passado que haverá uma saída de recursos para liquidar essa obrigação.</v>
      </c>
    </row>
    <row r="15" spans="2:5" ht="14.45" thickBot="1">
      <c r="B15" s="445" t="s">
        <v>279</v>
      </c>
      <c r="C15" s="446">
        <f>IFERROR(VLOOKUP(C$6,'RESUMO DE PONTOS'!$C$9:$H$64,4,),"")</f>
        <v>0</v>
      </c>
    </row>
    <row r="16" spans="2:5" ht="14.45" thickBot="1">
      <c r="B16" s="52" t="s">
        <v>280</v>
      </c>
      <c r="C16" s="84">
        <f>IFERROR(VLOOKUP(C$6,'RESUMO DE PONTOS'!$C$9:$H$64,5,),"")</f>
        <v>396946.2</v>
      </c>
    </row>
    <row r="17" spans="2:3" thickBot="1">
      <c r="B17" s="447" t="s">
        <v>281</v>
      </c>
      <c r="C17" s="446">
        <f>IFERROR(VLOOKUP(C$6,'RESUMO DE PONTOS'!$C$9:$H$64,6,),"")</f>
        <v>0</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53" priority="1" operator="containsText" text="BAIXO IMPACTO">
      <formula>NOT(ISERROR(SEARCH(("BAIXO IMPACTO"),(C4))))</formula>
    </cfRule>
    <cfRule type="containsText" dxfId="52" priority="2" operator="containsText" text="MÉDIO IMPACTO">
      <formula>NOT(ISERROR(SEARCH(("MÉDIO IMPACTO"),(C4))))</formula>
    </cfRule>
    <cfRule type="containsText" dxfId="51" priority="3" operator="containsText" text="ALTO IMPACTO">
      <formula>NOT(ISERROR(SEARCH(("ALTO IMPACTO"),(C4))))</formula>
    </cfRule>
  </conditionalFormatting>
  <dataValidations count="3">
    <dataValidation type="list" allowBlank="1" showErrorMessage="1" sqref="C4" xr:uid="{B6029DF5-CB2D-49DD-A808-C3A7A7C57A9E}">
      <formula1>"ALTO IMPACTO,MÉDIO IMPACTO,BAIXO IMPACTO"</formula1>
    </dataValidation>
    <dataValidation type="list" allowBlank="1" showErrorMessage="1" sqref="C8" xr:uid="{639272BC-58A6-4732-A750-21945B448C0E}">
      <formula1>"Estratégico,Financeiro,Operacional,Legal,Tecnologia,Imagem"</formula1>
    </dataValidation>
    <dataValidation type="list" allowBlank="1" showErrorMessage="1" sqref="C6" xr:uid="{99411222-80BF-4114-B8C7-F7454B87971E}">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DC7E2-295B-495B-9E9F-D745C192EEE6}">
  <dimension ref="B2:E1000"/>
  <sheetViews>
    <sheetView showGridLines="0" topLeftCell="A10" zoomScale="80" zoomScaleNormal="8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403</v>
      </c>
      <c r="E6" s="9" t="s">
        <v>861</v>
      </c>
    </row>
    <row r="7" spans="2:5" ht="14.45" thickBot="1">
      <c r="B7" s="443" t="s">
        <v>443</v>
      </c>
      <c r="C7" s="444" t="str">
        <f>VLOOKUP(C6,'BASE DA MATRIZ DE RISCOS'!$C$78:$D$202,2,)</f>
        <v xml:space="preserve">Perda Provável de Causa Judicial </v>
      </c>
    </row>
    <row r="8" spans="2:5" thickBot="1">
      <c r="B8" s="49" t="s">
        <v>17</v>
      </c>
      <c r="C8" s="51" t="str">
        <f>VLOOKUP(C6,'BASE DA MATRIZ DE RISCOS'!$C$78:$E$202,3,)</f>
        <v>Financeiro</v>
      </c>
      <c r="E8" s="9" t="s">
        <v>861</v>
      </c>
    </row>
    <row r="9" spans="2:5" thickBot="1">
      <c r="B9" s="445" t="s">
        <v>17</v>
      </c>
      <c r="C9" s="446">
        <f>VLOOKUP($C$8,'BASE DA MATRIZ DE RISCOS'!$C$30:$E$35,3)</f>
        <v>5</v>
      </c>
      <c r="E9" s="9" t="s">
        <v>853</v>
      </c>
    </row>
    <row r="10" spans="2:5" thickBot="1">
      <c r="B10" s="52" t="s">
        <v>444</v>
      </c>
      <c r="C10" s="31">
        <f>VLOOKUP(C6,'BASE DA MATRIZ DE RISCOS'!$C$78:$H$202,5,)</f>
        <v>4</v>
      </c>
      <c r="E10" s="9" t="s">
        <v>854</v>
      </c>
    </row>
    <row r="11" spans="2:5" thickBot="1">
      <c r="B11" s="445" t="s">
        <v>449</v>
      </c>
      <c r="C11" s="446">
        <f>VLOOKUP(C6,'BASE DA MATRIZ DE RISCOS'!$C$78:$H$202,6,)</f>
        <v>2</v>
      </c>
      <c r="E11" s="9" t="s">
        <v>854</v>
      </c>
    </row>
    <row r="12" spans="2:5" thickBot="1">
      <c r="B12" s="52" t="s">
        <v>446</v>
      </c>
      <c r="C12" s="53">
        <f>C9*C10*C11</f>
        <v>40</v>
      </c>
      <c r="E12" s="9" t="s">
        <v>855</v>
      </c>
    </row>
    <row r="13" spans="2:5" thickBot="1">
      <c r="B13" s="445" t="s">
        <v>856</v>
      </c>
      <c r="C13" s="446" t="str">
        <f>VLOOKUP(C6,'BASE DA MATRIZ DE RISCOS'!$C$78:$J$202,8,)</f>
        <v>Teste de Contingência</v>
      </c>
      <c r="E13" s="9" t="s">
        <v>857</v>
      </c>
    </row>
    <row r="14" spans="2:5" ht="138.6" thickBot="1">
      <c r="B14" s="52" t="s">
        <v>464</v>
      </c>
      <c r="C14" s="31" t="str">
        <f>VLOOKUP(C$6,'RESUMO DE PONTOS'!$C$9:$H$64,3,)</f>
        <v>Identificamos no período de 28 de fevereiro 2022, uma perda provável de R$ 32.000,00 referente ao processo de FELIPE FERREIRA OLIVEIRA X SUBCONDOMÍNIO RESERVA DAS PLANTAS, tendo como objeto AÇÃO DECLARATÓRIA E INDENIZATÓRIA. Salientamos que a perda provável é quando o condomínio tem uma obrigação presente legal como resultado de evento passado e seja provável que será necessária a saída de recurso para liquidar a obrigação. Nesse sentido, a perda da causa judicial é mais provável que sim do que não.</v>
      </c>
    </row>
    <row r="15" spans="2:5" ht="14.45" thickBot="1">
      <c r="B15" s="445" t="s">
        <v>279</v>
      </c>
      <c r="C15" s="446">
        <f>IFERROR(VLOOKUP(C$6,'RESUMO DE PONTOS'!$C$9:$H$64,4,),"")</f>
        <v>0</v>
      </c>
    </row>
    <row r="16" spans="2:5" ht="14.45" thickBot="1">
      <c r="B16" s="52" t="s">
        <v>280</v>
      </c>
      <c r="C16" s="84">
        <f>IFERROR(VLOOKUP(C$6,'RESUMO DE PONTOS'!$C$9:$H$64,5,),"")</f>
        <v>32000</v>
      </c>
    </row>
    <row r="17" spans="2:3" ht="28.15" thickBot="1">
      <c r="B17" s="447" t="s">
        <v>281</v>
      </c>
      <c r="C17" s="446" t="str">
        <f>IFERROR(VLOOKUP(C$6,'RESUMO DE PONTOS'!$C$9:$H$64,6,),"")</f>
        <v>Recomendamos que seja realizado uma Provisão para Perda ....</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50" priority="1" operator="containsText" text="BAIXO IMPACTO">
      <formula>NOT(ISERROR(SEARCH(("BAIXO IMPACTO"),(C4))))</formula>
    </cfRule>
    <cfRule type="containsText" dxfId="49" priority="2" operator="containsText" text="MÉDIO IMPACTO">
      <formula>NOT(ISERROR(SEARCH(("MÉDIO IMPACTO"),(C4))))</formula>
    </cfRule>
    <cfRule type="containsText" dxfId="48" priority="3" operator="containsText" text="ALTO IMPACTO">
      <formula>NOT(ISERROR(SEARCH(("ALTO IMPACTO"),(C4))))</formula>
    </cfRule>
  </conditionalFormatting>
  <dataValidations count="3">
    <dataValidation type="list" allowBlank="1" showErrorMessage="1" sqref="C6" xr:uid="{C0C9E77A-F1ED-4610-8F78-FA7DC6BC9DE3}">
      <formula1>"[P1],[P2],[P3],[P4],[P5],[P6],[P7],[P8],[P9],[P10],[P11],[P12],[P13],[P14],[P15],[P16],[P17],[P18],[P19],[P20],[P21],[P22],[P23],[P24],[P25],[P26],[P27],[P28],[P29],[P30],[P31],[P32],[P33],[P34],[P35],[P36],[P37],[P38],[P39],[P40]"</formula1>
    </dataValidation>
    <dataValidation type="list" allowBlank="1" showErrorMessage="1" sqref="C8" xr:uid="{25304224-9263-420C-BCEB-5B9C6EDBC6B0}">
      <formula1>"Estratégico,Financeiro,Operacional,Legal,Tecnologia,Imagem"</formula1>
    </dataValidation>
    <dataValidation type="list" allowBlank="1" showErrorMessage="1" sqref="C4" xr:uid="{D18DCF22-DEA5-446D-AE3D-2A4455F162D4}">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CFEDA-DAAA-4B2F-B8B5-0D0B5FFEE5C2}">
  <dimension ref="B2:E1000"/>
  <sheetViews>
    <sheetView showGridLines="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408</v>
      </c>
      <c r="E6" s="9" t="s">
        <v>861</v>
      </c>
    </row>
    <row r="7" spans="2:5" ht="14.45" thickBot="1">
      <c r="B7" s="443" t="s">
        <v>443</v>
      </c>
      <c r="C7" s="444" t="str">
        <f>VLOOKUP(C6,'BASE DA MATRIZ DE RISCOS'!$C$78:$D$202,2,)</f>
        <v xml:space="preserve">Perda Remota de Causa Judicial </v>
      </c>
    </row>
    <row r="8" spans="2:5" thickBot="1">
      <c r="B8" s="49" t="s">
        <v>17</v>
      </c>
      <c r="C8" s="51" t="str">
        <f>VLOOKUP(C6,'BASE DA MATRIZ DE RISCOS'!$C$78:$E$202,3,)</f>
        <v>Legal</v>
      </c>
      <c r="E8" s="9" t="s">
        <v>861</v>
      </c>
    </row>
    <row r="9" spans="2:5" thickBot="1">
      <c r="B9" s="445" t="s">
        <v>17</v>
      </c>
      <c r="C9" s="446">
        <f>VLOOKUP($C$8,'BASE DA MATRIZ DE RISCOS'!$C$30:$E$36,3)</f>
        <v>3</v>
      </c>
      <c r="E9" s="9" t="s">
        <v>853</v>
      </c>
    </row>
    <row r="10" spans="2:5" thickBot="1">
      <c r="B10" s="52" t="s">
        <v>444</v>
      </c>
      <c r="C10" s="31">
        <f>VLOOKUP(C6,'BASE DA MATRIZ DE RISCOS'!$C$78:$H$202,5,)</f>
        <v>4</v>
      </c>
      <c r="E10" s="9" t="s">
        <v>854</v>
      </c>
    </row>
    <row r="11" spans="2:5" thickBot="1">
      <c r="B11" s="445" t="s">
        <v>449</v>
      </c>
      <c r="C11" s="446">
        <f>VLOOKUP(C6,'BASE DA MATRIZ DE RISCOS'!$C$78:$H$202,6,)</f>
        <v>4</v>
      </c>
      <c r="E11" s="9" t="s">
        <v>854</v>
      </c>
    </row>
    <row r="12" spans="2:5" thickBot="1">
      <c r="B12" s="52" t="s">
        <v>446</v>
      </c>
      <c r="C12" s="53">
        <f>C9*C10*C11</f>
        <v>48</v>
      </c>
      <c r="E12" s="9" t="s">
        <v>855</v>
      </c>
    </row>
    <row r="13" spans="2:5" thickBot="1">
      <c r="B13" s="445" t="s">
        <v>856</v>
      </c>
      <c r="C13" s="446" t="str">
        <f>VLOOKUP(C6,'BASE DA MATRIZ DE RISCOS'!$C$78:$J$202,8,)</f>
        <v>Teste de Contingência</v>
      </c>
      <c r="E13" s="9" t="s">
        <v>857</v>
      </c>
    </row>
    <row r="14" spans="2:5" ht="97.15" thickBot="1">
      <c r="B14" s="52" t="s">
        <v>464</v>
      </c>
      <c r="C14" s="31" t="str">
        <f>VLOOKUP(C$6,'RESUMO DE PONTOS'!$C$9:$H$64,3,)</f>
        <v>Identificamos no período de 28 de fevereiro 2022, uma perda Remota de R$ 1.503.630,42. Salientamos que a perda remota é quando o condomínio não tem uma obrigação presente legal como resultado de evento passado e seja remoto que haverá uma saída de recurso para liquidar essa obrigação. Nesse sentido, a perda da causa judicial é menos provável que sim do que não.</v>
      </c>
    </row>
    <row r="15" spans="2:5" ht="14.45" thickBot="1">
      <c r="B15" s="445" t="s">
        <v>279</v>
      </c>
      <c r="C15" s="446">
        <f>IFERROR(VLOOKUP(C$6,'RESUMO DE PONTOS'!$C$9:$H$64,4,),"")</f>
        <v>0</v>
      </c>
    </row>
    <row r="16" spans="2:5" ht="14.45" thickBot="1">
      <c r="B16" s="52" t="s">
        <v>280</v>
      </c>
      <c r="C16" s="84">
        <f>IFERROR(VLOOKUP(C$6,'RESUMO DE PONTOS'!$C$9:$H$64,5,),"")</f>
        <v>1503630.42</v>
      </c>
    </row>
    <row r="17" spans="2:3" thickBot="1">
      <c r="B17" s="447" t="s">
        <v>281</v>
      </c>
      <c r="C17" s="446">
        <f>IFERROR(VLOOKUP(C$6,'RESUMO DE PONTOS'!$C$9:$H$64,6,),"")</f>
        <v>0</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47" priority="1" operator="containsText" text="BAIXO IMPACTO">
      <formula>NOT(ISERROR(SEARCH(("BAIXO IMPACTO"),(C4))))</formula>
    </cfRule>
    <cfRule type="containsText" dxfId="46" priority="2" operator="containsText" text="MÉDIO IMPACTO">
      <formula>NOT(ISERROR(SEARCH(("MÉDIO IMPACTO"),(C4))))</formula>
    </cfRule>
    <cfRule type="containsText" dxfId="45" priority="3" operator="containsText" text="ALTO IMPACTO">
      <formula>NOT(ISERROR(SEARCH(("ALTO IMPACTO"),(C4))))</formula>
    </cfRule>
  </conditionalFormatting>
  <dataValidations count="3">
    <dataValidation type="list" allowBlank="1" showErrorMessage="1" sqref="C4" xr:uid="{09CDB4AA-EB76-423A-8A79-EF4805FBA628}">
      <formula1>"ALTO IMPACTO,MÉDIO IMPACTO,BAIXO IMPACTO"</formula1>
    </dataValidation>
    <dataValidation type="list" allowBlank="1" showErrorMessage="1" sqref="C8" xr:uid="{9BF6705F-55A4-4CD9-8357-8FB88845AE4B}">
      <formula1>"Estratégico,Financeiro,Operacional,Legal,Tecnologia,Imagem"</formula1>
    </dataValidation>
    <dataValidation type="list" allowBlank="1" showErrorMessage="1" sqref="C6" xr:uid="{C37178B7-1FF0-4A09-8DF7-E69002C6020B}">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D952-FDF2-4AE0-9F80-A667C652015B}">
  <dimension ref="B2:E1000"/>
  <sheetViews>
    <sheetView showGridLines="0" workbookViewId="0">
      <selection activeCell="B1" sqref="B1"/>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BAIXO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412</v>
      </c>
      <c r="E6" s="9" t="s">
        <v>861</v>
      </c>
    </row>
    <row r="7" spans="2:5" ht="28.15" thickBot="1">
      <c r="B7" s="443" t="s">
        <v>443</v>
      </c>
      <c r="C7" s="444" t="str">
        <f>VLOOKUP(C6,'BASE DA MATRIZ DE RISCOS'!$C$78:$D$106,2,)</f>
        <v>Ausência de registro do Regimento do condomínio em cartório.</v>
      </c>
    </row>
    <row r="8" spans="2:5" thickBot="1">
      <c r="B8" s="49" t="s">
        <v>17</v>
      </c>
      <c r="C8" s="51" t="str">
        <f>VLOOKUP(C6,'BASE DA MATRIZ DE RISCOS'!$C$78:$E$106,3,)</f>
        <v>Legal</v>
      </c>
      <c r="E8" s="9" t="s">
        <v>861</v>
      </c>
    </row>
    <row r="9" spans="2:5" thickBot="1">
      <c r="B9" s="445" t="s">
        <v>17</v>
      </c>
      <c r="C9" s="446">
        <f>VLOOKUP($C$8,'BASE DA MATRIZ DE RISCOS'!$C$30:$E$36,3)</f>
        <v>3</v>
      </c>
      <c r="E9" s="9" t="s">
        <v>853</v>
      </c>
    </row>
    <row r="10" spans="2:5" thickBot="1">
      <c r="B10" s="52" t="s">
        <v>444</v>
      </c>
      <c r="C10" s="31">
        <f>VLOOKUP(C6,'BASE DA MATRIZ DE RISCOS'!$C$78:$H$106,5,)</f>
        <v>4</v>
      </c>
      <c r="E10" s="9" t="s">
        <v>854</v>
      </c>
    </row>
    <row r="11" spans="2:5" thickBot="1">
      <c r="B11" s="445" t="s">
        <v>449</v>
      </c>
      <c r="C11" s="446">
        <f>VLOOKUP(C6,'BASE DA MATRIZ DE RISCOS'!$C$78:$H$106,6,)</f>
        <v>3</v>
      </c>
      <c r="E11" s="9" t="s">
        <v>854</v>
      </c>
    </row>
    <row r="12" spans="2:5" thickBot="1">
      <c r="B12" s="52" t="s">
        <v>446</v>
      </c>
      <c r="C12" s="53">
        <f>C9*C10*C11</f>
        <v>36</v>
      </c>
      <c r="E12" s="9" t="s">
        <v>855</v>
      </c>
    </row>
    <row r="13" spans="2:5" thickBot="1">
      <c r="B13" s="445" t="s">
        <v>856</v>
      </c>
      <c r="C13" s="446" t="str">
        <f>VLOOKUP(C6,'BASE DA MATRIZ DE RISCOS'!$C$78:$J$106,8,)</f>
        <v>Regimento Interno</v>
      </c>
      <c r="E13" s="9" t="s">
        <v>857</v>
      </c>
    </row>
    <row r="14" spans="2:5" ht="28.15" thickBot="1">
      <c r="B14" s="52" t="s">
        <v>464</v>
      </c>
      <c r="C14" s="31" t="str">
        <f>VLOOKUP(C$6,'RESUMO DE PONTOS'!$C$9:$H$53,3,)</f>
        <v>Não foi possível validar a data do registro do condomínio no cartório a partir do documento recebido.</v>
      </c>
    </row>
    <row r="15" spans="2:5" ht="42" thickBot="1">
      <c r="B15" s="445" t="s">
        <v>279</v>
      </c>
      <c r="C15" s="446" t="str">
        <f>IFERROR(VLOOKUP(C$6,'RESUMO DE PONTOS'!$C$9:$H$53,4,),"")</f>
        <v xml:space="preserve">A falta de registro em cartório do Regimento do Condomínio poderá gerar problemas relacionados a validade jurídica da documentação. </v>
      </c>
    </row>
    <row r="16" spans="2:5" ht="14.45" thickBot="1">
      <c r="B16" s="52" t="s">
        <v>280</v>
      </c>
      <c r="C16" s="84" t="str">
        <f>IFERROR(VLOOKUP(C$6,'RESUMO DE PONTOS'!$C$9:$H$53,5,),"")</f>
        <v>NA</v>
      </c>
    </row>
    <row r="17" spans="2:3" thickBot="1">
      <c r="B17" s="447" t="s">
        <v>281</v>
      </c>
      <c r="C17" s="446" t="str">
        <f>IFERROR(VLOOKUP(C$6,'RESUMO DE PONTOS'!$C$9:$H$53,6,),"")</f>
        <v>Sugerimos que o Regimento seja registrado em cartório.</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44" priority="1" operator="containsText" text="BAIXO IMPACTO">
      <formula>NOT(ISERROR(SEARCH(("BAIXO IMPACTO"),(C4))))</formula>
    </cfRule>
    <cfRule type="containsText" dxfId="43" priority="2" operator="containsText" text="MÉDIO IMPACTO">
      <formula>NOT(ISERROR(SEARCH(("MÉDIO IMPACTO"),(C4))))</formula>
    </cfRule>
    <cfRule type="containsText" dxfId="42" priority="3" operator="containsText" text="ALTO IMPACTO">
      <formula>NOT(ISERROR(SEARCH(("ALTO IMPACTO"),(C4))))</formula>
    </cfRule>
  </conditionalFormatting>
  <dataValidations count="3">
    <dataValidation type="list" allowBlank="1" showErrorMessage="1" sqref="C4" xr:uid="{331F8C5F-AC13-4F66-9CA0-FD1E4870275C}">
      <formula1>"ALTO IMPACTO,MÉDIO IMPACTO,BAIXO IMPACTO"</formula1>
    </dataValidation>
    <dataValidation type="list" allowBlank="1" showErrorMessage="1" sqref="C8" xr:uid="{DD7B5F0C-9CE0-493D-BD12-0C912BF00880}">
      <formula1>"Estratégico,Financeiro,Operacional,Legal,Tecnologia,Imagem"</formula1>
    </dataValidation>
    <dataValidation type="list" allowBlank="1" showErrorMessage="1" sqref="C6" xr:uid="{5C3598F1-56B3-495D-A83F-A99584B679AB}">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98D2B-525B-48CE-80C4-C740C3A4356D}">
  <dimension ref="B2:E1000"/>
  <sheetViews>
    <sheetView showGridLines="0" topLeftCell="A15"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MÉDIO IMPACTO</v>
      </c>
      <c r="E4" s="9" t="s">
        <v>852</v>
      </c>
    </row>
    <row r="5" spans="2:5" ht="14.45" thickBot="1">
      <c r="B5" s="443" t="s">
        <v>274</v>
      </c>
      <c r="C5" s="444" t="str">
        <f>IFERROR(VLOOKUP(C6,'RESUMO DE PONTOS'!$C$9:$M$64,11,),"")</f>
        <v/>
      </c>
    </row>
    <row r="6" spans="2:5" thickBot="1">
      <c r="B6" s="49" t="s">
        <v>276</v>
      </c>
      <c r="C6" s="50" t="s">
        <v>419</v>
      </c>
      <c r="E6" s="9" t="s">
        <v>861</v>
      </c>
    </row>
    <row r="7" spans="2:5" ht="28.15" thickBot="1">
      <c r="B7" s="443" t="s">
        <v>443</v>
      </c>
      <c r="C7" s="444" t="str">
        <f>VLOOKUP(C6,'BASE DA MATRIZ DE RISCOS'!$C$78:$D$106,2,)</f>
        <v>Impossibilidade de identificação da conclusão da Obra do Parquinho e seu pagamento.</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f>VLOOKUP(C6,'BASE DA MATRIZ DE RISCOS'!$C$78:$H$106,5,)</f>
        <v>3</v>
      </c>
      <c r="E10" s="9" t="s">
        <v>854</v>
      </c>
    </row>
    <row r="11" spans="2:5" thickBot="1">
      <c r="B11" s="445" t="s">
        <v>449</v>
      </c>
      <c r="C11" s="446">
        <f>VLOOKUP(C6,'BASE DA MATRIZ DE RISCOS'!$C$78:$H$106,6,)</f>
        <v>4</v>
      </c>
      <c r="E11" s="9" t="s">
        <v>854</v>
      </c>
    </row>
    <row r="12" spans="2:5" thickBot="1">
      <c r="B12" s="52" t="s">
        <v>446</v>
      </c>
      <c r="C12" s="53">
        <f>C9*C10*C11</f>
        <v>60</v>
      </c>
      <c r="E12" s="9" t="s">
        <v>855</v>
      </c>
    </row>
    <row r="13" spans="2:5" thickBot="1">
      <c r="B13" s="445" t="s">
        <v>856</v>
      </c>
      <c r="C13" s="446" t="str">
        <f>VLOOKUP(C6,'BASE DA MATRIZ DE RISCOS'!$C$78:$J$106,8,)</f>
        <v>Resumo das Atas</v>
      </c>
      <c r="E13" s="9" t="s">
        <v>857</v>
      </c>
    </row>
    <row r="14" spans="2:5" ht="83.45" thickBot="1">
      <c r="B14" s="52" t="s">
        <v>464</v>
      </c>
      <c r="C14" s="31" t="str">
        <f>VLOOKUP(C$6,'RESUMO DE PONTOS'!$C$9:$H$53,3,)</f>
        <v>Analisamos as Atas e os demonstrativos financeiros e identificamos a obra do parquinho pela empresa Danielson Alcantra Contruções e Reformas de 16/11/2021. Porém, não identificamos a ATA com informação de prestação de serviço concluída, como também, não localizamos o pagamento referente a terceira parcela do serviço prestado.</v>
      </c>
    </row>
    <row r="15" spans="2:5" ht="14.45" thickBot="1">
      <c r="B15" s="445" t="s">
        <v>279</v>
      </c>
      <c r="C15" s="446">
        <f>IFERROR(VLOOKUP(C$6,'RESUMO DE PONTOS'!$C$9:$H$53,4,),"")</f>
        <v>0</v>
      </c>
    </row>
    <row r="16" spans="2:5" ht="14.45" thickBot="1">
      <c r="B16" s="52" t="s">
        <v>280</v>
      </c>
      <c r="C16" s="84" t="str">
        <f>IFERROR(VLOOKUP(C$6,'RESUMO DE PONTOS'!$C$9:$H$53,5,),"")</f>
        <v>N/A</v>
      </c>
    </row>
    <row r="17" spans="2:3" thickBot="1">
      <c r="B17" s="447" t="s">
        <v>281</v>
      </c>
      <c r="C17" s="446">
        <f>IFERROR(VLOOKUP(C$6,'RESUMO DE PONTOS'!$C$9:$H$53,6,),"")</f>
        <v>0</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41" priority="1" operator="containsText" text="BAIXO IMPACTO">
      <formula>NOT(ISERROR(SEARCH(("BAIXO IMPACTO"),(C4))))</formula>
    </cfRule>
    <cfRule type="containsText" dxfId="40" priority="2" operator="containsText" text="MÉDIO IMPACTO">
      <formula>NOT(ISERROR(SEARCH(("MÉDIO IMPACTO"),(C4))))</formula>
    </cfRule>
    <cfRule type="containsText" dxfId="39" priority="3" operator="containsText" text="ALTO IMPACTO">
      <formula>NOT(ISERROR(SEARCH(("ALTO IMPACTO"),(C4))))</formula>
    </cfRule>
  </conditionalFormatting>
  <dataValidations count="3">
    <dataValidation type="list" allowBlank="1" showErrorMessage="1" sqref="C4" xr:uid="{E27896F0-CB4D-4CC7-8803-08E641C237C9}">
      <formula1>"ALTO IMPACTO,MÉDIO IMPACTO,BAIXO IMPACTO"</formula1>
    </dataValidation>
    <dataValidation type="list" allowBlank="1" showErrorMessage="1" sqref="C8" xr:uid="{321C9F9A-1141-4389-B188-684BAFE4C484}">
      <formula1>"Estratégico,Financeiro,Operacional,Legal,Tecnologia,Imagem"</formula1>
    </dataValidation>
    <dataValidation type="list" allowBlank="1" showErrorMessage="1" sqref="C6" xr:uid="{148FF15B-52AA-4FED-B780-4428A82861EE}">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6E631-B191-46B1-A294-CFC23A4502E0}">
  <dimension ref="B2:E1000"/>
  <sheetViews>
    <sheetView showGridLines="0" topLeftCell="A9"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ALTO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424</v>
      </c>
      <c r="E6" s="9" t="s">
        <v>861</v>
      </c>
    </row>
    <row r="7" spans="2:5" ht="28.15" thickBot="1">
      <c r="B7" s="443" t="s">
        <v>443</v>
      </c>
      <c r="C7" s="444" t="str">
        <f>VLOOKUP(C6,'BASE DA MATRIZ DE RISCOS'!$C$78:$D$106,2,)</f>
        <v>Falta de questionamentos do Conselho Fiscal nas Assembleias</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f>VLOOKUP(C6,'BASE DA MATRIZ DE RISCOS'!$C$78:$H$106,5,)</f>
        <v>4</v>
      </c>
      <c r="E10" s="9" t="s">
        <v>854</v>
      </c>
    </row>
    <row r="11" spans="2:5" thickBot="1">
      <c r="B11" s="445" t="s">
        <v>449</v>
      </c>
      <c r="C11" s="446">
        <f>VLOOKUP(C6,'BASE DA MATRIZ DE RISCOS'!$C$78:$H$106,6,)</f>
        <v>5</v>
      </c>
      <c r="E11" s="9" t="s">
        <v>854</v>
      </c>
    </row>
    <row r="12" spans="2:5" thickBot="1">
      <c r="B12" s="52" t="s">
        <v>446</v>
      </c>
      <c r="C12" s="53">
        <f>C9*C10*C11</f>
        <v>100</v>
      </c>
      <c r="E12" s="9" t="s">
        <v>855</v>
      </c>
    </row>
    <row r="13" spans="2:5" thickBot="1">
      <c r="B13" s="445" t="s">
        <v>856</v>
      </c>
      <c r="C13" s="446" t="str">
        <f>VLOOKUP(C6,'BASE DA MATRIZ DE RISCOS'!$C$78:$J$106,8,)</f>
        <v>Resumo das Atas</v>
      </c>
      <c r="E13" s="9" t="s">
        <v>857</v>
      </c>
    </row>
    <row r="14" spans="2:5" ht="124.9" thickBot="1">
      <c r="B14" s="52" t="s">
        <v>464</v>
      </c>
      <c r="C14" s="31" t="str">
        <f>VLOOKUP(C$6,'RESUMO DE PONTOS'!$C$9:$H$53,3,)</f>
        <v>Analisamos 100% das atas de reuniões, Assembleia Geral Extraordinária (AGE), Assembleia Geral Ordinária (AGO), Conselho de Administração, Conselho Fiscal e outras atas de reuniões formalizadas do período de de 01/03/2021 a 28/02/2022 e não identificamos a fala do conselho fiscal. Inclusive, foi mencionado na AGE 28/10/2021 que o Conselho Consultivo foi o único a realizar a seleção para a eleição do síndico duas vezes sem a participação do Conselho Fiscal.</v>
      </c>
    </row>
    <row r="15" spans="2:5" ht="14.45" thickBot="1">
      <c r="B15" s="445" t="s">
        <v>279</v>
      </c>
      <c r="C15" s="446">
        <f>IFERROR(VLOOKUP(C$6,'RESUMO DE PONTOS'!$C$9:$H$53,4,),"")</f>
        <v>0</v>
      </c>
    </row>
    <row r="16" spans="2:5" ht="14.45" thickBot="1">
      <c r="B16" s="52" t="s">
        <v>280</v>
      </c>
      <c r="C16" s="84" t="str">
        <f>IFERROR(VLOOKUP(C$6,'RESUMO DE PONTOS'!$C$9:$H$53,5,),"")</f>
        <v>N/A</v>
      </c>
    </row>
    <row r="17" spans="2:3" thickBot="1">
      <c r="B17" s="447" t="s">
        <v>281</v>
      </c>
      <c r="C17" s="446">
        <f>IFERROR(VLOOKUP(C$6,'RESUMO DE PONTOS'!$C$9:$H$53,6,),"")</f>
        <v>0</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38" priority="1" operator="containsText" text="BAIXO IMPACTO">
      <formula>NOT(ISERROR(SEARCH(("BAIXO IMPACTO"),(C4))))</formula>
    </cfRule>
    <cfRule type="containsText" dxfId="37" priority="2" operator="containsText" text="MÉDIO IMPACTO">
      <formula>NOT(ISERROR(SEARCH(("MÉDIO IMPACTO"),(C4))))</formula>
    </cfRule>
    <cfRule type="containsText" dxfId="36" priority="3" operator="containsText" text="ALTO IMPACTO">
      <formula>NOT(ISERROR(SEARCH(("ALTO IMPACTO"),(C4))))</formula>
    </cfRule>
  </conditionalFormatting>
  <dataValidations count="3">
    <dataValidation type="list" allowBlank="1" showErrorMessage="1" sqref="C6" xr:uid="{E3E5798F-D083-4A27-B631-DD7364A10CBF}">
      <formula1>"[P1],[P2],[P3],[P4],[P5],[P6],[P7],[P8],[P9],[P10],[P11],[P12],[P13],[P14],[P15],[P16],[P17],[P18],[P19],[P20],[P21],[P22],[P23],[P24],[P25],[P26],[P27],[P28],[P29],[P30],[P31],[P32],[P33],[P34],[P35],[P36],[P37],[P38],[P39],[P40]"</formula1>
    </dataValidation>
    <dataValidation type="list" allowBlank="1" showErrorMessage="1" sqref="C8" xr:uid="{740671E2-27CC-49F3-BCCA-038845E443A3}">
      <formula1>"Estratégico,Financeiro,Operacional,Legal,Tecnologia,Imagem"</formula1>
    </dataValidation>
    <dataValidation type="list" allowBlank="1" showErrorMessage="1" sqref="C4" xr:uid="{A8A5D461-C230-43D1-AD17-2CF3ED57C504}">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F50E-5D5B-4536-8D44-4645A6D91BA7}">
  <dimension ref="B2:E1000"/>
  <sheetViews>
    <sheetView showGridLines="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ALTO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428</v>
      </c>
      <c r="E6" s="9" t="s">
        <v>861</v>
      </c>
    </row>
    <row r="7" spans="2:5" ht="28.15" thickBot="1">
      <c r="B7" s="443" t="s">
        <v>443</v>
      </c>
      <c r="C7" s="444" t="str">
        <f>VLOOKUP(C6,'BASE DA MATRIZ DE RISCOS'!$C$78:$D$106,2,)</f>
        <v>Cargo de Síndico Interino e de Conselheiro Fiscal ocupado pelo mesmo condômino</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f>VLOOKUP(C6,'BASE DA MATRIZ DE RISCOS'!$C$78:$H$106,5,)</f>
        <v>5</v>
      </c>
      <c r="E10" s="9" t="s">
        <v>854</v>
      </c>
    </row>
    <row r="11" spans="2:5" thickBot="1">
      <c r="B11" s="445" t="s">
        <v>449</v>
      </c>
      <c r="C11" s="446">
        <f>VLOOKUP(C6,'BASE DA MATRIZ DE RISCOS'!$C$78:$H$106,6,)</f>
        <v>4</v>
      </c>
      <c r="E11" s="9" t="s">
        <v>854</v>
      </c>
    </row>
    <row r="12" spans="2:5" thickBot="1">
      <c r="B12" s="52" t="s">
        <v>446</v>
      </c>
      <c r="C12" s="53">
        <f>C9*C10*C11</f>
        <v>100</v>
      </c>
      <c r="E12" s="9" t="s">
        <v>855</v>
      </c>
    </row>
    <row r="13" spans="2:5" thickBot="1">
      <c r="B13" s="445" t="s">
        <v>856</v>
      </c>
      <c r="C13" s="446" t="str">
        <f>VLOOKUP(C6,'BASE DA MATRIZ DE RISCOS'!$C$78:$J$106,8,)</f>
        <v>Resumo das Atas</v>
      </c>
      <c r="E13" s="9" t="s">
        <v>857</v>
      </c>
    </row>
    <row r="14" spans="2:5" ht="166.15" thickBot="1">
      <c r="B14" s="52" t="s">
        <v>464</v>
      </c>
      <c r="C14" s="31" t="str">
        <f>VLOOKUP(C$6,'RESUMO DE PONTOS'!$C$9:$H$53,3,)</f>
        <v>Conforme a Convenção do Subcondomínio Reserva das Plantas na item G - 4.21 c) "Cada Conselho Fiscal [...] terá as seguintes atribuições: emitir parecer sobre as contas [...] do Síndico do Subcondomínio Residencial [...], conferindo-as, aprovando-as ou rejeitando-as" e também o segundo o Código Civil no Art. 1.356 "Poderá haver no condomínio um conselho fiscal [...]ao qual compete dar parecer sobre as contas do síndico".
Dessa forma, analisamos 100% das atas e identificamos na AGE de 28/10/2021 que o Sr. Roque da Silva Pereira Andrade do Prédio Vitórioa Régia, 907 ocupa os cargos de Síndico Interino e Conselheiro fiscal ao mesmo tempo.</v>
      </c>
    </row>
    <row r="15" spans="2:5" ht="83.45" thickBot="1">
      <c r="B15" s="445" t="s">
        <v>279</v>
      </c>
      <c r="C15" s="446" t="str">
        <f>IFERROR(VLOOKUP(C$6,'RESUMO DE PONTOS'!$C$9:$H$53,4,),"")</f>
        <v>Os dois cargos ocupado pelo condômino Sr. Roque da Silva ao mesmo tempo, pode afetar a independência do Conselho Fiscal em relação aos atos do Síndico Interino, influenciando o julgamento profissional do conselho e permitindo que o mesmo não atue com integridade, objetividade e ceticismo conforme NBC PA 400.</v>
      </c>
    </row>
    <row r="16" spans="2:5" ht="14.45" thickBot="1">
      <c r="B16" s="52" t="s">
        <v>280</v>
      </c>
      <c r="C16" s="84" t="str">
        <f>IFERROR(VLOOKUP(C$6,'RESUMO DE PONTOS'!$C$9:$H$53,5,),"")</f>
        <v>N/A</v>
      </c>
    </row>
    <row r="17" spans="2:3" ht="55.9" thickBot="1">
      <c r="B17" s="447" t="s">
        <v>281</v>
      </c>
      <c r="C17" s="446" t="str">
        <f>IFERROR(VLOOKUP(C$6,'RESUMO DE PONTOS'!$C$9:$H$53,6,),"")</f>
        <v>Recomendamos que a Administração do Condomínio promova melhorias nos seus controles internos e que não seja permitido que uma mesma pessoa ocupa os cargos de Síndico e Conselheiros simultaneamente.</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35" priority="1" operator="containsText" text="BAIXO IMPACTO">
      <formula>NOT(ISERROR(SEARCH(("BAIXO IMPACTO"),(C4))))</formula>
    </cfRule>
    <cfRule type="containsText" dxfId="34" priority="2" operator="containsText" text="MÉDIO IMPACTO">
      <formula>NOT(ISERROR(SEARCH(("MÉDIO IMPACTO"),(C4))))</formula>
    </cfRule>
    <cfRule type="containsText" dxfId="33" priority="3" operator="containsText" text="ALTO IMPACTO">
      <formula>NOT(ISERROR(SEARCH(("ALTO IMPACTO"),(C4))))</formula>
    </cfRule>
  </conditionalFormatting>
  <dataValidations count="3">
    <dataValidation type="list" allowBlank="1" showErrorMessage="1" sqref="C6" xr:uid="{8D2B3327-E953-4419-9F4B-A712EEE054EF}">
      <formula1>"[P1],[P2],[P3],[P4],[P5],[P6],[P7],[P8],[P9],[P10],[P11],[P12],[P13],[P14],[P15],[P16],[P17],[P18],[P19],[P20],[P21],[P22],[P23],[P24],[P25],[P26],[P27],[P28],[P29],[P30],[P31],[P32],[P33],[P34],[P35],[P36],[P37],[P38],[P39],[P40]"</formula1>
    </dataValidation>
    <dataValidation type="list" allowBlank="1" showErrorMessage="1" sqref="C8" xr:uid="{CD262C21-D8C8-4580-8695-E252E3DC0E2A}">
      <formula1>"Estratégico,Financeiro,Operacional,Legal,Tecnologia,Imagem"</formula1>
    </dataValidation>
    <dataValidation type="list" allowBlank="1" showErrorMessage="1" sqref="C4" xr:uid="{3F535E6C-933B-466E-909B-D1E07A614CE6}">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03A79-0F09-4BBD-95E6-B767141D23C2}">
  <dimension ref="B2:E1000"/>
  <sheetViews>
    <sheetView showGridLines="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MÉDIO IMPACTO</v>
      </c>
      <c r="E4" s="9" t="s">
        <v>852</v>
      </c>
    </row>
    <row r="5" spans="2:5" ht="55.9" thickBot="1">
      <c r="B5" s="443" t="s">
        <v>274</v>
      </c>
      <c r="C5" s="444" t="str">
        <f>IFERROR(VLOOKUP(C6,'RESUMO DE PONTOS'!$C$9:$M$64,11,),"")</f>
        <v xml:space="preserve">•	08/11/2022
•	Novo
■	Vorcon Auditoria &amp; Consultoria
</v>
      </c>
    </row>
    <row r="6" spans="2:5" thickBot="1">
      <c r="B6" s="49" t="s">
        <v>276</v>
      </c>
      <c r="C6" s="50" t="s">
        <v>434</v>
      </c>
      <c r="E6" s="9" t="s">
        <v>861</v>
      </c>
    </row>
    <row r="7" spans="2:5" ht="28.15" thickBot="1">
      <c r="B7" s="443" t="s">
        <v>443</v>
      </c>
      <c r="C7" s="444" t="str">
        <f>VLOOKUP(C6,'BASE DA MATRIZ DE RISCOS'!$C$78:$D$106,2,)</f>
        <v>Inexistência da ATA do Conselho Consultivo na Assembleia Geral Extraordinária</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f>VLOOKUP(C6,'BASE DA MATRIZ DE RISCOS'!$C$78:$H$106,5,)</f>
        <v>3</v>
      </c>
      <c r="E10" s="9" t="s">
        <v>854</v>
      </c>
    </row>
    <row r="11" spans="2:5" thickBot="1">
      <c r="B11" s="445" t="s">
        <v>449</v>
      </c>
      <c r="C11" s="446">
        <f>VLOOKUP(C6,'BASE DA MATRIZ DE RISCOS'!$C$78:$H$106,6,)</f>
        <v>4</v>
      </c>
      <c r="E11" s="9" t="s">
        <v>854</v>
      </c>
    </row>
    <row r="12" spans="2:5" thickBot="1">
      <c r="B12" s="52" t="s">
        <v>446</v>
      </c>
      <c r="C12" s="53">
        <f>C9*C10*C11</f>
        <v>60</v>
      </c>
      <c r="E12" s="9" t="s">
        <v>855</v>
      </c>
    </row>
    <row r="13" spans="2:5" thickBot="1">
      <c r="B13" s="445" t="s">
        <v>856</v>
      </c>
      <c r="C13" s="446" t="str">
        <f>VLOOKUP(C6,'BASE DA MATRIZ DE RISCOS'!$C$78:$J$106,8,)</f>
        <v>Resumo das Atas</v>
      </c>
      <c r="E13" s="9" t="s">
        <v>857</v>
      </c>
    </row>
    <row r="14" spans="2:5" ht="138.6" thickBot="1">
      <c r="B14" s="52" t="s">
        <v>464</v>
      </c>
      <c r="C14" s="31" t="str">
        <f>VLOOKUP(C$6,'RESUMO DE PONTOS'!$C$9:$H$53,3,)</f>
        <v>Conforme a Convenção do Subcondomínio Reserva das Plantas o síndico necessita obrigatoriamente ter a relação de todas as atas bem como o seu registro. Dessa forma, analisamos 100% das atas e identificamos na AGE de 28/10/2021 que conforme o síndico e o Gerente a ATA de Reunião do Conselho Consultivo não existia na Administradora no dia da Assembleia Geral Extraordinária. Assim, a ata não foi apresentada para o Advogado e por essa razão, o processo discutido pelo Conselho consultivo ficou nulo para a Assembleia Geral Extraordinária.</v>
      </c>
    </row>
    <row r="15" spans="2:5" ht="14.45" thickBot="1">
      <c r="B15" s="445" t="s">
        <v>279</v>
      </c>
      <c r="C15" s="446">
        <f>IFERROR(VLOOKUP(C$6,'RESUMO DE PONTOS'!$C$9:$H$53,4,),"")</f>
        <v>0</v>
      </c>
    </row>
    <row r="16" spans="2:5" ht="14.45" thickBot="1">
      <c r="B16" s="52" t="s">
        <v>280</v>
      </c>
      <c r="C16" s="84" t="str">
        <f>IFERROR(VLOOKUP(C$6,'RESUMO DE PONTOS'!$C$9:$H$53,5,),"")</f>
        <v>N/A</v>
      </c>
    </row>
    <row r="17" spans="2:3" thickBot="1">
      <c r="B17" s="447" t="s">
        <v>281</v>
      </c>
      <c r="C17" s="446">
        <f>IFERROR(VLOOKUP(C$6,'RESUMO DE PONTOS'!$C$9:$H$53,6,),"")</f>
        <v>0</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32" priority="1" operator="containsText" text="BAIXO IMPACTO">
      <formula>NOT(ISERROR(SEARCH(("BAIXO IMPACTO"),(C4))))</formula>
    </cfRule>
    <cfRule type="containsText" dxfId="31" priority="2" operator="containsText" text="MÉDIO IMPACTO">
      <formula>NOT(ISERROR(SEARCH(("MÉDIO IMPACTO"),(C4))))</formula>
    </cfRule>
    <cfRule type="containsText" dxfId="30" priority="3" operator="containsText" text="ALTO IMPACTO">
      <formula>NOT(ISERROR(SEARCH(("ALTO IMPACTO"),(C4))))</formula>
    </cfRule>
  </conditionalFormatting>
  <dataValidations count="3">
    <dataValidation type="list" allowBlank="1" showErrorMessage="1" sqref="C6" xr:uid="{54AF94E4-5A24-41CB-B1A6-02E18355E7D1}">
      <formula1>"[P1],[P2],[P3],[P4],[P5],[P6],[P7],[P8],[P9],[P10],[P11],[P12],[P13],[P14],[P15],[P16],[P17],[P18],[P19],[P20],[P21],[P22],[P23],[P24],[P25],[P26],[P27],[P28],[P29],[P30],[P31],[P32],[P33],[P34],[P35],[P36],[P37],[P38],[P39],[P40]"</formula1>
    </dataValidation>
    <dataValidation type="list" allowBlank="1" showErrorMessage="1" sqref="C8" xr:uid="{C5D07D3D-AFA4-4A0B-98F6-93C3353165F7}">
      <formula1>"Estratégico,Financeiro,Operacional,Legal,Tecnologia,Imagem"</formula1>
    </dataValidation>
    <dataValidation type="list" allowBlank="1" showErrorMessage="1" sqref="C4" xr:uid="{2F3E305A-7459-4802-ADD5-CD32BF9FA1E0}">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A8B4A-F981-480F-B05D-CB5716242338}">
  <dimension ref="B2:E1000"/>
  <sheetViews>
    <sheetView showGridLines="0" workbookViewId="0">
      <selection activeCell="B8" sqref="B8"/>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str">
        <f>IF(C12&gt;=75,"ALTO IMPACTO",IF(C12&lt;=50,"BAIXO IMPACTO","MÉDIO IMPACTO"))</f>
        <v>ALTO IMPACTO</v>
      </c>
      <c r="E4" s="9" t="s">
        <v>852</v>
      </c>
    </row>
    <row r="5" spans="2:5" ht="14.45" thickBot="1">
      <c r="B5" s="443" t="s">
        <v>274</v>
      </c>
      <c r="C5" s="444" t="str">
        <f>IFERROR(VLOOKUP(C6,'RESUMO DE PONTOS'!$C$9:$M$64,11,),"")</f>
        <v/>
      </c>
    </row>
    <row r="6" spans="2:5" thickBot="1">
      <c r="B6" s="49" t="s">
        <v>276</v>
      </c>
      <c r="C6" s="50" t="s">
        <v>438</v>
      </c>
      <c r="E6" s="9" t="s">
        <v>861</v>
      </c>
    </row>
    <row r="7" spans="2:5" ht="14.45" thickBot="1">
      <c r="B7" s="443" t="s">
        <v>443</v>
      </c>
      <c r="C7" s="444" t="str">
        <f>VLOOKUP(C6,'BASE DA MATRIZ DE RISCOS'!$C$78:$D$106,2,)</f>
        <v>Impacto significativo com os inadimplentes</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f>VLOOKUP(C6,'BASE DA MATRIZ DE RISCOS'!$C$78:$H$106,5,)</f>
        <v>5</v>
      </c>
      <c r="E10" s="9" t="s">
        <v>854</v>
      </c>
    </row>
    <row r="11" spans="2:5" thickBot="1">
      <c r="B11" s="445" t="s">
        <v>449</v>
      </c>
      <c r="C11" s="446">
        <f>VLOOKUP(C6,'BASE DA MATRIZ DE RISCOS'!$C$78:$H$106,6,)</f>
        <v>5</v>
      </c>
      <c r="E11" s="9" t="s">
        <v>854</v>
      </c>
    </row>
    <row r="12" spans="2:5" thickBot="1">
      <c r="B12" s="52" t="s">
        <v>446</v>
      </c>
      <c r="C12" s="53">
        <f>C9*C10*C11</f>
        <v>125</v>
      </c>
      <c r="E12" s="9" t="s">
        <v>855</v>
      </c>
    </row>
    <row r="13" spans="2:5" thickBot="1">
      <c r="B13" s="445" t="s">
        <v>856</v>
      </c>
      <c r="C13" s="446" t="str">
        <f>VLOOKUP(C6,'BASE DA MATRIZ DE RISCOS'!$C$78:$J$106,8,)</f>
        <v>Teste de Inadimplência</v>
      </c>
      <c r="E13" s="9" t="s">
        <v>857</v>
      </c>
    </row>
    <row r="14" spans="2:5" ht="14.45" thickBot="1">
      <c r="B14" s="52" t="s">
        <v>464</v>
      </c>
      <c r="C14" s="31" t="str">
        <f>VLOOKUP(C$6,'RESUMO DE PONTOS'!$C$9:$H$53,3,)</f>
        <v>Mês 02/2022</v>
      </c>
    </row>
    <row r="15" spans="2:5" ht="14.45" thickBot="1">
      <c r="B15" s="445" t="s">
        <v>279</v>
      </c>
      <c r="C15" s="446">
        <f>IFERROR(VLOOKUP(C$6,'RESUMO DE PONTOS'!$C$9:$H$53,4,),"")</f>
        <v>0</v>
      </c>
    </row>
    <row r="16" spans="2:5" ht="14.45" thickBot="1">
      <c r="B16" s="52" t="s">
        <v>280</v>
      </c>
      <c r="C16" s="84">
        <f>IFERROR(VLOOKUP(C$6,'RESUMO DE PONTOS'!$C$9:$H$53,5,),"")</f>
        <v>598391.24</v>
      </c>
    </row>
    <row r="17" spans="2:3" thickBot="1">
      <c r="B17" s="447" t="s">
        <v>281</v>
      </c>
      <c r="C17" s="446">
        <f>IFERROR(VLOOKUP(C$6,'RESUMO DE PONTOS'!$C$9:$H$53,6,),"")</f>
        <v>0</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29" priority="1" operator="containsText" text="BAIXO IMPACTO">
      <formula>NOT(ISERROR(SEARCH(("BAIXO IMPACTO"),(C4))))</formula>
    </cfRule>
    <cfRule type="containsText" dxfId="28" priority="2" operator="containsText" text="MÉDIO IMPACTO">
      <formula>NOT(ISERROR(SEARCH(("MÉDIO IMPACTO"),(C4))))</formula>
    </cfRule>
    <cfRule type="containsText" dxfId="27" priority="3" operator="containsText" text="ALTO IMPACTO">
      <formula>NOT(ISERROR(SEARCH(("ALTO IMPACTO"),(C4))))</formula>
    </cfRule>
  </conditionalFormatting>
  <dataValidations count="3">
    <dataValidation type="list" allowBlank="1" showErrorMessage="1" sqref="C4" xr:uid="{A19AFB23-AE5B-4E5B-8418-F4276C374E72}">
      <formula1>"ALTO IMPACTO,MÉDIO IMPACTO,BAIXO IMPACTO"</formula1>
    </dataValidation>
    <dataValidation type="list" allowBlank="1" showErrorMessage="1" sqref="C8" xr:uid="{86650348-6BED-4D0C-8092-A4434F500236}">
      <formula1>"Estratégico,Financeiro,Operacional,Legal,Tecnologia,Imagem"</formula1>
    </dataValidation>
    <dataValidation type="list" allowBlank="1" showErrorMessage="1" sqref="C6" xr:uid="{D5D68358-FB82-41BD-8571-B2BFD6FD062B}">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1E8F-1ECC-48B3-91FB-0EFBC6821127}">
  <dimension ref="B2:E1000"/>
  <sheetViews>
    <sheetView showGridLines="0"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e">
        <f>IF(C12&gt;=75,"ALTO IMPACTO",IF(C12&lt;=50,"BAIXO IMPACTO","MÉDIO IMPACTO"))</f>
        <v>#N/A</v>
      </c>
      <c r="E4" s="9" t="s">
        <v>852</v>
      </c>
    </row>
    <row r="5" spans="2:5" ht="14.45" thickBot="1">
      <c r="B5" s="443" t="s">
        <v>274</v>
      </c>
      <c r="C5" s="444" t="str">
        <f>IFERROR(VLOOKUP(C6,'RESUMO DE PONTOS'!$C$9:$M$64,11,),"")</f>
        <v/>
      </c>
    </row>
    <row r="6" spans="2:5" thickBot="1">
      <c r="B6" s="49" t="s">
        <v>276</v>
      </c>
      <c r="C6" s="50" t="s">
        <v>459</v>
      </c>
      <c r="E6" s="9" t="s">
        <v>861</v>
      </c>
    </row>
    <row r="7" spans="2:5" ht="14.45" thickBot="1">
      <c r="B7" s="443" t="s">
        <v>443</v>
      </c>
      <c r="C7" s="444" t="e">
        <f>VLOOKUP(C6,'BASE DA MATRIZ DE RISCOS'!$C$78:$D$106,2,)</f>
        <v>#N/A</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t="e">
        <f>VLOOKUP(C6,'BASE DA MATRIZ DE RISCOS'!$C$78:$H$106,5,)</f>
        <v>#N/A</v>
      </c>
      <c r="E10" s="9" t="s">
        <v>854</v>
      </c>
    </row>
    <row r="11" spans="2:5" thickBot="1">
      <c r="B11" s="445" t="s">
        <v>449</v>
      </c>
      <c r="C11" s="446" t="e">
        <f>VLOOKUP(C6,'BASE DA MATRIZ DE RISCOS'!$C$78:$H$106,6,)</f>
        <v>#N/A</v>
      </c>
      <c r="E11" s="9" t="s">
        <v>854</v>
      </c>
    </row>
    <row r="12" spans="2:5" thickBot="1">
      <c r="B12" s="52" t="s">
        <v>446</v>
      </c>
      <c r="C12" s="53" t="e">
        <f>C9*C10*C11</f>
        <v>#N/A</v>
      </c>
      <c r="E12" s="9" t="s">
        <v>855</v>
      </c>
    </row>
    <row r="13" spans="2:5" thickBot="1">
      <c r="B13" s="445" t="s">
        <v>856</v>
      </c>
      <c r="C13" s="446" t="e">
        <f>VLOOKUP(C6,'BASE DA MATRIZ DE RISCOS'!$C$78:$J$106,8,)</f>
        <v>#N/A</v>
      </c>
      <c r="E13" s="9" t="s">
        <v>857</v>
      </c>
    </row>
    <row r="14" spans="2:5" ht="14.45" thickBot="1">
      <c r="B14" s="52" t="s">
        <v>464</v>
      </c>
      <c r="C14" s="31" t="e">
        <f>VLOOKUP(C$6,'RESUMO DE PONTOS'!$C$9:$H$53,3,)</f>
        <v>#N/A</v>
      </c>
    </row>
    <row r="15" spans="2:5" ht="14.45" thickBot="1">
      <c r="B15" s="445" t="s">
        <v>279</v>
      </c>
      <c r="C15" s="446" t="str">
        <f>IFERROR(VLOOKUP(C$6,'RESUMO DE PONTOS'!$C$9:$H$53,4,),"")</f>
        <v/>
      </c>
    </row>
    <row r="16" spans="2:5" ht="14.45" thickBot="1">
      <c r="B16" s="52" t="s">
        <v>280</v>
      </c>
      <c r="C16" s="84" t="str">
        <f>IFERROR(VLOOKUP(C$6,'RESUMO DE PONTOS'!$C$9:$H$53,5,),"")</f>
        <v/>
      </c>
    </row>
    <row r="17" spans="2:3" thickBot="1">
      <c r="B17" s="447" t="s">
        <v>281</v>
      </c>
      <c r="C17" s="446" t="str">
        <f>IFERROR(VLOOKUP(C$6,'RESUMO DE PONTOS'!$C$9:$H$53,6,),"")</f>
        <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26" priority="1" operator="containsText" text="BAIXO IMPACTO">
      <formula>NOT(ISERROR(SEARCH(("BAIXO IMPACTO"),(C4))))</formula>
    </cfRule>
    <cfRule type="containsText" dxfId="25" priority="2" operator="containsText" text="MÉDIO IMPACTO">
      <formula>NOT(ISERROR(SEARCH(("MÉDIO IMPACTO"),(C4))))</formula>
    </cfRule>
    <cfRule type="containsText" dxfId="24" priority="3" operator="containsText" text="ALTO IMPACTO">
      <formula>NOT(ISERROR(SEARCH(("ALTO IMPACTO"),(C4))))</formula>
    </cfRule>
  </conditionalFormatting>
  <dataValidations count="3">
    <dataValidation type="list" allowBlank="1" showErrorMessage="1" sqref="C4" xr:uid="{8255B145-AFC7-4179-89CE-5F9B02DE8F00}">
      <formula1>"ALTO IMPACTO,MÉDIO IMPACTO,BAIXO IMPACTO"</formula1>
    </dataValidation>
    <dataValidation type="list" allowBlank="1" showErrorMessage="1" sqref="C8" xr:uid="{8A0CB647-A974-4D99-A33B-A33601591973}">
      <formula1>"Estratégico,Financeiro,Operacional,Legal,Tecnologia,Imagem"</formula1>
    </dataValidation>
    <dataValidation type="list" allowBlank="1" showErrorMessage="1" sqref="C6" xr:uid="{09AEC221-4F5B-4F35-B750-3A1F1DD548F2}">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9EA1E-FD12-4791-B024-6900A9DEBD40}">
  <dimension ref="B2:E1000"/>
  <sheetViews>
    <sheetView showGridLines="0" topLeftCell="A13" workbookViewId="0">
      <selection activeCell="B3" sqref="B3:C20"/>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e">
        <f>IF(C12&gt;=75,"ALTO IMPACTO",IF(C12&lt;=50,"BAIXO IMPACTO","MÉDIO IMPACTO"))</f>
        <v>#N/A</v>
      </c>
      <c r="E4" s="9" t="s">
        <v>852</v>
      </c>
    </row>
    <row r="5" spans="2:5" ht="14.45" thickBot="1">
      <c r="B5" s="443" t="s">
        <v>274</v>
      </c>
      <c r="C5" s="444" t="str">
        <f>IFERROR(VLOOKUP(C6,'RESUMO DE PONTOS'!$C$9:$M$64,11,),"")</f>
        <v/>
      </c>
    </row>
    <row r="6" spans="2:5" thickBot="1">
      <c r="B6" s="49" t="s">
        <v>276</v>
      </c>
      <c r="C6" s="50" t="s">
        <v>460</v>
      </c>
      <c r="E6" s="9" t="s">
        <v>861</v>
      </c>
    </row>
    <row r="7" spans="2:5" ht="14.45" thickBot="1">
      <c r="B7" s="443" t="s">
        <v>443</v>
      </c>
      <c r="C7" s="444" t="e">
        <f>VLOOKUP(C6,'BASE DA MATRIZ DE RISCOS'!$C$78:$D$106,2,)</f>
        <v>#N/A</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t="e">
        <f>VLOOKUP(C6,'BASE DA MATRIZ DE RISCOS'!$C$78:$H$106,5,)</f>
        <v>#N/A</v>
      </c>
      <c r="E10" s="9" t="s">
        <v>854</v>
      </c>
    </row>
    <row r="11" spans="2:5" thickBot="1">
      <c r="B11" s="445" t="s">
        <v>449</v>
      </c>
      <c r="C11" s="446" t="e">
        <f>VLOOKUP(C6,'BASE DA MATRIZ DE RISCOS'!$C$78:$H$106,6,)</f>
        <v>#N/A</v>
      </c>
      <c r="E11" s="9" t="s">
        <v>854</v>
      </c>
    </row>
    <row r="12" spans="2:5" thickBot="1">
      <c r="B12" s="52" t="s">
        <v>446</v>
      </c>
      <c r="C12" s="53" t="e">
        <f>C9*C10*C11</f>
        <v>#N/A</v>
      </c>
      <c r="E12" s="9" t="s">
        <v>855</v>
      </c>
    </row>
    <row r="13" spans="2:5" thickBot="1">
      <c r="B13" s="445" t="s">
        <v>856</v>
      </c>
      <c r="C13" s="446" t="e">
        <f>VLOOKUP(C6,'BASE DA MATRIZ DE RISCOS'!$C$78:$J$106,8,)</f>
        <v>#N/A</v>
      </c>
      <c r="E13" s="9" t="s">
        <v>857</v>
      </c>
    </row>
    <row r="14" spans="2:5" ht="14.45" thickBot="1">
      <c r="B14" s="52" t="s">
        <v>464</v>
      </c>
      <c r="C14" s="31" t="e">
        <f>VLOOKUP(C$6,'RESUMO DE PONTOS'!$C$9:$H$53,3,)</f>
        <v>#N/A</v>
      </c>
    </row>
    <row r="15" spans="2:5" ht="14.45" thickBot="1">
      <c r="B15" s="445" t="s">
        <v>279</v>
      </c>
      <c r="C15" s="446" t="str">
        <f>IFERROR(VLOOKUP(C$6,'RESUMO DE PONTOS'!$C$9:$H$53,4,),"")</f>
        <v/>
      </c>
    </row>
    <row r="16" spans="2:5" ht="14.45" thickBot="1">
      <c r="B16" s="52" t="s">
        <v>280</v>
      </c>
      <c r="C16" s="84" t="str">
        <f>IFERROR(VLOOKUP(C$6,'RESUMO DE PONTOS'!$C$9:$H$53,5,),"")</f>
        <v/>
      </c>
    </row>
    <row r="17" spans="2:3" thickBot="1">
      <c r="B17" s="447" t="s">
        <v>281</v>
      </c>
      <c r="C17" s="446" t="str">
        <f>IFERROR(VLOOKUP(C$6,'RESUMO DE PONTOS'!$C$9:$H$53,6,),"")</f>
        <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23" priority="1" operator="containsText" text="BAIXO IMPACTO">
      <formula>NOT(ISERROR(SEARCH(("BAIXO IMPACTO"),(C4))))</formula>
    </cfRule>
    <cfRule type="containsText" dxfId="22" priority="2" operator="containsText" text="MÉDIO IMPACTO">
      <formula>NOT(ISERROR(SEARCH(("MÉDIO IMPACTO"),(C4))))</formula>
    </cfRule>
    <cfRule type="containsText" dxfId="21" priority="3" operator="containsText" text="ALTO IMPACTO">
      <formula>NOT(ISERROR(SEARCH(("ALTO IMPACTO"),(C4))))</formula>
    </cfRule>
  </conditionalFormatting>
  <dataValidations count="3">
    <dataValidation type="list" allowBlank="1" showErrorMessage="1" sqref="C6" xr:uid="{F30EB5F4-327C-46C6-81BD-9E64073284DA}">
      <formula1>"[P1],[P2],[P3],[P4],[P5],[P6],[P7],[P8],[P9],[P10],[P11],[P12],[P13],[P14],[P15],[P16],[P17],[P18],[P19],[P20],[P21],[P22],[P23],[P24],[P25],[P26],[P27],[P28],[P29],[P30],[P31],[P32],[P33],[P34],[P35],[P36],[P37],[P38],[P39],[P40]"</formula1>
    </dataValidation>
    <dataValidation type="list" allowBlank="1" showErrorMessage="1" sqref="C8" xr:uid="{EEB583D8-1BD7-4E42-AE84-365730BD8DE8}">
      <formula1>"Estratégico,Financeiro,Operacional,Legal,Tecnologia,Imagem"</formula1>
    </dataValidation>
    <dataValidation type="list" allowBlank="1" showErrorMessage="1" sqref="C4" xr:uid="{FDE74F07-BD41-43F4-A59A-91FD4E81BD0B}">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9B3A7-4907-477F-B19E-6553D831DD0B}">
  <dimension ref="B2:E1000"/>
  <sheetViews>
    <sheetView showGridLines="0" workbookViewId="0">
      <selection activeCell="C7" sqref="C7"/>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e">
        <f>IF(C12&gt;=75,"ALTO IMPACTO",IF(C12&lt;=50,"BAIXO IMPACTO","MÉDIO IMPACTO"))</f>
        <v>#N/A</v>
      </c>
      <c r="E4" s="9" t="s">
        <v>852</v>
      </c>
    </row>
    <row r="5" spans="2:5" ht="14.45" thickBot="1">
      <c r="B5" s="443" t="s">
        <v>274</v>
      </c>
      <c r="C5" s="444" t="str">
        <f>IFERROR(VLOOKUP(C6,'RESUMO DE PONTOS'!$C$9:$M$64,11,),"")</f>
        <v/>
      </c>
    </row>
    <row r="6" spans="2:5" thickBot="1">
      <c r="B6" s="49" t="s">
        <v>276</v>
      </c>
      <c r="C6" s="50" t="s">
        <v>679</v>
      </c>
      <c r="E6" s="9" t="s">
        <v>861</v>
      </c>
    </row>
    <row r="7" spans="2:5" ht="14.45" thickBot="1">
      <c r="B7" s="443" t="s">
        <v>443</v>
      </c>
      <c r="C7" s="444" t="e">
        <f>VLOOKUP(C6,'BASE DA MATRIZ DE RISCOS'!$C$78:$D$106,2,)</f>
        <v>#N/A</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t="e">
        <f>VLOOKUP(C6,'BASE DA MATRIZ DE RISCOS'!$C$78:$H$106,5,)</f>
        <v>#N/A</v>
      </c>
      <c r="E10" s="9" t="s">
        <v>854</v>
      </c>
    </row>
    <row r="11" spans="2:5" thickBot="1">
      <c r="B11" s="445" t="s">
        <v>449</v>
      </c>
      <c r="C11" s="446" t="e">
        <f>VLOOKUP(C6,'BASE DA MATRIZ DE RISCOS'!$C$78:$H$106,6,)</f>
        <v>#N/A</v>
      </c>
      <c r="E11" s="9" t="s">
        <v>854</v>
      </c>
    </row>
    <row r="12" spans="2:5" thickBot="1">
      <c r="B12" s="52" t="s">
        <v>446</v>
      </c>
      <c r="C12" s="53" t="e">
        <f>C9*C10*C11</f>
        <v>#N/A</v>
      </c>
      <c r="E12" s="9" t="s">
        <v>855</v>
      </c>
    </row>
    <row r="13" spans="2:5" thickBot="1">
      <c r="B13" s="445" t="s">
        <v>856</v>
      </c>
      <c r="C13" s="446" t="e">
        <f>VLOOKUP(C6,'BASE DA MATRIZ DE RISCOS'!$C$78:$J$106,8,)</f>
        <v>#N/A</v>
      </c>
      <c r="E13" s="9" t="s">
        <v>857</v>
      </c>
    </row>
    <row r="14" spans="2:5" ht="14.45" thickBot="1">
      <c r="B14" s="52" t="s">
        <v>464</v>
      </c>
      <c r="C14" s="31" t="e">
        <f>VLOOKUP(C$6,'RESUMO DE PONTOS'!$C$9:$H$53,3,)</f>
        <v>#N/A</v>
      </c>
    </row>
    <row r="15" spans="2:5" ht="14.45" thickBot="1">
      <c r="B15" s="445" t="s">
        <v>279</v>
      </c>
      <c r="C15" s="446" t="str">
        <f>IFERROR(VLOOKUP(C$6,'RESUMO DE PONTOS'!$C$9:$H$53,4,),"")</f>
        <v/>
      </c>
    </row>
    <row r="16" spans="2:5" ht="14.45" thickBot="1">
      <c r="B16" s="52" t="s">
        <v>280</v>
      </c>
      <c r="C16" s="84" t="str">
        <f>IFERROR(VLOOKUP(C$6,'RESUMO DE PONTOS'!$C$9:$H$53,5,),"")</f>
        <v/>
      </c>
    </row>
    <row r="17" spans="2:3" thickBot="1">
      <c r="B17" s="447" t="s">
        <v>281</v>
      </c>
      <c r="C17" s="446" t="str">
        <f>IFERROR(VLOOKUP(C$6,'RESUMO DE PONTOS'!$C$9:$H$53,6,),"")</f>
        <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20" priority="1" operator="containsText" text="BAIXO IMPACTO">
      <formula>NOT(ISERROR(SEARCH(("BAIXO IMPACTO"),(C4))))</formula>
    </cfRule>
    <cfRule type="containsText" dxfId="19" priority="2" operator="containsText" text="MÉDIO IMPACTO">
      <formula>NOT(ISERROR(SEARCH(("MÉDIO IMPACTO"),(C4))))</formula>
    </cfRule>
    <cfRule type="containsText" dxfId="18" priority="3" operator="containsText" text="ALTO IMPACTO">
      <formula>NOT(ISERROR(SEARCH(("ALTO IMPACTO"),(C4))))</formula>
    </cfRule>
  </conditionalFormatting>
  <dataValidations count="3">
    <dataValidation type="list" allowBlank="1" showErrorMessage="1" sqref="C4" xr:uid="{047A3BE2-4787-429F-B8F8-421D7C4E5ED4}">
      <formula1>"ALTO IMPACTO,MÉDIO IMPACTO,BAIXO IMPACTO"</formula1>
    </dataValidation>
    <dataValidation type="list" allowBlank="1" showErrorMessage="1" sqref="C8" xr:uid="{E8740A51-114B-4BF4-B1DA-BDADC18ED690}">
      <formula1>"Estratégico,Financeiro,Operacional,Legal,Tecnologia,Imagem"</formula1>
    </dataValidation>
    <dataValidation type="list" allowBlank="1" showErrorMessage="1" sqref="C6" xr:uid="{36A7608A-BB69-49E5-B70D-9E7B7DC72BEC}">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06315-A517-4AF2-A0F5-28CE35A6037C}">
  <dimension ref="B2:E1000"/>
  <sheetViews>
    <sheetView showGridLines="0" workbookViewId="0">
      <selection activeCell="C7" sqref="C7"/>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e">
        <f>IF(C12&gt;=75,"ALTO IMPACTO",IF(C12&lt;=50,"BAIXO IMPACTO","MÉDIO IMPACTO"))</f>
        <v>#N/A</v>
      </c>
      <c r="E4" s="9" t="s">
        <v>852</v>
      </c>
    </row>
    <row r="5" spans="2:5" ht="14.45" thickBot="1">
      <c r="B5" s="443" t="s">
        <v>274</v>
      </c>
      <c r="C5" s="444" t="str">
        <f>IFERROR(VLOOKUP(C6,'RESUMO DE PONTOS'!$C$9:$M$64,11,),"")</f>
        <v/>
      </c>
    </row>
    <row r="6" spans="2:5" thickBot="1">
      <c r="B6" s="49" t="s">
        <v>276</v>
      </c>
      <c r="C6" s="50" t="s">
        <v>685</v>
      </c>
      <c r="E6" s="9" t="s">
        <v>861</v>
      </c>
    </row>
    <row r="7" spans="2:5" ht="14.45" thickBot="1">
      <c r="B7" s="443" t="s">
        <v>443</v>
      </c>
      <c r="C7" s="444" t="e">
        <f>VLOOKUP(C6,'BASE DA MATRIZ DE RISCOS'!$C$78:$D$106,2,)</f>
        <v>#N/A</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t="e">
        <f>VLOOKUP(C6,'BASE DA MATRIZ DE RISCOS'!$C$78:$H$106,5,)</f>
        <v>#N/A</v>
      </c>
      <c r="E10" s="9" t="s">
        <v>854</v>
      </c>
    </row>
    <row r="11" spans="2:5" thickBot="1">
      <c r="B11" s="445" t="s">
        <v>449</v>
      </c>
      <c r="C11" s="446" t="e">
        <f>VLOOKUP(C6,'BASE DA MATRIZ DE RISCOS'!$C$78:$H$106,6,)</f>
        <v>#N/A</v>
      </c>
      <c r="E11" s="9" t="s">
        <v>854</v>
      </c>
    </row>
    <row r="12" spans="2:5" thickBot="1">
      <c r="B12" s="52" t="s">
        <v>446</v>
      </c>
      <c r="C12" s="53" t="e">
        <f>C9*C10*C11</f>
        <v>#N/A</v>
      </c>
      <c r="E12" s="9" t="s">
        <v>855</v>
      </c>
    </row>
    <row r="13" spans="2:5" thickBot="1">
      <c r="B13" s="445" t="s">
        <v>856</v>
      </c>
      <c r="C13" s="446" t="e">
        <f>VLOOKUP(C6,'BASE DA MATRIZ DE RISCOS'!$C$78:$J$106,8,)</f>
        <v>#N/A</v>
      </c>
      <c r="E13" s="9" t="s">
        <v>857</v>
      </c>
    </row>
    <row r="14" spans="2:5" ht="14.45" thickBot="1">
      <c r="B14" s="52" t="s">
        <v>464</v>
      </c>
      <c r="C14" s="31" t="e">
        <f>VLOOKUP(C$6,'RESUMO DE PONTOS'!$C$9:$H$53,3,)</f>
        <v>#N/A</v>
      </c>
    </row>
    <row r="15" spans="2:5" ht="14.45" thickBot="1">
      <c r="B15" s="445" t="s">
        <v>279</v>
      </c>
      <c r="C15" s="446" t="str">
        <f>IFERROR(VLOOKUP(C$6,'RESUMO DE PONTOS'!$C$9:$H$53,4,),"")</f>
        <v/>
      </c>
    </row>
    <row r="16" spans="2:5" ht="14.45" thickBot="1">
      <c r="B16" s="52" t="s">
        <v>280</v>
      </c>
      <c r="C16" s="84" t="str">
        <f>IFERROR(VLOOKUP(C$6,'RESUMO DE PONTOS'!$C$9:$H$53,5,),"")</f>
        <v/>
      </c>
    </row>
    <row r="17" spans="2:3" thickBot="1">
      <c r="B17" s="447" t="s">
        <v>281</v>
      </c>
      <c r="C17" s="446" t="str">
        <f>IFERROR(VLOOKUP(C$6,'RESUMO DE PONTOS'!$C$9:$H$53,6,),"")</f>
        <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17" priority="1" operator="containsText" text="BAIXO IMPACTO">
      <formula>NOT(ISERROR(SEARCH(("BAIXO IMPACTO"),(C4))))</formula>
    </cfRule>
    <cfRule type="containsText" dxfId="16" priority="2" operator="containsText" text="MÉDIO IMPACTO">
      <formula>NOT(ISERROR(SEARCH(("MÉDIO IMPACTO"),(C4))))</formula>
    </cfRule>
    <cfRule type="containsText" dxfId="15" priority="3" operator="containsText" text="ALTO IMPACTO">
      <formula>NOT(ISERROR(SEARCH(("ALTO IMPACTO"),(C4))))</formula>
    </cfRule>
  </conditionalFormatting>
  <dataValidations count="3">
    <dataValidation type="list" allowBlank="1" showErrorMessage="1" sqref="C6" xr:uid="{7535708A-E93F-4700-9E51-92C8D682B386}">
      <formula1>"[P1],[P2],[P3],[P4],[P5],[P6],[P7],[P8],[P9],[P10],[P11],[P12],[P13],[P14],[P15],[P16],[P17],[P18],[P19],[P20],[P21],[P22],[P23],[P24],[P25],[P26],[P27],[P28],[P29],[P30],[P31],[P32],[P33],[P34],[P35],[P36],[P37],[P38],[P39],[P40]"</formula1>
    </dataValidation>
    <dataValidation type="list" allowBlank="1" showErrorMessage="1" sqref="C8" xr:uid="{9922DE95-1A22-4E44-85FB-C8136DA79BDA}">
      <formula1>"Estratégico,Financeiro,Operacional,Legal,Tecnologia,Imagem"</formula1>
    </dataValidation>
    <dataValidation type="list" allowBlank="1" showErrorMessage="1" sqref="C4" xr:uid="{A936B6DE-D2BA-4DA4-856A-0F6531EF8026}">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ACBA6-69F7-400B-B263-8B796B642A8A}">
  <dimension ref="B2:E1000"/>
  <sheetViews>
    <sheetView showGridLines="0" workbookViewId="0">
      <selection activeCell="C7" sqref="C7"/>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e">
        <f>IF(C12&gt;=75,"ALTO IMPACTO",IF(C12&lt;=50,"BAIXO IMPACTO","MÉDIO IMPACTO"))</f>
        <v>#N/A</v>
      </c>
      <c r="E4" s="9" t="s">
        <v>852</v>
      </c>
    </row>
    <row r="5" spans="2:5" ht="14.45" thickBot="1">
      <c r="B5" s="443" t="s">
        <v>274</v>
      </c>
      <c r="C5" s="444" t="str">
        <f>IFERROR(VLOOKUP(C6,'RESUMO DE PONTOS'!$C$9:$M$64,11,),"")</f>
        <v/>
      </c>
    </row>
    <row r="6" spans="2:5" thickBot="1">
      <c r="B6" s="49" t="s">
        <v>276</v>
      </c>
      <c r="C6" s="50" t="s">
        <v>864</v>
      </c>
      <c r="E6" s="9" t="s">
        <v>861</v>
      </c>
    </row>
    <row r="7" spans="2:5" ht="14.45" thickBot="1">
      <c r="B7" s="443" t="s">
        <v>443</v>
      </c>
      <c r="C7" s="444" t="e">
        <f>VLOOKUP(C6,'BASE DA MATRIZ DE RISCOS'!$C$78:$D$106,2,)</f>
        <v>#N/A</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t="e">
        <f>VLOOKUP(C6,'BASE DA MATRIZ DE RISCOS'!$C$78:$H$106,5,)</f>
        <v>#N/A</v>
      </c>
      <c r="E10" s="9" t="s">
        <v>854</v>
      </c>
    </row>
    <row r="11" spans="2:5" thickBot="1">
      <c r="B11" s="445" t="s">
        <v>449</v>
      </c>
      <c r="C11" s="446" t="e">
        <f>VLOOKUP(C6,'BASE DA MATRIZ DE RISCOS'!$C$78:$H$106,6,)</f>
        <v>#N/A</v>
      </c>
      <c r="E11" s="9" t="s">
        <v>854</v>
      </c>
    </row>
    <row r="12" spans="2:5" thickBot="1">
      <c r="B12" s="52" t="s">
        <v>446</v>
      </c>
      <c r="C12" s="53" t="e">
        <f>C9*C10*C11</f>
        <v>#N/A</v>
      </c>
      <c r="E12" s="9" t="s">
        <v>855</v>
      </c>
    </row>
    <row r="13" spans="2:5" thickBot="1">
      <c r="B13" s="445" t="s">
        <v>856</v>
      </c>
      <c r="C13" s="446" t="e">
        <f>VLOOKUP(C6,'BASE DA MATRIZ DE RISCOS'!$C$78:$J$106,8,)</f>
        <v>#N/A</v>
      </c>
      <c r="E13" s="9" t="s">
        <v>857</v>
      </c>
    </row>
    <row r="14" spans="2:5" ht="14.45" thickBot="1">
      <c r="B14" s="52" t="s">
        <v>464</v>
      </c>
      <c r="C14" s="31" t="e">
        <f>VLOOKUP(C$6,'RESUMO DE PONTOS'!$C$9:$H$53,3,)</f>
        <v>#N/A</v>
      </c>
    </row>
    <row r="15" spans="2:5" ht="14.45" thickBot="1">
      <c r="B15" s="445" t="s">
        <v>279</v>
      </c>
      <c r="C15" s="446" t="str">
        <f>IFERROR(VLOOKUP(C$6,'RESUMO DE PONTOS'!$C$9:$H$53,4,),"")</f>
        <v/>
      </c>
    </row>
    <row r="16" spans="2:5" ht="14.45" thickBot="1">
      <c r="B16" s="52" t="s">
        <v>280</v>
      </c>
      <c r="C16" s="84" t="str">
        <f>IFERROR(VLOOKUP(C$6,'RESUMO DE PONTOS'!$C$9:$H$53,5,),"")</f>
        <v/>
      </c>
    </row>
    <row r="17" spans="2:3" thickBot="1">
      <c r="B17" s="447" t="s">
        <v>281</v>
      </c>
      <c r="C17" s="446" t="str">
        <f>IFERROR(VLOOKUP(C$6,'RESUMO DE PONTOS'!$C$9:$H$53,6,),"")</f>
        <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14" priority="1" operator="containsText" text="BAIXO IMPACTO">
      <formula>NOT(ISERROR(SEARCH(("BAIXO IMPACTO"),(C4))))</formula>
    </cfRule>
    <cfRule type="containsText" dxfId="13" priority="2" operator="containsText" text="MÉDIO IMPACTO">
      <formula>NOT(ISERROR(SEARCH(("MÉDIO IMPACTO"),(C4))))</formula>
    </cfRule>
    <cfRule type="containsText" dxfId="12" priority="3" operator="containsText" text="ALTO IMPACTO">
      <formula>NOT(ISERROR(SEARCH(("ALTO IMPACTO"),(C4))))</formula>
    </cfRule>
  </conditionalFormatting>
  <dataValidations count="3">
    <dataValidation type="list" allowBlank="1" showErrorMessage="1" sqref="C4" xr:uid="{BB55DF4A-CA08-4D8E-92AD-A563264E1313}">
      <formula1>"ALTO IMPACTO,MÉDIO IMPACTO,BAIXO IMPACTO"</formula1>
    </dataValidation>
    <dataValidation type="list" allowBlank="1" showErrorMessage="1" sqref="C8" xr:uid="{1D284CD4-E11D-4453-B838-B6A85149C6D9}">
      <formula1>"Estratégico,Financeiro,Operacional,Legal,Tecnologia,Imagem"</formula1>
    </dataValidation>
    <dataValidation type="list" allowBlank="1" showErrorMessage="1" sqref="C6" xr:uid="{8FAECA1F-6450-4F83-AF00-59E47356B3E6}">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0A784-E7F3-4941-8E7D-6128E2301FFA}">
  <dimension ref="B2:E1000"/>
  <sheetViews>
    <sheetView showGridLines="0" workbookViewId="0">
      <selection activeCell="C7" sqref="C7"/>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e">
        <f>IF(C12&gt;=75,"ALTO IMPACTO",IF(C12&lt;=50,"BAIXO IMPACTO","MÉDIO IMPACTO"))</f>
        <v>#N/A</v>
      </c>
      <c r="E4" s="9" t="s">
        <v>852</v>
      </c>
    </row>
    <row r="5" spans="2:5" ht="14.45" thickBot="1">
      <c r="B5" s="443" t="s">
        <v>274</v>
      </c>
      <c r="C5" s="444" t="str">
        <f>IFERROR(VLOOKUP(C6,'RESUMO DE PONTOS'!$C$9:$M$64,11,),"")</f>
        <v/>
      </c>
    </row>
    <row r="6" spans="2:5" thickBot="1">
      <c r="B6" s="49" t="s">
        <v>276</v>
      </c>
      <c r="C6" s="50" t="s">
        <v>865</v>
      </c>
      <c r="E6" s="9" t="s">
        <v>861</v>
      </c>
    </row>
    <row r="7" spans="2:5" ht="14.45" thickBot="1">
      <c r="B7" s="443" t="s">
        <v>443</v>
      </c>
      <c r="C7" s="444" t="e">
        <f>VLOOKUP(C6,'BASE DA MATRIZ DE RISCOS'!$C$78:$D$106,2,)</f>
        <v>#N/A</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t="e">
        <f>VLOOKUP(C6,'BASE DA MATRIZ DE RISCOS'!$C$78:$H$106,5,)</f>
        <v>#N/A</v>
      </c>
      <c r="E10" s="9" t="s">
        <v>854</v>
      </c>
    </row>
    <row r="11" spans="2:5" thickBot="1">
      <c r="B11" s="445" t="s">
        <v>449</v>
      </c>
      <c r="C11" s="446" t="e">
        <f>VLOOKUP(C6,'BASE DA MATRIZ DE RISCOS'!$C$78:$H$106,6,)</f>
        <v>#N/A</v>
      </c>
      <c r="E11" s="9" t="s">
        <v>854</v>
      </c>
    </row>
    <row r="12" spans="2:5" thickBot="1">
      <c r="B12" s="52" t="s">
        <v>446</v>
      </c>
      <c r="C12" s="53" t="e">
        <f>C9*C10*C11</f>
        <v>#N/A</v>
      </c>
      <c r="E12" s="9" t="s">
        <v>855</v>
      </c>
    </row>
    <row r="13" spans="2:5" thickBot="1">
      <c r="B13" s="445" t="s">
        <v>856</v>
      </c>
      <c r="C13" s="446" t="e">
        <f>VLOOKUP(C6,'BASE DA MATRIZ DE RISCOS'!$C$78:$J$106,8,)</f>
        <v>#N/A</v>
      </c>
      <c r="E13" s="9" t="s">
        <v>857</v>
      </c>
    </row>
    <row r="14" spans="2:5" ht="14.45" thickBot="1">
      <c r="B14" s="52" t="s">
        <v>464</v>
      </c>
      <c r="C14" s="31" t="e">
        <f>VLOOKUP(C$6,'RESUMO DE PONTOS'!$C$9:$H$53,3,)</f>
        <v>#N/A</v>
      </c>
    </row>
    <row r="15" spans="2:5" ht="14.45" thickBot="1">
      <c r="B15" s="445" t="s">
        <v>279</v>
      </c>
      <c r="C15" s="446" t="str">
        <f>IFERROR(VLOOKUP(C$6,'RESUMO DE PONTOS'!$C$9:$H$53,4,),"")</f>
        <v/>
      </c>
    </row>
    <row r="16" spans="2:5" ht="14.45" thickBot="1">
      <c r="B16" s="52" t="s">
        <v>280</v>
      </c>
      <c r="C16" s="84" t="str">
        <f>IFERROR(VLOOKUP(C$6,'RESUMO DE PONTOS'!$C$9:$H$53,5,),"")</f>
        <v/>
      </c>
    </row>
    <row r="17" spans="2:3" thickBot="1">
      <c r="B17" s="447" t="s">
        <v>281</v>
      </c>
      <c r="C17" s="446" t="str">
        <f>IFERROR(VLOOKUP(C$6,'RESUMO DE PONTOS'!$C$9:$H$53,6,),"")</f>
        <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11" priority="1" operator="containsText" text="BAIXO IMPACTO">
      <formula>NOT(ISERROR(SEARCH(("BAIXO IMPACTO"),(C4))))</formula>
    </cfRule>
    <cfRule type="containsText" dxfId="10" priority="2" operator="containsText" text="MÉDIO IMPACTO">
      <formula>NOT(ISERROR(SEARCH(("MÉDIO IMPACTO"),(C4))))</formula>
    </cfRule>
    <cfRule type="containsText" dxfId="9" priority="3" operator="containsText" text="ALTO IMPACTO">
      <formula>NOT(ISERROR(SEARCH(("ALTO IMPACTO"),(C4))))</formula>
    </cfRule>
  </conditionalFormatting>
  <dataValidations count="3">
    <dataValidation type="list" allowBlank="1" showErrorMessage="1" sqref="C4" xr:uid="{06C58C4B-42EF-4177-B825-7D679C8880D1}">
      <formula1>"ALTO IMPACTO,MÉDIO IMPACTO,BAIXO IMPACTO"</formula1>
    </dataValidation>
    <dataValidation type="list" allowBlank="1" showErrorMessage="1" sqref="C8" xr:uid="{1E9EC095-D91C-4053-9E7E-CD4972B47326}">
      <formula1>"Estratégico,Financeiro,Operacional,Legal,Tecnologia,Imagem"</formula1>
    </dataValidation>
    <dataValidation type="list" allowBlank="1" showErrorMessage="1" sqref="C6" xr:uid="{05D3A63F-22D9-4533-959A-929EAC9C9EDA}">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0179-205B-47A8-8037-85241EC520B2}">
  <dimension ref="B2:E1000"/>
  <sheetViews>
    <sheetView showGridLines="0" topLeftCell="A9" workbookViewId="0">
      <selection activeCell="C7" sqref="C7"/>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e">
        <f>IF(C12&gt;=75,"ALTO IMPACTO",IF(C12&lt;=50,"BAIXO IMPACTO","MÉDIO IMPACTO"))</f>
        <v>#N/A</v>
      </c>
      <c r="E4" s="9" t="s">
        <v>852</v>
      </c>
    </row>
    <row r="5" spans="2:5" ht="14.45" thickBot="1">
      <c r="B5" s="443" t="s">
        <v>274</v>
      </c>
      <c r="C5" s="444" t="str">
        <f>IFERROR(VLOOKUP(C6,'RESUMO DE PONTOS'!$C$9:$M$64,11,),"")</f>
        <v/>
      </c>
    </row>
    <row r="6" spans="2:5" thickBot="1">
      <c r="B6" s="49" t="s">
        <v>276</v>
      </c>
      <c r="C6" s="50" t="s">
        <v>866</v>
      </c>
      <c r="E6" s="9" t="s">
        <v>861</v>
      </c>
    </row>
    <row r="7" spans="2:5" ht="14.45" thickBot="1">
      <c r="B7" s="443" t="s">
        <v>443</v>
      </c>
      <c r="C7" s="444" t="e">
        <f>VLOOKUP(C6,'BASE DA MATRIZ DE RISCOS'!$C$78:$D$106,2,)</f>
        <v>#N/A</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t="e">
        <f>VLOOKUP(C6,'BASE DA MATRIZ DE RISCOS'!$C$78:$H$106,5,)</f>
        <v>#N/A</v>
      </c>
      <c r="E10" s="9" t="s">
        <v>854</v>
      </c>
    </row>
    <row r="11" spans="2:5" thickBot="1">
      <c r="B11" s="445" t="s">
        <v>449</v>
      </c>
      <c r="C11" s="446" t="e">
        <f>VLOOKUP(C6,'BASE DA MATRIZ DE RISCOS'!$C$78:$H$106,6,)</f>
        <v>#N/A</v>
      </c>
      <c r="E11" s="9" t="s">
        <v>854</v>
      </c>
    </row>
    <row r="12" spans="2:5" thickBot="1">
      <c r="B12" s="52" t="s">
        <v>446</v>
      </c>
      <c r="C12" s="53" t="e">
        <f>C9*C10*C11</f>
        <v>#N/A</v>
      </c>
      <c r="E12" s="9" t="s">
        <v>855</v>
      </c>
    </row>
    <row r="13" spans="2:5" thickBot="1">
      <c r="B13" s="445" t="s">
        <v>856</v>
      </c>
      <c r="C13" s="446" t="e">
        <f>VLOOKUP(C6,'BASE DA MATRIZ DE RISCOS'!$C$78:$J$106,8,)</f>
        <v>#N/A</v>
      </c>
      <c r="E13" s="9" t="s">
        <v>857</v>
      </c>
    </row>
    <row r="14" spans="2:5" ht="14.45" thickBot="1">
      <c r="B14" s="52" t="s">
        <v>464</v>
      </c>
      <c r="C14" s="31" t="e">
        <f>VLOOKUP(C$6,'RESUMO DE PONTOS'!$C$9:$H$53,3,)</f>
        <v>#N/A</v>
      </c>
    </row>
    <row r="15" spans="2:5" ht="14.45" thickBot="1">
      <c r="B15" s="445" t="s">
        <v>279</v>
      </c>
      <c r="C15" s="446" t="str">
        <f>IFERROR(VLOOKUP(C$6,'RESUMO DE PONTOS'!$C$9:$H$53,4,),"")</f>
        <v/>
      </c>
    </row>
    <row r="16" spans="2:5" ht="14.45" thickBot="1">
      <c r="B16" s="52" t="s">
        <v>280</v>
      </c>
      <c r="C16" s="84" t="str">
        <f>IFERROR(VLOOKUP(C$6,'RESUMO DE PONTOS'!$C$9:$H$53,5,),"")</f>
        <v/>
      </c>
    </row>
    <row r="17" spans="2:3" thickBot="1">
      <c r="B17" s="447" t="s">
        <v>281</v>
      </c>
      <c r="C17" s="446" t="str">
        <f>IFERROR(VLOOKUP(C$6,'RESUMO DE PONTOS'!$C$9:$H$53,6,),"")</f>
        <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8" priority="1" operator="containsText" text="BAIXO IMPACTO">
      <formula>NOT(ISERROR(SEARCH(("BAIXO IMPACTO"),(C4))))</formula>
    </cfRule>
    <cfRule type="containsText" dxfId="7" priority="2" operator="containsText" text="MÉDIO IMPACTO">
      <formula>NOT(ISERROR(SEARCH(("MÉDIO IMPACTO"),(C4))))</formula>
    </cfRule>
    <cfRule type="containsText" dxfId="6" priority="3" operator="containsText" text="ALTO IMPACTO">
      <formula>NOT(ISERROR(SEARCH(("ALTO IMPACTO"),(C4))))</formula>
    </cfRule>
  </conditionalFormatting>
  <dataValidations count="3">
    <dataValidation type="list" allowBlank="1" showErrorMessage="1" sqref="C6" xr:uid="{6F6413B0-2F91-4B90-98AA-E6373C9F5E5A}">
      <formula1>"[P1],[P2],[P3],[P4],[P5],[P6],[P7],[P8],[P9],[P10],[P11],[P12],[P13],[P14],[P15],[P16],[P17],[P18],[P19],[P20],[P21],[P22],[P23],[P24],[P25],[P26],[P27],[P28],[P29],[P30],[P31],[P32],[P33],[P34],[P35],[P36],[P37],[P38],[P39],[P40]"</formula1>
    </dataValidation>
    <dataValidation type="list" allowBlank="1" showErrorMessage="1" sqref="C8" xr:uid="{9F221CCE-FCE0-4176-88C2-900C085D8097}">
      <formula1>"Estratégico,Financeiro,Operacional,Legal,Tecnologia,Imagem"</formula1>
    </dataValidation>
    <dataValidation type="list" allowBlank="1" showErrorMessage="1" sqref="C4" xr:uid="{986DC437-CFE0-401B-B88D-BF15D0DFDD6D}">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7F0FB-8C12-4B2B-AED8-D99A59ED40E9}">
  <dimension ref="B2:E1000"/>
  <sheetViews>
    <sheetView showGridLines="0" workbookViewId="0">
      <selection activeCell="C7" sqref="C7"/>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e">
        <f>IF(C12&gt;=75,"ALTO IMPACTO",IF(C12&lt;=50,"BAIXO IMPACTO","MÉDIO IMPACTO"))</f>
        <v>#N/A</v>
      </c>
      <c r="E4" s="9" t="s">
        <v>852</v>
      </c>
    </row>
    <row r="5" spans="2:5" ht="14.45" thickBot="1">
      <c r="B5" s="443" t="s">
        <v>274</v>
      </c>
      <c r="C5" s="444" t="str">
        <f>IFERROR(VLOOKUP(C6,'RESUMO DE PONTOS'!$C$9:$M$64,11,),"")</f>
        <v/>
      </c>
    </row>
    <row r="6" spans="2:5" thickBot="1">
      <c r="B6" s="49" t="s">
        <v>276</v>
      </c>
      <c r="C6" s="50" t="s">
        <v>867</v>
      </c>
      <c r="E6" s="9" t="s">
        <v>861</v>
      </c>
    </row>
    <row r="7" spans="2:5" ht="14.45" thickBot="1">
      <c r="B7" s="443" t="s">
        <v>443</v>
      </c>
      <c r="C7" s="444" t="e">
        <f>VLOOKUP(C6,'BASE DA MATRIZ DE RISCOS'!$C$78:$D$106,2,)</f>
        <v>#N/A</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t="e">
        <f>VLOOKUP(C6,'BASE DA MATRIZ DE RISCOS'!$C$78:$H$106,5,)</f>
        <v>#N/A</v>
      </c>
      <c r="E10" s="9" t="s">
        <v>854</v>
      </c>
    </row>
    <row r="11" spans="2:5" thickBot="1">
      <c r="B11" s="445" t="s">
        <v>449</v>
      </c>
      <c r="C11" s="446" t="e">
        <f>VLOOKUP(C6,'BASE DA MATRIZ DE RISCOS'!$C$78:$H$106,6,)</f>
        <v>#N/A</v>
      </c>
      <c r="E11" s="9" t="s">
        <v>854</v>
      </c>
    </row>
    <row r="12" spans="2:5" thickBot="1">
      <c r="B12" s="52" t="s">
        <v>446</v>
      </c>
      <c r="C12" s="53" t="e">
        <f>C9*C10*C11</f>
        <v>#N/A</v>
      </c>
      <c r="E12" s="9" t="s">
        <v>855</v>
      </c>
    </row>
    <row r="13" spans="2:5" thickBot="1">
      <c r="B13" s="445" t="s">
        <v>856</v>
      </c>
      <c r="C13" s="446" t="e">
        <f>VLOOKUP(C6,'BASE DA MATRIZ DE RISCOS'!$C$78:$J$106,8,)</f>
        <v>#N/A</v>
      </c>
      <c r="E13" s="9" t="s">
        <v>857</v>
      </c>
    </row>
    <row r="14" spans="2:5" ht="14.45" thickBot="1">
      <c r="B14" s="52" t="s">
        <v>464</v>
      </c>
      <c r="C14" s="31" t="e">
        <f>VLOOKUP(C$6,'RESUMO DE PONTOS'!$C$9:$H$53,3,)</f>
        <v>#N/A</v>
      </c>
    </row>
    <row r="15" spans="2:5" ht="14.45" thickBot="1">
      <c r="B15" s="445" t="s">
        <v>279</v>
      </c>
      <c r="C15" s="446" t="str">
        <f>IFERROR(VLOOKUP(C$6,'RESUMO DE PONTOS'!$C$9:$H$53,4,),"")</f>
        <v/>
      </c>
    </row>
    <row r="16" spans="2:5" ht="14.45" thickBot="1">
      <c r="B16" s="52" t="s">
        <v>280</v>
      </c>
      <c r="C16" s="84" t="str">
        <f>IFERROR(VLOOKUP(C$6,'RESUMO DE PONTOS'!$C$9:$H$53,5,),"")</f>
        <v/>
      </c>
    </row>
    <row r="17" spans="2:3" thickBot="1">
      <c r="B17" s="447" t="s">
        <v>281</v>
      </c>
      <c r="C17" s="446" t="str">
        <f>IFERROR(VLOOKUP(C$6,'RESUMO DE PONTOS'!$C$9:$H$53,6,),"")</f>
        <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5" priority="1" operator="containsText" text="BAIXO IMPACTO">
      <formula>NOT(ISERROR(SEARCH(("BAIXO IMPACTO"),(C4))))</formula>
    </cfRule>
    <cfRule type="containsText" dxfId="4" priority="2" operator="containsText" text="MÉDIO IMPACTO">
      <formula>NOT(ISERROR(SEARCH(("MÉDIO IMPACTO"),(C4))))</formula>
    </cfRule>
    <cfRule type="containsText" dxfId="3" priority="3" operator="containsText" text="ALTO IMPACTO">
      <formula>NOT(ISERROR(SEARCH(("ALTO IMPACTO"),(C4))))</formula>
    </cfRule>
  </conditionalFormatting>
  <dataValidations count="3">
    <dataValidation type="list" allowBlank="1" showErrorMessage="1" sqref="C6" xr:uid="{01CB3A80-607C-4A1C-855F-FEE0D2F116CD}">
      <formula1>"[P1],[P2],[P3],[P4],[P5],[P6],[P7],[P8],[P9],[P10],[P11],[P12],[P13],[P14],[P15],[P16],[P17],[P18],[P19],[P20],[P21],[P22],[P23],[P24],[P25],[P26],[P27],[P28],[P29],[P30],[P31],[P32],[P33],[P34],[P35],[P36],[P37],[P38],[P39],[P40]"</formula1>
    </dataValidation>
    <dataValidation type="list" allowBlank="1" showErrorMessage="1" sqref="C8" xr:uid="{7756F286-A523-4DD9-9922-82ADCA327C34}">
      <formula1>"Estratégico,Financeiro,Operacional,Legal,Tecnologia,Imagem"</formula1>
    </dataValidation>
    <dataValidation type="list" allowBlank="1" showErrorMessage="1" sqref="C4" xr:uid="{58778369-EAA5-4875-8C55-0C1724705546}">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82D45-4047-42BA-A4C3-FC6722327DEF}">
  <dimension ref="B2:E1000"/>
  <sheetViews>
    <sheetView showGridLines="0" topLeftCell="A3" workbookViewId="0">
      <selection activeCell="C7" sqref="C7"/>
    </sheetView>
  </sheetViews>
  <sheetFormatPr defaultColWidth="12.625" defaultRowHeight="15" customHeight="1"/>
  <cols>
    <col min="1" max="1" width="7.625" customWidth="1"/>
    <col min="2" max="2" width="18" customWidth="1"/>
    <col min="3" max="3" width="46.625" customWidth="1"/>
    <col min="4" max="26" width="7.625" customWidth="1"/>
  </cols>
  <sheetData>
    <row r="2" spans="2:5" ht="17.45">
      <c r="B2" s="48" t="s">
        <v>851</v>
      </c>
    </row>
    <row r="3" spans="2:5" ht="16.149999999999999" thickBot="1">
      <c r="B3" s="34" t="s">
        <v>771</v>
      </c>
      <c r="C3" s="35" t="s">
        <v>464</v>
      </c>
    </row>
    <row r="4" spans="2:5" ht="15.6" thickTop="1" thickBot="1">
      <c r="B4" s="442" t="s">
        <v>449</v>
      </c>
      <c r="C4" s="420" t="e">
        <f>IF(C12&gt;=75,"ALTO IMPACTO",IF(C12&lt;=50,"BAIXO IMPACTO","MÉDIO IMPACTO"))</f>
        <v>#N/A</v>
      </c>
      <c r="E4" s="9" t="s">
        <v>852</v>
      </c>
    </row>
    <row r="5" spans="2:5" ht="14.45" thickBot="1">
      <c r="B5" s="443" t="s">
        <v>274</v>
      </c>
      <c r="C5" s="444" t="str">
        <f>IFERROR(VLOOKUP(C6,'RESUMO DE PONTOS'!$C$9:$M$64,11,),"")</f>
        <v/>
      </c>
    </row>
    <row r="6" spans="2:5" thickBot="1">
      <c r="B6" s="49" t="s">
        <v>276</v>
      </c>
      <c r="C6" s="50" t="s">
        <v>868</v>
      </c>
      <c r="E6" s="9" t="s">
        <v>861</v>
      </c>
    </row>
    <row r="7" spans="2:5" ht="14.45" thickBot="1">
      <c r="B7" s="443" t="s">
        <v>443</v>
      </c>
      <c r="C7" s="444" t="e">
        <f>VLOOKUP(C6,'BASE DA MATRIZ DE RISCOS'!$C$78:$D$106,2,)</f>
        <v>#N/A</v>
      </c>
    </row>
    <row r="8" spans="2:5" thickBot="1">
      <c r="B8" s="49" t="s">
        <v>17</v>
      </c>
      <c r="C8" s="51" t="s">
        <v>351</v>
      </c>
      <c r="E8" s="9" t="s">
        <v>861</v>
      </c>
    </row>
    <row r="9" spans="2:5" thickBot="1">
      <c r="B9" s="445" t="s">
        <v>17</v>
      </c>
      <c r="C9" s="446">
        <f>VLOOKUP($C$8,'BASE DA MATRIZ DE RISCOS'!$C$30:$E$35,3)</f>
        <v>5</v>
      </c>
      <c r="E9" s="9" t="s">
        <v>853</v>
      </c>
    </row>
    <row r="10" spans="2:5" thickBot="1">
      <c r="B10" s="52" t="s">
        <v>444</v>
      </c>
      <c r="C10" s="31" t="e">
        <f>VLOOKUP(C6,'BASE DA MATRIZ DE RISCOS'!$C$78:$H$106,5,)</f>
        <v>#N/A</v>
      </c>
      <c r="E10" s="9" t="s">
        <v>854</v>
      </c>
    </row>
    <row r="11" spans="2:5" thickBot="1">
      <c r="B11" s="445" t="s">
        <v>449</v>
      </c>
      <c r="C11" s="446" t="e">
        <f>VLOOKUP(C6,'BASE DA MATRIZ DE RISCOS'!$C$78:$H$106,6,)</f>
        <v>#N/A</v>
      </c>
      <c r="E11" s="9" t="s">
        <v>854</v>
      </c>
    </row>
    <row r="12" spans="2:5" thickBot="1">
      <c r="B12" s="52" t="s">
        <v>446</v>
      </c>
      <c r="C12" s="53" t="e">
        <f>C9*C10*C11</f>
        <v>#N/A</v>
      </c>
      <c r="E12" s="9" t="s">
        <v>855</v>
      </c>
    </row>
    <row r="13" spans="2:5" thickBot="1">
      <c r="B13" s="445" t="s">
        <v>856</v>
      </c>
      <c r="C13" s="446" t="e">
        <f>VLOOKUP(C6,'BASE DA MATRIZ DE RISCOS'!$C$78:$J$106,8,)</f>
        <v>#N/A</v>
      </c>
      <c r="E13" s="9" t="s">
        <v>857</v>
      </c>
    </row>
    <row r="14" spans="2:5" ht="60" customHeight="1" thickBot="1">
      <c r="B14" s="52" t="s">
        <v>464</v>
      </c>
      <c r="C14" s="31" t="e">
        <f>VLOOKUP(C$6,'RESUMO DE PONTOS'!$C$9:$H$53,3,)</f>
        <v>#N/A</v>
      </c>
    </row>
    <row r="15" spans="2:5" ht="59.65" customHeight="1" thickBot="1">
      <c r="B15" s="445" t="s">
        <v>279</v>
      </c>
      <c r="C15" s="446" t="str">
        <f>IFERROR(VLOOKUP(C$6,'RESUMO DE PONTOS'!$C$9:$H$53,4,),"")</f>
        <v/>
      </c>
    </row>
    <row r="16" spans="2:5" ht="14.45" thickBot="1">
      <c r="B16" s="52" t="s">
        <v>280</v>
      </c>
      <c r="C16" s="84" t="str">
        <f>IFERROR(VLOOKUP(C$6,'RESUMO DE PONTOS'!$C$9:$H$53,5,),"")</f>
        <v/>
      </c>
    </row>
    <row r="17" spans="2:3" thickBot="1">
      <c r="B17" s="447" t="s">
        <v>281</v>
      </c>
      <c r="C17" s="446" t="str">
        <f>IFERROR(VLOOKUP(C$6,'RESUMO DE PONTOS'!$C$9:$H$53,6,),"")</f>
        <v/>
      </c>
    </row>
    <row r="18" spans="2:3" ht="55.9" thickBot="1">
      <c r="B18" s="54" t="s">
        <v>783</v>
      </c>
      <c r="C18" s="31" t="s">
        <v>858</v>
      </c>
    </row>
    <row r="19" spans="2:3" ht="43.9" thickBot="1">
      <c r="B19" s="447" t="s">
        <v>785</v>
      </c>
      <c r="C19" s="446" t="s">
        <v>859</v>
      </c>
    </row>
    <row r="20" spans="2:3" ht="42" thickBot="1">
      <c r="B20" s="52" t="s">
        <v>787</v>
      </c>
      <c r="C20" s="31" t="s">
        <v>860</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4">
    <cfRule type="containsText" dxfId="2" priority="1" operator="containsText" text="BAIXO IMPACTO">
      <formula>NOT(ISERROR(SEARCH(("BAIXO IMPACTO"),(C4))))</formula>
    </cfRule>
    <cfRule type="containsText" dxfId="1" priority="2" operator="containsText" text="MÉDIO IMPACTO">
      <formula>NOT(ISERROR(SEARCH(("MÉDIO IMPACTO"),(C4))))</formula>
    </cfRule>
    <cfRule type="containsText" dxfId="0" priority="3" operator="containsText" text="ALTO IMPACTO">
      <formula>NOT(ISERROR(SEARCH(("ALTO IMPACTO"),(C4))))</formula>
    </cfRule>
  </conditionalFormatting>
  <dataValidations count="3">
    <dataValidation type="list" allowBlank="1" showErrorMessage="1" sqref="C4" xr:uid="{30EAF868-6C9D-48B1-99CF-53D399A3589C}">
      <formula1>"ALTO IMPACTO,MÉDIO IMPACTO,BAIXO IMPACTO"</formula1>
    </dataValidation>
    <dataValidation type="list" allowBlank="1" showErrorMessage="1" sqref="C8" xr:uid="{16FF24AF-643F-4473-8010-290BA56BB7A9}">
      <formula1>"Estratégico,Financeiro,Operacional,Legal,Tecnologia,Imagem"</formula1>
    </dataValidation>
    <dataValidation type="list" allowBlank="1" showErrorMessage="1" sqref="C6" xr:uid="{40ADB6F7-4386-4F6F-A591-7F8BD8A8BABC}">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3:D1000"/>
  <sheetViews>
    <sheetView showGridLines="0" workbookViewId="0">
      <selection activeCell="D6" sqref="D6"/>
    </sheetView>
  </sheetViews>
  <sheetFormatPr defaultColWidth="12.625" defaultRowHeight="15" customHeight="1"/>
  <cols>
    <col min="1" max="1" width="11.5" customWidth="1"/>
    <col min="2" max="2" width="15" customWidth="1"/>
    <col min="3" max="3" width="28.625" customWidth="1"/>
    <col min="4" max="4" width="34.625" customWidth="1"/>
    <col min="5" max="26" width="7.625" customWidth="1"/>
  </cols>
  <sheetData>
    <row r="3" spans="1:4" ht="43.15">
      <c r="A3" s="448" t="s">
        <v>869</v>
      </c>
      <c r="B3" s="448" t="s">
        <v>870</v>
      </c>
      <c r="C3" s="448" t="s">
        <v>871</v>
      </c>
      <c r="D3" s="449" t="s">
        <v>872</v>
      </c>
    </row>
    <row r="4" spans="1:4" ht="43.15">
      <c r="A4" s="55"/>
      <c r="B4" s="55" t="s">
        <v>873</v>
      </c>
      <c r="C4" s="56"/>
      <c r="D4" s="3" t="s">
        <v>874</v>
      </c>
    </row>
    <row r="5" spans="1:4" ht="57.6">
      <c r="A5" s="55"/>
      <c r="B5" s="55" t="s">
        <v>875</v>
      </c>
      <c r="C5" s="56"/>
      <c r="D5" s="3" t="s">
        <v>876</v>
      </c>
    </row>
    <row r="6" spans="1:4" ht="57.6">
      <c r="A6" s="55"/>
      <c r="B6" s="55" t="s">
        <v>877</v>
      </c>
      <c r="C6" s="56"/>
      <c r="D6" s="3" t="s">
        <v>878</v>
      </c>
    </row>
    <row r="7" spans="1:4" ht="43.15">
      <c r="A7" s="57"/>
      <c r="B7" s="57" t="s">
        <v>873</v>
      </c>
      <c r="C7" s="58"/>
      <c r="D7" s="2" t="s">
        <v>879</v>
      </c>
    </row>
    <row r="8" spans="1:4" ht="57.6">
      <c r="A8" s="57"/>
      <c r="B8" s="57" t="s">
        <v>880</v>
      </c>
      <c r="C8" s="58"/>
      <c r="D8" s="2" t="s">
        <v>881</v>
      </c>
    </row>
    <row r="9" spans="1:4" ht="57.6">
      <c r="A9" s="57"/>
      <c r="B9" s="57" t="s">
        <v>877</v>
      </c>
      <c r="C9" s="58"/>
      <c r="D9" s="2" t="s">
        <v>878</v>
      </c>
    </row>
    <row r="10" spans="1:4" ht="43.15">
      <c r="A10" s="55"/>
      <c r="B10" s="55" t="s">
        <v>873</v>
      </c>
      <c r="C10" s="56"/>
      <c r="D10" s="3" t="s">
        <v>882</v>
      </c>
    </row>
    <row r="11" spans="1:4" ht="28.9">
      <c r="A11" s="55"/>
      <c r="B11" s="55" t="s">
        <v>875</v>
      </c>
      <c r="C11" s="56"/>
      <c r="D11" s="3" t="s">
        <v>882</v>
      </c>
    </row>
    <row r="12" spans="1:4" ht="43.15">
      <c r="A12" s="55"/>
      <c r="B12" s="55" t="s">
        <v>883</v>
      </c>
      <c r="C12" s="56"/>
      <c r="D12" s="3" t="s">
        <v>884</v>
      </c>
    </row>
    <row r="13" spans="1:4" ht="100.9">
      <c r="A13" s="55"/>
      <c r="B13" s="55" t="s">
        <v>877</v>
      </c>
      <c r="C13" s="56"/>
      <c r="D13" s="59" t="s">
        <v>885</v>
      </c>
    </row>
    <row r="14" spans="1:4" ht="72">
      <c r="A14" s="57"/>
      <c r="B14" s="57" t="s">
        <v>886</v>
      </c>
      <c r="C14" s="58"/>
      <c r="D14" s="2" t="s">
        <v>887</v>
      </c>
    </row>
    <row r="15" spans="1:4" ht="72">
      <c r="A15" s="57"/>
      <c r="B15" s="57" t="s">
        <v>875</v>
      </c>
      <c r="C15" s="58"/>
      <c r="D15" s="2" t="s">
        <v>888</v>
      </c>
    </row>
    <row r="16" spans="1:4" ht="72">
      <c r="A16" s="57"/>
      <c r="B16" s="57" t="s">
        <v>889</v>
      </c>
      <c r="C16" s="58"/>
      <c r="D16" s="2" t="s">
        <v>890</v>
      </c>
    </row>
    <row r="17" spans="1:4" ht="28.9">
      <c r="A17" s="57"/>
      <c r="B17" s="57" t="s">
        <v>880</v>
      </c>
      <c r="C17" s="58"/>
      <c r="D17" s="2" t="s">
        <v>891</v>
      </c>
    </row>
    <row r="18" spans="1:4" ht="57.6">
      <c r="A18" s="57"/>
      <c r="B18" s="57" t="s">
        <v>877</v>
      </c>
      <c r="C18" s="58"/>
      <c r="D18" s="2" t="s">
        <v>892</v>
      </c>
    </row>
    <row r="19" spans="1:4" ht="86.45">
      <c r="A19" s="55"/>
      <c r="B19" s="55" t="s">
        <v>893</v>
      </c>
      <c r="C19" s="56"/>
      <c r="D19" s="3" t="s">
        <v>894</v>
      </c>
    </row>
    <row r="20" spans="1:4" ht="86.45">
      <c r="A20" s="55"/>
      <c r="B20" s="55" t="s">
        <v>895</v>
      </c>
      <c r="C20" s="56"/>
      <c r="D20" s="3" t="s">
        <v>896</v>
      </c>
    </row>
    <row r="21" spans="1:4" ht="15.75" customHeight="1">
      <c r="A21" s="55"/>
      <c r="B21" s="55" t="s">
        <v>880</v>
      </c>
      <c r="C21" s="56"/>
      <c r="D21" s="3" t="s">
        <v>897</v>
      </c>
    </row>
    <row r="22" spans="1:4" ht="15.75" customHeight="1">
      <c r="A22" s="55"/>
      <c r="B22" s="55" t="s">
        <v>877</v>
      </c>
      <c r="C22" s="56"/>
      <c r="D22" s="59" t="s">
        <v>878</v>
      </c>
    </row>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spans="3:3" ht="15.75" customHeight="1"/>
    <row r="34" spans="3:3" ht="15.75" customHeight="1"/>
    <row r="35" spans="3:3" ht="15.75" customHeight="1"/>
    <row r="36" spans="3:3" ht="15.75" customHeight="1"/>
    <row r="37" spans="3:3" ht="15.75" customHeight="1"/>
    <row r="38" spans="3:3" ht="15.75" customHeight="1"/>
    <row r="39" spans="3:3" ht="15.75" customHeight="1">
      <c r="C39" s="60"/>
    </row>
    <row r="40" spans="3:3" ht="15.75" customHeight="1">
      <c r="C40" s="60"/>
    </row>
    <row r="41" spans="3:3" ht="15.75" customHeight="1">
      <c r="C41" s="60"/>
    </row>
    <row r="42" spans="3:3" ht="15.75" customHeight="1">
      <c r="C42" s="60"/>
    </row>
    <row r="43" spans="3:3" ht="15.75" customHeight="1">
      <c r="C43" s="60"/>
    </row>
    <row r="44" spans="3:3" ht="15.75" customHeight="1">
      <c r="C44" s="60"/>
    </row>
    <row r="45" spans="3:3" ht="15.75" customHeight="1">
      <c r="C45" s="60"/>
    </row>
    <row r="46" spans="3:3" ht="15.75" customHeight="1">
      <c r="C46" s="60"/>
    </row>
    <row r="47" spans="3:3" ht="15.75" customHeight="1">
      <c r="C47" s="60"/>
    </row>
    <row r="48" spans="3:3" ht="15.75" customHeight="1">
      <c r="C48" s="60"/>
    </row>
    <row r="49" spans="3:3" ht="15.75" customHeight="1">
      <c r="C49" s="60"/>
    </row>
    <row r="50" spans="3:3" ht="15.75" customHeight="1">
      <c r="C50" s="60"/>
    </row>
    <row r="51" spans="3:3" ht="15.75" customHeight="1">
      <c r="C51" s="60"/>
    </row>
    <row r="52" spans="3:3" ht="15.75" customHeight="1">
      <c r="C52" s="60"/>
    </row>
    <row r="53" spans="3:3" ht="15.75" customHeight="1">
      <c r="C53" s="60"/>
    </row>
    <row r="54" spans="3:3" ht="15.75" customHeight="1">
      <c r="C54" s="60"/>
    </row>
    <row r="55" spans="3:3" ht="15.75" customHeight="1">
      <c r="C55" s="60"/>
    </row>
    <row r="56" spans="3:3" ht="15.75" customHeight="1">
      <c r="C56" s="60"/>
    </row>
    <row r="57" spans="3:3" ht="15.75" customHeight="1">
      <c r="C57" s="60"/>
    </row>
    <row r="58" spans="3:3" ht="15.75" customHeight="1">
      <c r="C58" s="60"/>
    </row>
    <row r="59" spans="3:3" ht="15.75" customHeight="1">
      <c r="C59" s="60"/>
    </row>
    <row r="60" spans="3:3" ht="15.75" customHeight="1">
      <c r="C60" s="60"/>
    </row>
    <row r="61" spans="3:3" ht="15.75" customHeight="1">
      <c r="C61" s="60"/>
    </row>
    <row r="62" spans="3:3" ht="15.75" customHeight="1">
      <c r="C62" s="60"/>
    </row>
    <row r="63" spans="3:3" ht="15.75" customHeight="1">
      <c r="C63" s="60"/>
    </row>
    <row r="64" spans="3:3" ht="15.75" customHeight="1">
      <c r="C64" s="60"/>
    </row>
    <row r="65" spans="3:3" ht="15.75" customHeight="1">
      <c r="C65" s="60"/>
    </row>
    <row r="66" spans="3:3" ht="15.75" customHeight="1">
      <c r="C66" s="60"/>
    </row>
    <row r="67" spans="3:3" ht="15.75" customHeight="1">
      <c r="C67" s="60"/>
    </row>
    <row r="68" spans="3:3" ht="15.75" customHeight="1">
      <c r="C68" s="60"/>
    </row>
    <row r="69" spans="3:3" ht="15.75" customHeight="1">
      <c r="C69" s="60"/>
    </row>
    <row r="70" spans="3:3" ht="15.75" customHeight="1">
      <c r="C70" s="60"/>
    </row>
    <row r="71" spans="3:3" ht="15.75" customHeight="1">
      <c r="C71" s="60"/>
    </row>
    <row r="72" spans="3:3" ht="15.75" customHeight="1">
      <c r="C72" s="60"/>
    </row>
    <row r="73" spans="3:3" ht="15.75" customHeight="1">
      <c r="C73" s="60"/>
    </row>
    <row r="74" spans="3:3" ht="15.75" customHeight="1">
      <c r="C74" s="60"/>
    </row>
    <row r="75" spans="3:3" ht="15.75" customHeight="1">
      <c r="C75" s="60"/>
    </row>
    <row r="76" spans="3:3" ht="15.75" customHeight="1">
      <c r="C76" s="60"/>
    </row>
    <row r="77" spans="3:3" ht="15.75" customHeight="1">
      <c r="C77" s="60"/>
    </row>
    <row r="78" spans="3:3" ht="15.75" customHeight="1">
      <c r="C78" s="60"/>
    </row>
    <row r="79" spans="3:3" ht="15.75" customHeight="1">
      <c r="C79" s="60"/>
    </row>
    <row r="80" spans="3:3" ht="15.75" customHeight="1">
      <c r="C80" s="60"/>
    </row>
    <row r="81" spans="3:3" ht="15.75" customHeight="1">
      <c r="C81" s="60"/>
    </row>
    <row r="82" spans="3:3" ht="15.75" customHeight="1">
      <c r="C82" s="60"/>
    </row>
    <row r="83" spans="3:3" ht="15.75" customHeight="1">
      <c r="C83" s="60"/>
    </row>
    <row r="84" spans="3:3" ht="15.75" customHeight="1">
      <c r="C84" s="60"/>
    </row>
    <row r="85" spans="3:3" ht="15.75" customHeight="1">
      <c r="C85" s="60"/>
    </row>
    <row r="86" spans="3:3" ht="15.75" customHeight="1">
      <c r="C86" s="60"/>
    </row>
    <row r="87" spans="3:3" ht="15.75" customHeight="1">
      <c r="C87" s="60"/>
    </row>
    <row r="88" spans="3:3" ht="15.75" customHeight="1">
      <c r="C88" s="60"/>
    </row>
    <row r="89" spans="3:3" ht="15.75" customHeight="1">
      <c r="C89" s="60"/>
    </row>
    <row r="90" spans="3:3" ht="15.75" customHeight="1">
      <c r="C90" s="60"/>
    </row>
    <row r="91" spans="3:3" ht="15.75" customHeight="1">
      <c r="C91" s="60"/>
    </row>
    <row r="92" spans="3:3" ht="15.75" customHeight="1">
      <c r="C92" s="60"/>
    </row>
    <row r="93" spans="3:3" ht="15.75" customHeight="1">
      <c r="C93" s="60"/>
    </row>
    <row r="94" spans="3:3" ht="15.75" customHeight="1">
      <c r="C94" s="60"/>
    </row>
    <row r="95" spans="3:3" ht="15.75" customHeight="1">
      <c r="C95" s="60"/>
    </row>
    <row r="96" spans="3:3" ht="15.75" customHeight="1">
      <c r="C96" s="60"/>
    </row>
    <row r="97" spans="3:3" ht="15.75" customHeight="1">
      <c r="C97" s="60"/>
    </row>
    <row r="98" spans="3:3" ht="15.75" customHeight="1">
      <c r="C98" s="60"/>
    </row>
    <row r="99" spans="3:3" ht="15.75" customHeight="1">
      <c r="C99" s="60"/>
    </row>
    <row r="100" spans="3:3" ht="15.75" customHeight="1">
      <c r="C100" s="60"/>
    </row>
    <row r="101" spans="3:3" ht="15.75" customHeight="1">
      <c r="C101" s="60"/>
    </row>
    <row r="102" spans="3:3" ht="15.75" customHeight="1">
      <c r="C102" s="60"/>
    </row>
    <row r="103" spans="3:3" ht="15.75" customHeight="1">
      <c r="C103" s="60"/>
    </row>
    <row r="104" spans="3:3" ht="15.75" customHeight="1">
      <c r="C104" s="60"/>
    </row>
    <row r="105" spans="3:3" ht="15.75" customHeight="1">
      <c r="C105" s="60"/>
    </row>
    <row r="106" spans="3:3" ht="15.75" customHeight="1">
      <c r="C106" s="60"/>
    </row>
    <row r="107" spans="3:3" ht="15.75" customHeight="1">
      <c r="C107" s="60"/>
    </row>
    <row r="108" spans="3:3" ht="15.75" customHeight="1">
      <c r="C108" s="60"/>
    </row>
    <row r="109" spans="3:3" ht="15.75" customHeight="1">
      <c r="C109" s="60"/>
    </row>
    <row r="110" spans="3:3" ht="15.75" customHeight="1">
      <c r="C110" s="60"/>
    </row>
    <row r="111" spans="3:3" ht="15.75" customHeight="1">
      <c r="C111" s="60"/>
    </row>
    <row r="112" spans="3:3" ht="15.75" customHeight="1">
      <c r="C112" s="60"/>
    </row>
    <row r="113" spans="3:3" ht="15.75" customHeight="1">
      <c r="C113" s="60"/>
    </row>
    <row r="114" spans="3:3" ht="15.75" customHeight="1">
      <c r="C114" s="60"/>
    </row>
    <row r="115" spans="3:3" ht="15.75" customHeight="1">
      <c r="C115" s="60"/>
    </row>
    <row r="116" spans="3:3" ht="15.75" customHeight="1">
      <c r="C116" s="60"/>
    </row>
    <row r="117" spans="3:3" ht="15.75" customHeight="1">
      <c r="C117" s="60"/>
    </row>
    <row r="118" spans="3:3" ht="15.75" customHeight="1">
      <c r="C118" s="60"/>
    </row>
    <row r="119" spans="3:3" ht="15.75" customHeight="1">
      <c r="C119" s="60"/>
    </row>
    <row r="120" spans="3:3" ht="15.75" customHeight="1">
      <c r="C120" s="60"/>
    </row>
    <row r="121" spans="3:3" ht="15.75" customHeight="1">
      <c r="C121" s="60"/>
    </row>
    <row r="122" spans="3:3" ht="15.75" customHeight="1">
      <c r="C122" s="60"/>
    </row>
    <row r="123" spans="3:3" ht="15.75" customHeight="1">
      <c r="C123" s="60"/>
    </row>
    <row r="124" spans="3:3" ht="15.75" customHeight="1">
      <c r="C124" s="60"/>
    </row>
    <row r="125" spans="3:3" ht="15.75" customHeight="1">
      <c r="C125" s="60"/>
    </row>
    <row r="126" spans="3:3" ht="15.75" customHeight="1">
      <c r="C126" s="60"/>
    </row>
    <row r="127" spans="3:3" ht="15.75" customHeight="1">
      <c r="C127" s="60"/>
    </row>
    <row r="128" spans="3:3" ht="15.75" customHeight="1">
      <c r="C128" s="60"/>
    </row>
    <row r="129" spans="3:3" ht="15.75" customHeight="1">
      <c r="C129" s="60"/>
    </row>
    <row r="130" spans="3:3" ht="15.75" customHeight="1">
      <c r="C130" s="60"/>
    </row>
    <row r="131" spans="3:3" ht="15.75" customHeight="1">
      <c r="C131" s="60"/>
    </row>
    <row r="132" spans="3:3" ht="15.75" customHeight="1">
      <c r="C132" s="60"/>
    </row>
    <row r="133" spans="3:3" ht="15.75" customHeight="1">
      <c r="C133" s="60"/>
    </row>
    <row r="134" spans="3:3" ht="15.75" customHeight="1">
      <c r="C134" s="60"/>
    </row>
    <row r="135" spans="3:3" ht="15.75" customHeight="1">
      <c r="C135" s="60"/>
    </row>
    <row r="136" spans="3:3" ht="15.75" customHeight="1">
      <c r="C136" s="60"/>
    </row>
    <row r="137" spans="3:3" ht="15.75" customHeight="1">
      <c r="C137" s="60"/>
    </row>
    <row r="138" spans="3:3" ht="15.75" customHeight="1">
      <c r="C138" s="60"/>
    </row>
    <row r="139" spans="3:3" ht="15.75" customHeight="1">
      <c r="C139" s="60"/>
    </row>
    <row r="140" spans="3:3" ht="15.75" customHeight="1">
      <c r="C140" s="60"/>
    </row>
    <row r="141" spans="3:3" ht="15.75" customHeight="1">
      <c r="C141" s="60"/>
    </row>
    <row r="142" spans="3:3" ht="15.75" customHeight="1">
      <c r="C142" s="60"/>
    </row>
    <row r="143" spans="3:3" ht="15.75" customHeight="1">
      <c r="C143" s="60"/>
    </row>
    <row r="144" spans="3:3" ht="15.75" customHeight="1">
      <c r="C144" s="60"/>
    </row>
    <row r="145" spans="3:3" ht="15.75" customHeight="1">
      <c r="C145" s="60"/>
    </row>
    <row r="146" spans="3:3" ht="15.75" customHeight="1">
      <c r="C146" s="60"/>
    </row>
    <row r="147" spans="3:3" ht="15.75" customHeight="1">
      <c r="C147" s="60"/>
    </row>
    <row r="148" spans="3:3" ht="15.75" customHeight="1">
      <c r="C148" s="60"/>
    </row>
    <row r="149" spans="3:3" ht="15.75" customHeight="1">
      <c r="C149" s="60"/>
    </row>
    <row r="150" spans="3:3" ht="15.75" customHeight="1">
      <c r="C150" s="60"/>
    </row>
    <row r="151" spans="3:3" ht="15.75" customHeight="1">
      <c r="C151" s="60"/>
    </row>
    <row r="152" spans="3:3" ht="15.75" customHeight="1">
      <c r="C152" s="60"/>
    </row>
    <row r="153" spans="3:3" ht="15.75" customHeight="1">
      <c r="C153" s="60"/>
    </row>
    <row r="154" spans="3:3" ht="15.75" customHeight="1">
      <c r="C154" s="60"/>
    </row>
    <row r="155" spans="3:3" ht="15.75" customHeight="1">
      <c r="C155" s="60"/>
    </row>
    <row r="156" spans="3:3" ht="15.75" customHeight="1">
      <c r="C156" s="60"/>
    </row>
    <row r="157" spans="3:3" ht="15.75" customHeight="1">
      <c r="C157" s="60"/>
    </row>
    <row r="158" spans="3:3" ht="15.75" customHeight="1">
      <c r="C158" s="60"/>
    </row>
    <row r="159" spans="3:3" ht="15.75" customHeight="1">
      <c r="C159" s="60"/>
    </row>
    <row r="160" spans="3:3" ht="15.75" customHeight="1">
      <c r="C160" s="60"/>
    </row>
    <row r="161" spans="3:3" ht="15.75" customHeight="1">
      <c r="C161" s="60"/>
    </row>
    <row r="162" spans="3:3" ht="15.75" customHeight="1">
      <c r="C162" s="60"/>
    </row>
    <row r="163" spans="3:3" ht="15.75" customHeight="1">
      <c r="C163" s="60"/>
    </row>
    <row r="164" spans="3:3" ht="15.75" customHeight="1">
      <c r="C164" s="60"/>
    </row>
    <row r="165" spans="3:3" ht="15.75" customHeight="1">
      <c r="C165" s="60"/>
    </row>
    <row r="166" spans="3:3" ht="15.75" customHeight="1">
      <c r="C166" s="60"/>
    </row>
    <row r="167" spans="3:3" ht="15.75" customHeight="1">
      <c r="C167" s="60"/>
    </row>
    <row r="168" spans="3:3" ht="15.75" customHeight="1">
      <c r="C168" s="60"/>
    </row>
    <row r="169" spans="3:3" ht="15.75" customHeight="1">
      <c r="C169" s="60"/>
    </row>
    <row r="170" spans="3:3" ht="15.75" customHeight="1">
      <c r="C170" s="60"/>
    </row>
    <row r="171" spans="3:3" ht="15.75" customHeight="1">
      <c r="C171" s="60"/>
    </row>
    <row r="172" spans="3:3" ht="15.75" customHeight="1">
      <c r="C172" s="60"/>
    </row>
    <row r="173" spans="3:3" ht="15.75" customHeight="1">
      <c r="C173" s="60"/>
    </row>
    <row r="174" spans="3:3" ht="15.75" customHeight="1">
      <c r="C174" s="60"/>
    </row>
    <row r="175" spans="3:3" ht="15.75" customHeight="1">
      <c r="C175" s="60"/>
    </row>
    <row r="176" spans="3:3" ht="15.75" customHeight="1">
      <c r="C176" s="60"/>
    </row>
    <row r="177" spans="3:3" ht="15.75" customHeight="1">
      <c r="C177" s="60"/>
    </row>
    <row r="178" spans="3:3" ht="15.75" customHeight="1">
      <c r="C178" s="60"/>
    </row>
    <row r="179" spans="3:3" ht="15.75" customHeight="1">
      <c r="C179" s="60"/>
    </row>
    <row r="180" spans="3:3" ht="15.75" customHeight="1">
      <c r="C180" s="60"/>
    </row>
    <row r="181" spans="3:3" ht="15.75" customHeight="1">
      <c r="C181" s="60"/>
    </row>
    <row r="182" spans="3:3" ht="15.75" customHeight="1">
      <c r="C182" s="60"/>
    </row>
    <row r="183" spans="3:3" ht="15.75" customHeight="1">
      <c r="C183" s="60"/>
    </row>
    <row r="184" spans="3:3" ht="15.75" customHeight="1">
      <c r="C184" s="60"/>
    </row>
    <row r="185" spans="3:3" ht="15.75" customHeight="1">
      <c r="C185" s="60"/>
    </row>
    <row r="186" spans="3:3" ht="15.75" customHeight="1">
      <c r="C186" s="60"/>
    </row>
    <row r="187" spans="3:3" ht="15.75" customHeight="1">
      <c r="C187" s="60"/>
    </row>
    <row r="188" spans="3:3" ht="15.75" customHeight="1">
      <c r="C188" s="60"/>
    </row>
    <row r="189" spans="3:3" ht="15.75" customHeight="1">
      <c r="C189" s="60"/>
    </row>
    <row r="190" spans="3:3" ht="15.75" customHeight="1">
      <c r="C190" s="60"/>
    </row>
    <row r="191" spans="3:3" ht="15.75" customHeight="1">
      <c r="C191" s="60"/>
    </row>
    <row r="192" spans="3:3" ht="15.75" customHeight="1">
      <c r="C192" s="60"/>
    </row>
    <row r="193" spans="3:3" ht="15.75" customHeight="1">
      <c r="C193" s="60"/>
    </row>
    <row r="194" spans="3:3" ht="15.75" customHeight="1">
      <c r="C194" s="60"/>
    </row>
    <row r="195" spans="3:3" ht="15.75" customHeight="1">
      <c r="C195" s="60"/>
    </row>
    <row r="196" spans="3:3" ht="15.75" customHeight="1">
      <c r="C196" s="60"/>
    </row>
    <row r="197" spans="3:3" ht="15.75" customHeight="1">
      <c r="C197" s="60"/>
    </row>
    <row r="198" spans="3:3" ht="15.75" customHeight="1">
      <c r="C198" s="60"/>
    </row>
    <row r="199" spans="3:3" ht="15.75" customHeight="1">
      <c r="C199" s="60"/>
    </row>
    <row r="200" spans="3:3" ht="15.75" customHeight="1">
      <c r="C200" s="60"/>
    </row>
    <row r="201" spans="3:3" ht="15.75" customHeight="1">
      <c r="C201" s="60"/>
    </row>
    <row r="202" spans="3:3" ht="15.75" customHeight="1">
      <c r="C202" s="60"/>
    </row>
    <row r="203" spans="3:3" ht="15.75" customHeight="1">
      <c r="C203" s="60"/>
    </row>
    <row r="204" spans="3:3" ht="15.75" customHeight="1">
      <c r="C204" s="60"/>
    </row>
    <row r="205" spans="3:3" ht="15.75" customHeight="1">
      <c r="C205" s="60"/>
    </row>
    <row r="206" spans="3:3" ht="15.75" customHeight="1">
      <c r="C206" s="60"/>
    </row>
    <row r="207" spans="3:3" ht="15.75" customHeight="1">
      <c r="C207" s="60"/>
    </row>
    <row r="208" spans="3:3" ht="15.75" customHeight="1">
      <c r="C208" s="60"/>
    </row>
    <row r="209" spans="3:3" ht="15.75" customHeight="1">
      <c r="C209" s="60"/>
    </row>
    <row r="210" spans="3:3" ht="15.75" customHeight="1">
      <c r="C210" s="60"/>
    </row>
    <row r="211" spans="3:3" ht="15.75" customHeight="1">
      <c r="C211" s="60"/>
    </row>
    <row r="212" spans="3:3" ht="15.75" customHeight="1">
      <c r="C212" s="60"/>
    </row>
    <row r="213" spans="3:3" ht="15.75" customHeight="1">
      <c r="C213" s="60"/>
    </row>
    <row r="214" spans="3:3" ht="15.75" customHeight="1">
      <c r="C214" s="60"/>
    </row>
    <row r="215" spans="3:3" ht="15.75" customHeight="1">
      <c r="C215" s="60"/>
    </row>
    <row r="216" spans="3:3" ht="15.75" customHeight="1">
      <c r="C216" s="60"/>
    </row>
    <row r="217" spans="3:3" ht="15.75" customHeight="1">
      <c r="C217" s="60"/>
    </row>
    <row r="218" spans="3:3" ht="15.75" customHeight="1">
      <c r="C218" s="60"/>
    </row>
    <row r="219" spans="3:3" ht="15.75" customHeight="1">
      <c r="C219" s="60"/>
    </row>
    <row r="220" spans="3:3" ht="15.75" customHeight="1">
      <c r="C220" s="60"/>
    </row>
    <row r="221" spans="3:3" ht="15.75" customHeight="1">
      <c r="C221" s="60"/>
    </row>
    <row r="222" spans="3:3" ht="15.75" customHeight="1">
      <c r="C222" s="60"/>
    </row>
    <row r="223" spans="3:3" ht="15.75" customHeight="1">
      <c r="C223" s="60"/>
    </row>
    <row r="224" spans="3:3" ht="15.75" customHeight="1">
      <c r="C224" s="60"/>
    </row>
    <row r="225" spans="3:3" ht="15.75" customHeight="1">
      <c r="C225" s="60"/>
    </row>
    <row r="226" spans="3:3" ht="15.75" customHeight="1">
      <c r="C226" s="60"/>
    </row>
    <row r="227" spans="3:3" ht="15.75" customHeight="1">
      <c r="C227" s="60"/>
    </row>
    <row r="228" spans="3:3" ht="15.75" customHeight="1">
      <c r="C228" s="60"/>
    </row>
    <row r="229" spans="3:3" ht="15.75" customHeight="1">
      <c r="C229" s="60"/>
    </row>
    <row r="230" spans="3:3" ht="15.75" customHeight="1">
      <c r="C230" s="60"/>
    </row>
    <row r="231" spans="3:3" ht="15.75" customHeight="1">
      <c r="C231" s="60"/>
    </row>
    <row r="232" spans="3:3" ht="15.75" customHeight="1">
      <c r="C232" s="60"/>
    </row>
    <row r="233" spans="3:3" ht="15.75" customHeight="1">
      <c r="C233" s="60"/>
    </row>
    <row r="234" spans="3:3" ht="15.75" customHeight="1">
      <c r="C234" s="60"/>
    </row>
    <row r="235" spans="3:3" ht="15.75" customHeight="1">
      <c r="C235" s="60"/>
    </row>
    <row r="236" spans="3:3" ht="15.75" customHeight="1">
      <c r="C236" s="60"/>
    </row>
    <row r="237" spans="3:3" ht="15.75" customHeight="1">
      <c r="C237" s="60"/>
    </row>
    <row r="238" spans="3:3" ht="15.75" customHeight="1">
      <c r="C238" s="60"/>
    </row>
    <row r="239" spans="3:3" ht="15.75" customHeight="1">
      <c r="C239" s="60"/>
    </row>
    <row r="240" spans="3:3" ht="15.75" customHeight="1">
      <c r="C240" s="60"/>
    </row>
    <row r="241" spans="3:3" ht="15.75" customHeight="1">
      <c r="C241" s="60"/>
    </row>
    <row r="242" spans="3:3" ht="15.75" customHeight="1">
      <c r="C242" s="60"/>
    </row>
    <row r="243" spans="3:3" ht="15.75" customHeight="1">
      <c r="C243" s="60"/>
    </row>
    <row r="244" spans="3:3" ht="15.75" customHeight="1">
      <c r="C244" s="60"/>
    </row>
    <row r="245" spans="3:3" ht="15.75" customHeight="1">
      <c r="C245" s="60"/>
    </row>
    <row r="246" spans="3:3" ht="15.75" customHeight="1">
      <c r="C246" s="60"/>
    </row>
    <row r="247" spans="3:3" ht="15.75" customHeight="1">
      <c r="C247" s="60"/>
    </row>
    <row r="248" spans="3:3" ht="15.75" customHeight="1">
      <c r="C248" s="60"/>
    </row>
    <row r="249" spans="3:3" ht="15.75" customHeight="1">
      <c r="C249" s="60"/>
    </row>
    <row r="250" spans="3:3" ht="15.75" customHeight="1">
      <c r="C250" s="60"/>
    </row>
    <row r="251" spans="3:3" ht="15.75" customHeight="1">
      <c r="C251" s="60"/>
    </row>
    <row r="252" spans="3:3" ht="15.75" customHeight="1">
      <c r="C252" s="60"/>
    </row>
    <row r="253" spans="3:3" ht="15.75" customHeight="1">
      <c r="C253" s="60"/>
    </row>
    <row r="254" spans="3:3" ht="15.75" customHeight="1">
      <c r="C254" s="60"/>
    </row>
    <row r="255" spans="3:3" ht="15.75" customHeight="1">
      <c r="C255" s="60"/>
    </row>
    <row r="256" spans="3:3" ht="15.75" customHeight="1">
      <c r="C256" s="60"/>
    </row>
    <row r="257" spans="3:3" ht="15.75" customHeight="1">
      <c r="C257" s="60"/>
    </row>
    <row r="258" spans="3:3" ht="15.75" customHeight="1">
      <c r="C258" s="60"/>
    </row>
    <row r="259" spans="3:3" ht="15.75" customHeight="1">
      <c r="C259" s="60"/>
    </row>
    <row r="260" spans="3:3" ht="15.75" customHeight="1">
      <c r="C260" s="60"/>
    </row>
    <row r="261" spans="3:3" ht="15.75" customHeight="1">
      <c r="C261" s="60"/>
    </row>
    <row r="262" spans="3:3" ht="15.75" customHeight="1">
      <c r="C262" s="60"/>
    </row>
    <row r="263" spans="3:3" ht="15.75" customHeight="1">
      <c r="C263" s="60"/>
    </row>
    <row r="264" spans="3:3" ht="15.75" customHeight="1">
      <c r="C264" s="60"/>
    </row>
    <row r="265" spans="3:3" ht="15.75" customHeight="1">
      <c r="C265" s="60"/>
    </row>
    <row r="266" spans="3:3" ht="15.75" customHeight="1">
      <c r="C266" s="60"/>
    </row>
    <row r="267" spans="3:3" ht="15.75" customHeight="1">
      <c r="C267" s="60"/>
    </row>
    <row r="268" spans="3:3" ht="15.75" customHeight="1">
      <c r="C268" s="60"/>
    </row>
    <row r="269" spans="3:3" ht="15.75" customHeight="1">
      <c r="C269" s="60"/>
    </row>
    <row r="270" spans="3:3" ht="15.75" customHeight="1">
      <c r="C270" s="60"/>
    </row>
    <row r="271" spans="3:3" ht="15.75" customHeight="1">
      <c r="C271" s="60"/>
    </row>
    <row r="272" spans="3:3" ht="15.75" customHeight="1">
      <c r="C272" s="60"/>
    </row>
    <row r="273" spans="3:3" ht="15.75" customHeight="1">
      <c r="C273" s="60"/>
    </row>
    <row r="274" spans="3:3" ht="15.75" customHeight="1">
      <c r="C274" s="60"/>
    </row>
    <row r="275" spans="3:3" ht="15.75" customHeight="1">
      <c r="C275" s="60"/>
    </row>
    <row r="276" spans="3:3" ht="15.75" customHeight="1">
      <c r="C276" s="60"/>
    </row>
    <row r="277" spans="3:3" ht="15.75" customHeight="1">
      <c r="C277" s="60"/>
    </row>
    <row r="278" spans="3:3" ht="15.75" customHeight="1">
      <c r="C278" s="60"/>
    </row>
    <row r="279" spans="3:3" ht="15.75" customHeight="1">
      <c r="C279" s="60"/>
    </row>
    <row r="280" spans="3:3" ht="15.75" customHeight="1">
      <c r="C280" s="60"/>
    </row>
    <row r="281" spans="3:3" ht="15.75" customHeight="1">
      <c r="C281" s="60"/>
    </row>
    <row r="282" spans="3:3" ht="15.75" customHeight="1">
      <c r="C282" s="60"/>
    </row>
    <row r="283" spans="3:3" ht="15.75" customHeight="1">
      <c r="C283" s="60"/>
    </row>
    <row r="284" spans="3:3" ht="15.75" customHeight="1">
      <c r="C284" s="60"/>
    </row>
    <row r="285" spans="3:3" ht="15.75" customHeight="1">
      <c r="C285" s="60"/>
    </row>
    <row r="286" spans="3:3" ht="15.75" customHeight="1">
      <c r="C286" s="60"/>
    </row>
    <row r="287" spans="3:3" ht="15.75" customHeight="1">
      <c r="C287" s="60"/>
    </row>
    <row r="288" spans="3:3" ht="15.75" customHeight="1">
      <c r="C288" s="60"/>
    </row>
    <row r="289" spans="3:3" ht="15.75" customHeight="1">
      <c r="C289" s="60"/>
    </row>
    <row r="290" spans="3:3" ht="15.75" customHeight="1">
      <c r="C290" s="60"/>
    </row>
    <row r="291" spans="3:3" ht="15.75" customHeight="1">
      <c r="C291" s="60"/>
    </row>
    <row r="292" spans="3:3" ht="15.75" customHeight="1">
      <c r="C292" s="60"/>
    </row>
    <row r="293" spans="3:3" ht="15.75" customHeight="1">
      <c r="C293" s="60"/>
    </row>
    <row r="294" spans="3:3" ht="15.75" customHeight="1">
      <c r="C294" s="60"/>
    </row>
    <row r="295" spans="3:3" ht="15.75" customHeight="1">
      <c r="C295" s="60"/>
    </row>
    <row r="296" spans="3:3" ht="15.75" customHeight="1">
      <c r="C296" s="60"/>
    </row>
    <row r="297" spans="3:3" ht="15.75" customHeight="1">
      <c r="C297" s="60"/>
    </row>
    <row r="298" spans="3:3" ht="15.75" customHeight="1">
      <c r="C298" s="60"/>
    </row>
    <row r="299" spans="3:3" ht="15.75" customHeight="1">
      <c r="C299" s="60"/>
    </row>
    <row r="300" spans="3:3" ht="15.75" customHeight="1">
      <c r="C300" s="60"/>
    </row>
    <row r="301" spans="3:3" ht="15.75" customHeight="1">
      <c r="C301" s="60"/>
    </row>
    <row r="302" spans="3:3" ht="15.75" customHeight="1">
      <c r="C302" s="60"/>
    </row>
    <row r="303" spans="3:3" ht="15.75" customHeight="1">
      <c r="C303" s="60"/>
    </row>
    <row r="304" spans="3:3" ht="15.75" customHeight="1">
      <c r="C304" s="60"/>
    </row>
    <row r="305" spans="3:3" ht="15.75" customHeight="1">
      <c r="C305" s="60"/>
    </row>
    <row r="306" spans="3:3" ht="15.75" customHeight="1">
      <c r="C306" s="60"/>
    </row>
    <row r="307" spans="3:3" ht="15.75" customHeight="1">
      <c r="C307" s="60"/>
    </row>
    <row r="308" spans="3:3" ht="15.75" customHeight="1">
      <c r="C308" s="60"/>
    </row>
    <row r="309" spans="3:3" ht="15.75" customHeight="1">
      <c r="C309" s="60"/>
    </row>
    <row r="310" spans="3:3" ht="15.75" customHeight="1">
      <c r="C310" s="60"/>
    </row>
    <row r="311" spans="3:3" ht="15.75" customHeight="1">
      <c r="C311" s="60"/>
    </row>
    <row r="312" spans="3:3" ht="15.75" customHeight="1">
      <c r="C312" s="60"/>
    </row>
    <row r="313" spans="3:3" ht="15.75" customHeight="1">
      <c r="C313" s="60"/>
    </row>
    <row r="314" spans="3:3" ht="15.75" customHeight="1">
      <c r="C314" s="60"/>
    </row>
    <row r="315" spans="3:3" ht="15.75" customHeight="1">
      <c r="C315" s="60"/>
    </row>
    <row r="316" spans="3:3" ht="15.75" customHeight="1">
      <c r="C316" s="60"/>
    </row>
    <row r="317" spans="3:3" ht="15.75" customHeight="1">
      <c r="C317" s="60"/>
    </row>
    <row r="318" spans="3:3" ht="15.75" customHeight="1">
      <c r="C318" s="60"/>
    </row>
    <row r="319" spans="3:3" ht="15.75" customHeight="1">
      <c r="C319" s="60"/>
    </row>
    <row r="320" spans="3:3" ht="15.75" customHeight="1">
      <c r="C320" s="60"/>
    </row>
    <row r="321" spans="3:3" ht="15.75" customHeight="1">
      <c r="C321" s="60"/>
    </row>
    <row r="322" spans="3:3" ht="15.75" customHeight="1">
      <c r="C322" s="60"/>
    </row>
    <row r="323" spans="3:3" ht="15.75" customHeight="1">
      <c r="C323" s="60"/>
    </row>
    <row r="324" spans="3:3" ht="15.75" customHeight="1">
      <c r="C324" s="60"/>
    </row>
    <row r="325" spans="3:3" ht="15.75" customHeight="1">
      <c r="C325" s="60"/>
    </row>
    <row r="326" spans="3:3" ht="15.75" customHeight="1">
      <c r="C326" s="60"/>
    </row>
    <row r="327" spans="3:3" ht="15.75" customHeight="1">
      <c r="C327" s="60"/>
    </row>
    <row r="328" spans="3:3" ht="15.75" customHeight="1">
      <c r="C328" s="60"/>
    </row>
    <row r="329" spans="3:3" ht="15.75" customHeight="1">
      <c r="C329" s="60"/>
    </row>
    <row r="330" spans="3:3" ht="15.75" customHeight="1">
      <c r="C330" s="60"/>
    </row>
    <row r="331" spans="3:3" ht="15.75" customHeight="1">
      <c r="C331" s="60"/>
    </row>
    <row r="332" spans="3:3" ht="15.75" customHeight="1">
      <c r="C332" s="60"/>
    </row>
    <row r="333" spans="3:3" ht="15.75" customHeight="1">
      <c r="C333" s="60"/>
    </row>
    <row r="334" spans="3:3" ht="15.75" customHeight="1">
      <c r="C334" s="60"/>
    </row>
    <row r="335" spans="3:3" ht="15.75" customHeight="1">
      <c r="C335" s="60"/>
    </row>
    <row r="336" spans="3:3" ht="15.75" customHeight="1">
      <c r="C336" s="60"/>
    </row>
    <row r="337" spans="3:3" ht="15.75" customHeight="1">
      <c r="C337" s="60"/>
    </row>
    <row r="338" spans="3:3" ht="15.75" customHeight="1">
      <c r="C338" s="60"/>
    </row>
    <row r="339" spans="3:3" ht="15.75" customHeight="1">
      <c r="C339" s="60"/>
    </row>
    <row r="340" spans="3:3" ht="15.75" customHeight="1">
      <c r="C340" s="60"/>
    </row>
    <row r="341" spans="3:3" ht="15.75" customHeight="1">
      <c r="C341" s="60"/>
    </row>
    <row r="342" spans="3:3" ht="15.75" customHeight="1">
      <c r="C342" s="60"/>
    </row>
    <row r="343" spans="3:3" ht="15.75" customHeight="1">
      <c r="C343" s="60"/>
    </row>
    <row r="344" spans="3:3" ht="15.75" customHeight="1">
      <c r="C344" s="60"/>
    </row>
    <row r="345" spans="3:3" ht="15.75" customHeight="1">
      <c r="C345" s="60"/>
    </row>
    <row r="346" spans="3:3" ht="15.75" customHeight="1">
      <c r="C346" s="60"/>
    </row>
    <row r="347" spans="3:3" ht="15.75" customHeight="1">
      <c r="C347" s="60"/>
    </row>
    <row r="348" spans="3:3" ht="15.75" customHeight="1">
      <c r="C348" s="60"/>
    </row>
    <row r="349" spans="3:3" ht="15.75" customHeight="1">
      <c r="C349" s="60"/>
    </row>
    <row r="350" spans="3:3" ht="15.75" customHeight="1">
      <c r="C350" s="60"/>
    </row>
    <row r="351" spans="3:3" ht="15.75" customHeight="1">
      <c r="C351" s="60"/>
    </row>
    <row r="352" spans="3:3" ht="15.75" customHeight="1">
      <c r="C352" s="60"/>
    </row>
    <row r="353" spans="3:3" ht="15.75" customHeight="1">
      <c r="C353" s="60"/>
    </row>
    <row r="354" spans="3:3" ht="15.75" customHeight="1">
      <c r="C354" s="60"/>
    </row>
    <row r="355" spans="3:3" ht="15.75" customHeight="1">
      <c r="C355" s="60"/>
    </row>
    <row r="356" spans="3:3" ht="15.75" customHeight="1">
      <c r="C356" s="60"/>
    </row>
    <row r="357" spans="3:3" ht="15.75" customHeight="1">
      <c r="C357" s="60"/>
    </row>
    <row r="358" spans="3:3" ht="15.75" customHeight="1">
      <c r="C358" s="60"/>
    </row>
    <row r="359" spans="3:3" ht="15.75" customHeight="1">
      <c r="C359" s="60"/>
    </row>
    <row r="360" spans="3:3" ht="15.75" customHeight="1">
      <c r="C360" s="60"/>
    </row>
    <row r="361" spans="3:3" ht="15.75" customHeight="1">
      <c r="C361" s="60"/>
    </row>
    <row r="362" spans="3:3" ht="15.75" customHeight="1">
      <c r="C362" s="60"/>
    </row>
    <row r="363" spans="3:3" ht="15.75" customHeight="1">
      <c r="C363" s="60"/>
    </row>
    <row r="364" spans="3:3" ht="15.75" customHeight="1">
      <c r="C364" s="60"/>
    </row>
    <row r="365" spans="3:3" ht="15.75" customHeight="1">
      <c r="C365" s="60"/>
    </row>
    <row r="366" spans="3:3" ht="15.75" customHeight="1">
      <c r="C366" s="60"/>
    </row>
    <row r="367" spans="3:3" ht="15.75" customHeight="1">
      <c r="C367" s="60"/>
    </row>
    <row r="368" spans="3:3" ht="15.75" customHeight="1">
      <c r="C368" s="60"/>
    </row>
    <row r="369" spans="3:3" ht="15.75" customHeight="1">
      <c r="C369" s="60"/>
    </row>
    <row r="370" spans="3:3" ht="15.75" customHeight="1">
      <c r="C370" s="60"/>
    </row>
    <row r="371" spans="3:3" ht="15.75" customHeight="1">
      <c r="C371" s="60"/>
    </row>
    <row r="372" spans="3:3" ht="15.75" customHeight="1">
      <c r="C372" s="60"/>
    </row>
    <row r="373" spans="3:3" ht="15.75" customHeight="1">
      <c r="C373" s="60"/>
    </row>
    <row r="374" spans="3:3" ht="15.75" customHeight="1">
      <c r="C374" s="60"/>
    </row>
    <row r="375" spans="3:3" ht="15.75" customHeight="1">
      <c r="C375" s="60"/>
    </row>
    <row r="376" spans="3:3" ht="15.75" customHeight="1">
      <c r="C376" s="60"/>
    </row>
    <row r="377" spans="3:3" ht="15.75" customHeight="1">
      <c r="C377" s="60"/>
    </row>
    <row r="378" spans="3:3" ht="15.75" customHeight="1">
      <c r="C378" s="60"/>
    </row>
    <row r="379" spans="3:3" ht="15.75" customHeight="1">
      <c r="C379" s="60"/>
    </row>
    <row r="380" spans="3:3" ht="15.75" customHeight="1">
      <c r="C380" s="60"/>
    </row>
    <row r="381" spans="3:3" ht="15.75" customHeight="1">
      <c r="C381" s="60"/>
    </row>
    <row r="382" spans="3:3" ht="15.75" customHeight="1">
      <c r="C382" s="60"/>
    </row>
    <row r="383" spans="3:3" ht="15.75" customHeight="1">
      <c r="C383" s="60"/>
    </row>
    <row r="384" spans="3:3" ht="15.75" customHeight="1">
      <c r="C384" s="60"/>
    </row>
    <row r="385" spans="3:3" ht="15.75" customHeight="1">
      <c r="C385" s="60"/>
    </row>
    <row r="386" spans="3:3" ht="15.75" customHeight="1">
      <c r="C386" s="60"/>
    </row>
    <row r="387" spans="3:3" ht="15.75" customHeight="1">
      <c r="C387" s="60"/>
    </row>
    <row r="388" spans="3:3" ht="15.75" customHeight="1">
      <c r="C388" s="60"/>
    </row>
    <row r="389" spans="3:3" ht="15.75" customHeight="1">
      <c r="C389" s="60"/>
    </row>
    <row r="390" spans="3:3" ht="15.75" customHeight="1">
      <c r="C390" s="60"/>
    </row>
    <row r="391" spans="3:3" ht="15.75" customHeight="1">
      <c r="C391" s="60"/>
    </row>
    <row r="392" spans="3:3" ht="15.75" customHeight="1">
      <c r="C392" s="60"/>
    </row>
    <row r="393" spans="3:3" ht="15.75" customHeight="1">
      <c r="C393" s="60"/>
    </row>
    <row r="394" spans="3:3" ht="15.75" customHeight="1">
      <c r="C394" s="60"/>
    </row>
    <row r="395" spans="3:3" ht="15.75" customHeight="1">
      <c r="C395" s="60"/>
    </row>
    <row r="396" spans="3:3" ht="15.75" customHeight="1">
      <c r="C396" s="60"/>
    </row>
    <row r="397" spans="3:3" ht="15.75" customHeight="1">
      <c r="C397" s="60"/>
    </row>
    <row r="398" spans="3:3" ht="15.75" customHeight="1">
      <c r="C398" s="60"/>
    </row>
    <row r="399" spans="3:3" ht="15.75" customHeight="1">
      <c r="C399" s="60"/>
    </row>
    <row r="400" spans="3:3" ht="15.75" customHeight="1">
      <c r="C400" s="60"/>
    </row>
    <row r="401" spans="3:3" ht="15.75" customHeight="1">
      <c r="C401" s="60"/>
    </row>
    <row r="402" spans="3:3" ht="15.75" customHeight="1">
      <c r="C402" s="60"/>
    </row>
    <row r="403" spans="3:3" ht="15.75" customHeight="1">
      <c r="C403" s="60"/>
    </row>
    <row r="404" spans="3:3" ht="15.75" customHeight="1">
      <c r="C404" s="60"/>
    </row>
    <row r="405" spans="3:3" ht="15.75" customHeight="1">
      <c r="C405" s="60"/>
    </row>
    <row r="406" spans="3:3" ht="15.75" customHeight="1">
      <c r="C406" s="60"/>
    </row>
    <row r="407" spans="3:3" ht="15.75" customHeight="1">
      <c r="C407" s="60"/>
    </row>
    <row r="408" spans="3:3" ht="15.75" customHeight="1">
      <c r="C408" s="60"/>
    </row>
    <row r="409" spans="3:3" ht="15.75" customHeight="1">
      <c r="C409" s="60"/>
    </row>
    <row r="410" spans="3:3" ht="15.75" customHeight="1">
      <c r="C410" s="60"/>
    </row>
    <row r="411" spans="3:3" ht="15.75" customHeight="1">
      <c r="C411" s="60"/>
    </row>
    <row r="412" spans="3:3" ht="15.75" customHeight="1">
      <c r="C412" s="60"/>
    </row>
    <row r="413" spans="3:3" ht="15.75" customHeight="1">
      <c r="C413" s="60"/>
    </row>
    <row r="414" spans="3:3" ht="15.75" customHeight="1">
      <c r="C414" s="60"/>
    </row>
    <row r="415" spans="3:3" ht="15.75" customHeight="1">
      <c r="C415" s="60"/>
    </row>
    <row r="416" spans="3:3" ht="15.75" customHeight="1">
      <c r="C416" s="60"/>
    </row>
    <row r="417" spans="3:3" ht="15.75" customHeight="1">
      <c r="C417" s="60"/>
    </row>
    <row r="418" spans="3:3" ht="15.75" customHeight="1">
      <c r="C418" s="60"/>
    </row>
    <row r="419" spans="3:3" ht="15.75" customHeight="1">
      <c r="C419" s="60"/>
    </row>
    <row r="420" spans="3:3" ht="15.75" customHeight="1">
      <c r="C420" s="60"/>
    </row>
    <row r="421" spans="3:3" ht="15.75" customHeight="1">
      <c r="C421" s="60"/>
    </row>
    <row r="422" spans="3:3" ht="15.75" customHeight="1">
      <c r="C422" s="60"/>
    </row>
    <row r="423" spans="3:3" ht="15.75" customHeight="1">
      <c r="C423" s="60"/>
    </row>
    <row r="424" spans="3:3" ht="15.75" customHeight="1">
      <c r="C424" s="60"/>
    </row>
    <row r="425" spans="3:3" ht="15.75" customHeight="1">
      <c r="C425" s="60"/>
    </row>
    <row r="426" spans="3:3" ht="15.75" customHeight="1">
      <c r="C426" s="60"/>
    </row>
    <row r="427" spans="3:3" ht="15.75" customHeight="1">
      <c r="C427" s="60"/>
    </row>
    <row r="428" spans="3:3" ht="15.75" customHeight="1">
      <c r="C428" s="60"/>
    </row>
    <row r="429" spans="3:3" ht="15.75" customHeight="1">
      <c r="C429" s="60"/>
    </row>
    <row r="430" spans="3:3" ht="15.75" customHeight="1">
      <c r="C430" s="60"/>
    </row>
    <row r="431" spans="3:3" ht="15.75" customHeight="1">
      <c r="C431" s="60"/>
    </row>
    <row r="432" spans="3:3" ht="15.75" customHeight="1">
      <c r="C432" s="60"/>
    </row>
    <row r="433" spans="3:3" ht="15.75" customHeight="1">
      <c r="C433" s="60"/>
    </row>
    <row r="434" spans="3:3" ht="15.75" customHeight="1">
      <c r="C434" s="60"/>
    </row>
    <row r="435" spans="3:3" ht="15.75" customHeight="1">
      <c r="C435" s="60"/>
    </row>
    <row r="436" spans="3:3" ht="15.75" customHeight="1">
      <c r="C436" s="60"/>
    </row>
    <row r="437" spans="3:3" ht="15.75" customHeight="1">
      <c r="C437" s="60"/>
    </row>
    <row r="438" spans="3:3" ht="15.75" customHeight="1">
      <c r="C438" s="60"/>
    </row>
    <row r="439" spans="3:3" ht="15.75" customHeight="1">
      <c r="C439" s="60"/>
    </row>
    <row r="440" spans="3:3" ht="15.75" customHeight="1">
      <c r="C440" s="60"/>
    </row>
    <row r="441" spans="3:3" ht="15.75" customHeight="1">
      <c r="C441" s="60"/>
    </row>
    <row r="442" spans="3:3" ht="15.75" customHeight="1">
      <c r="C442" s="60"/>
    </row>
    <row r="443" spans="3:3" ht="15.75" customHeight="1">
      <c r="C443" s="60"/>
    </row>
    <row r="444" spans="3:3" ht="15.75" customHeight="1">
      <c r="C444" s="60"/>
    </row>
    <row r="445" spans="3:3" ht="15.75" customHeight="1">
      <c r="C445" s="60"/>
    </row>
    <row r="446" spans="3:3" ht="15.75" customHeight="1">
      <c r="C446" s="60"/>
    </row>
    <row r="447" spans="3:3" ht="15.75" customHeight="1">
      <c r="C447" s="60"/>
    </row>
    <row r="448" spans="3:3" ht="15.75" customHeight="1">
      <c r="C448" s="60"/>
    </row>
    <row r="449" spans="3:3" ht="15.75" customHeight="1">
      <c r="C449" s="60"/>
    </row>
    <row r="450" spans="3:3" ht="15.75" customHeight="1">
      <c r="C450" s="60"/>
    </row>
    <row r="451" spans="3:3" ht="15.75" customHeight="1">
      <c r="C451" s="60"/>
    </row>
    <row r="452" spans="3:3" ht="15.75" customHeight="1">
      <c r="C452" s="60"/>
    </row>
    <row r="453" spans="3:3" ht="15.75" customHeight="1">
      <c r="C453" s="60"/>
    </row>
    <row r="454" spans="3:3" ht="15.75" customHeight="1">
      <c r="C454" s="60"/>
    </row>
    <row r="455" spans="3:3" ht="15.75" customHeight="1">
      <c r="C455" s="60"/>
    </row>
    <row r="456" spans="3:3" ht="15.75" customHeight="1">
      <c r="C456" s="60"/>
    </row>
    <row r="457" spans="3:3" ht="15.75" customHeight="1">
      <c r="C457" s="60"/>
    </row>
    <row r="458" spans="3:3" ht="15.75" customHeight="1">
      <c r="C458" s="60"/>
    </row>
    <row r="459" spans="3:3" ht="15.75" customHeight="1">
      <c r="C459" s="60"/>
    </row>
    <row r="460" spans="3:3" ht="15.75" customHeight="1">
      <c r="C460" s="60"/>
    </row>
    <row r="461" spans="3:3" ht="15.75" customHeight="1">
      <c r="C461" s="60"/>
    </row>
    <row r="462" spans="3:3" ht="15.75" customHeight="1">
      <c r="C462" s="60"/>
    </row>
    <row r="463" spans="3:3" ht="15.75" customHeight="1">
      <c r="C463" s="60"/>
    </row>
    <row r="464" spans="3:3" ht="15.75" customHeight="1">
      <c r="C464" s="60"/>
    </row>
    <row r="465" spans="3:3" ht="15.75" customHeight="1">
      <c r="C465" s="60"/>
    </row>
    <row r="466" spans="3:3" ht="15.75" customHeight="1">
      <c r="C466" s="60"/>
    </row>
    <row r="467" spans="3:3" ht="15.75" customHeight="1">
      <c r="C467" s="60"/>
    </row>
    <row r="468" spans="3:3" ht="15.75" customHeight="1">
      <c r="C468" s="60"/>
    </row>
    <row r="469" spans="3:3" ht="15.75" customHeight="1">
      <c r="C469" s="60"/>
    </row>
    <row r="470" spans="3:3" ht="15.75" customHeight="1">
      <c r="C470" s="60"/>
    </row>
    <row r="471" spans="3:3" ht="15.75" customHeight="1">
      <c r="C471" s="60"/>
    </row>
    <row r="472" spans="3:3" ht="15.75" customHeight="1">
      <c r="C472" s="60"/>
    </row>
    <row r="473" spans="3:3" ht="15.75" customHeight="1">
      <c r="C473" s="60"/>
    </row>
    <row r="474" spans="3:3" ht="15.75" customHeight="1">
      <c r="C474" s="60"/>
    </row>
    <row r="475" spans="3:3" ht="15.75" customHeight="1">
      <c r="C475" s="60"/>
    </row>
    <row r="476" spans="3:3" ht="15.75" customHeight="1">
      <c r="C476" s="60"/>
    </row>
    <row r="477" spans="3:3" ht="15.75" customHeight="1">
      <c r="C477" s="60"/>
    </row>
    <row r="478" spans="3:3" ht="15.75" customHeight="1">
      <c r="C478" s="60"/>
    </row>
    <row r="479" spans="3:3" ht="15.75" customHeight="1">
      <c r="C479" s="60"/>
    </row>
    <row r="480" spans="3:3" ht="15.75" customHeight="1">
      <c r="C480" s="60"/>
    </row>
    <row r="481" spans="3:3" ht="15.75" customHeight="1">
      <c r="C481" s="60"/>
    </row>
    <row r="482" spans="3:3" ht="15.75" customHeight="1">
      <c r="C482" s="60"/>
    </row>
    <row r="483" spans="3:3" ht="15.75" customHeight="1">
      <c r="C483" s="60"/>
    </row>
    <row r="484" spans="3:3" ht="15.75" customHeight="1">
      <c r="C484" s="60"/>
    </row>
    <row r="485" spans="3:3" ht="15.75" customHeight="1">
      <c r="C485" s="60"/>
    </row>
    <row r="486" spans="3:3" ht="15.75" customHeight="1">
      <c r="C486" s="60"/>
    </row>
    <row r="487" spans="3:3" ht="15.75" customHeight="1">
      <c r="C487" s="60"/>
    </row>
    <row r="488" spans="3:3" ht="15.75" customHeight="1">
      <c r="C488" s="60"/>
    </row>
    <row r="489" spans="3:3" ht="15.75" customHeight="1">
      <c r="C489" s="60"/>
    </row>
    <row r="490" spans="3:3" ht="15.75" customHeight="1">
      <c r="C490" s="60"/>
    </row>
    <row r="491" spans="3:3" ht="15.75" customHeight="1">
      <c r="C491" s="60"/>
    </row>
    <row r="492" spans="3:3" ht="15.75" customHeight="1">
      <c r="C492" s="60"/>
    </row>
    <row r="493" spans="3:3" ht="15.75" customHeight="1">
      <c r="C493" s="60"/>
    </row>
    <row r="494" spans="3:3" ht="15.75" customHeight="1">
      <c r="C494" s="60"/>
    </row>
    <row r="495" spans="3:3" ht="15.75" customHeight="1">
      <c r="C495" s="60"/>
    </row>
    <row r="496" spans="3:3" ht="15.75" customHeight="1">
      <c r="C496" s="60"/>
    </row>
    <row r="497" spans="3:3" ht="15.75" customHeight="1">
      <c r="C497" s="60"/>
    </row>
    <row r="498" spans="3:3" ht="15.75" customHeight="1">
      <c r="C498" s="60"/>
    </row>
    <row r="499" spans="3:3" ht="15.75" customHeight="1">
      <c r="C499" s="60"/>
    </row>
    <row r="500" spans="3:3" ht="15.75" customHeight="1">
      <c r="C500" s="60"/>
    </row>
    <row r="501" spans="3:3" ht="15.75" customHeight="1">
      <c r="C501" s="60"/>
    </row>
    <row r="502" spans="3:3" ht="15.75" customHeight="1">
      <c r="C502" s="60"/>
    </row>
    <row r="503" spans="3:3" ht="15.75" customHeight="1">
      <c r="C503" s="60"/>
    </row>
    <row r="504" spans="3:3" ht="15.75" customHeight="1">
      <c r="C504" s="60"/>
    </row>
    <row r="505" spans="3:3" ht="15.75" customHeight="1">
      <c r="C505" s="60"/>
    </row>
    <row r="506" spans="3:3" ht="15.75" customHeight="1">
      <c r="C506" s="60"/>
    </row>
    <row r="507" spans="3:3" ht="15.75" customHeight="1">
      <c r="C507" s="60"/>
    </row>
    <row r="508" spans="3:3" ht="15.75" customHeight="1">
      <c r="C508" s="60"/>
    </row>
    <row r="509" spans="3:3" ht="15.75" customHeight="1">
      <c r="C509" s="60"/>
    </row>
    <row r="510" spans="3:3" ht="15.75" customHeight="1">
      <c r="C510" s="60"/>
    </row>
    <row r="511" spans="3:3" ht="15.75" customHeight="1">
      <c r="C511" s="60"/>
    </row>
    <row r="512" spans="3:3" ht="15.75" customHeight="1">
      <c r="C512" s="60"/>
    </row>
    <row r="513" spans="3:3" ht="15.75" customHeight="1">
      <c r="C513" s="60"/>
    </row>
    <row r="514" spans="3:3" ht="15.75" customHeight="1">
      <c r="C514" s="60"/>
    </row>
    <row r="515" spans="3:3" ht="15.75" customHeight="1">
      <c r="C515" s="60"/>
    </row>
    <row r="516" spans="3:3" ht="15.75" customHeight="1">
      <c r="C516" s="60"/>
    </row>
    <row r="517" spans="3:3" ht="15.75" customHeight="1">
      <c r="C517" s="60"/>
    </row>
    <row r="518" spans="3:3" ht="15.75" customHeight="1">
      <c r="C518" s="60"/>
    </row>
    <row r="519" spans="3:3" ht="15.75" customHeight="1">
      <c r="C519" s="60"/>
    </row>
    <row r="520" spans="3:3" ht="15.75" customHeight="1">
      <c r="C520" s="60"/>
    </row>
    <row r="521" spans="3:3" ht="15.75" customHeight="1">
      <c r="C521" s="60"/>
    </row>
    <row r="522" spans="3:3" ht="15.75" customHeight="1">
      <c r="C522" s="60"/>
    </row>
    <row r="523" spans="3:3" ht="15.75" customHeight="1">
      <c r="C523" s="60"/>
    </row>
    <row r="524" spans="3:3" ht="15.75" customHeight="1">
      <c r="C524" s="60"/>
    </row>
    <row r="525" spans="3:3" ht="15.75" customHeight="1">
      <c r="C525" s="60"/>
    </row>
    <row r="526" spans="3:3" ht="15.75" customHeight="1">
      <c r="C526" s="60"/>
    </row>
    <row r="527" spans="3:3" ht="15.75" customHeight="1">
      <c r="C527" s="60"/>
    </row>
    <row r="528" spans="3:3" ht="15.75" customHeight="1">
      <c r="C528" s="60"/>
    </row>
    <row r="529" spans="3:3" ht="15.75" customHeight="1">
      <c r="C529" s="60"/>
    </row>
    <row r="530" spans="3:3" ht="15.75" customHeight="1">
      <c r="C530" s="60"/>
    </row>
    <row r="531" spans="3:3" ht="15.75" customHeight="1">
      <c r="C531" s="60"/>
    </row>
    <row r="532" spans="3:3" ht="15.75" customHeight="1">
      <c r="C532" s="60"/>
    </row>
    <row r="533" spans="3:3" ht="15.75" customHeight="1">
      <c r="C533" s="60"/>
    </row>
    <row r="534" spans="3:3" ht="15.75" customHeight="1">
      <c r="C534" s="60"/>
    </row>
    <row r="535" spans="3:3" ht="15.75" customHeight="1">
      <c r="C535" s="60"/>
    </row>
    <row r="536" spans="3:3" ht="15.75" customHeight="1">
      <c r="C536" s="60"/>
    </row>
    <row r="537" spans="3:3" ht="15.75" customHeight="1">
      <c r="C537" s="60"/>
    </row>
    <row r="538" spans="3:3" ht="15.75" customHeight="1">
      <c r="C538" s="60"/>
    </row>
    <row r="539" spans="3:3" ht="15.75" customHeight="1">
      <c r="C539" s="60"/>
    </row>
    <row r="540" spans="3:3" ht="15.75" customHeight="1">
      <c r="C540" s="60"/>
    </row>
    <row r="541" spans="3:3" ht="15.75" customHeight="1">
      <c r="C541" s="60"/>
    </row>
    <row r="542" spans="3:3" ht="15.75" customHeight="1">
      <c r="C542" s="60"/>
    </row>
    <row r="543" spans="3:3" ht="15.75" customHeight="1">
      <c r="C543" s="60"/>
    </row>
    <row r="544" spans="3:3" ht="15.75" customHeight="1">
      <c r="C544" s="60"/>
    </row>
    <row r="545" spans="3:3" ht="15.75" customHeight="1">
      <c r="C545" s="60"/>
    </row>
    <row r="546" spans="3:3" ht="15.75" customHeight="1">
      <c r="C546" s="60"/>
    </row>
    <row r="547" spans="3:3" ht="15.75" customHeight="1">
      <c r="C547" s="60"/>
    </row>
    <row r="548" spans="3:3" ht="15.75" customHeight="1">
      <c r="C548" s="60"/>
    </row>
    <row r="549" spans="3:3" ht="15.75" customHeight="1">
      <c r="C549" s="60"/>
    </row>
    <row r="550" spans="3:3" ht="15.75" customHeight="1">
      <c r="C550" s="60"/>
    </row>
    <row r="551" spans="3:3" ht="15.75" customHeight="1">
      <c r="C551" s="60"/>
    </row>
    <row r="552" spans="3:3" ht="15.75" customHeight="1">
      <c r="C552" s="60"/>
    </row>
    <row r="553" spans="3:3" ht="15.75" customHeight="1">
      <c r="C553" s="60"/>
    </row>
    <row r="554" spans="3:3" ht="15.75" customHeight="1">
      <c r="C554" s="60"/>
    </row>
    <row r="555" spans="3:3" ht="15.75" customHeight="1">
      <c r="C555" s="60"/>
    </row>
    <row r="556" spans="3:3" ht="15.75" customHeight="1">
      <c r="C556" s="60"/>
    </row>
    <row r="557" spans="3:3" ht="15.75" customHeight="1">
      <c r="C557" s="60"/>
    </row>
    <row r="558" spans="3:3" ht="15.75" customHeight="1">
      <c r="C558" s="60"/>
    </row>
    <row r="559" spans="3:3" ht="15.75" customHeight="1">
      <c r="C559" s="60"/>
    </row>
    <row r="560" spans="3:3" ht="15.75" customHeight="1">
      <c r="C560" s="60"/>
    </row>
    <row r="561" spans="3:3" ht="15.75" customHeight="1">
      <c r="C561" s="60"/>
    </row>
    <row r="562" spans="3:3" ht="15.75" customHeight="1">
      <c r="C562" s="60"/>
    </row>
    <row r="563" spans="3:3" ht="15.75" customHeight="1">
      <c r="C563" s="60"/>
    </row>
    <row r="564" spans="3:3" ht="15.75" customHeight="1">
      <c r="C564" s="60"/>
    </row>
    <row r="565" spans="3:3" ht="15.75" customHeight="1">
      <c r="C565" s="60"/>
    </row>
    <row r="566" spans="3:3" ht="15.75" customHeight="1">
      <c r="C566" s="60"/>
    </row>
    <row r="567" spans="3:3" ht="15.75" customHeight="1">
      <c r="C567" s="60"/>
    </row>
    <row r="568" spans="3:3" ht="15.75" customHeight="1">
      <c r="C568" s="60"/>
    </row>
    <row r="569" spans="3:3" ht="15.75" customHeight="1">
      <c r="C569" s="60"/>
    </row>
    <row r="570" spans="3:3" ht="15.75" customHeight="1">
      <c r="C570" s="60"/>
    </row>
    <row r="571" spans="3:3" ht="15.75" customHeight="1">
      <c r="C571" s="60"/>
    </row>
    <row r="572" spans="3:3" ht="15.75" customHeight="1">
      <c r="C572" s="60"/>
    </row>
    <row r="573" spans="3:3" ht="15.75" customHeight="1">
      <c r="C573" s="60"/>
    </row>
    <row r="574" spans="3:3" ht="15.75" customHeight="1">
      <c r="C574" s="60"/>
    </row>
    <row r="575" spans="3:3" ht="15.75" customHeight="1">
      <c r="C575" s="60"/>
    </row>
    <row r="576" spans="3:3" ht="15.75" customHeight="1">
      <c r="C576" s="60"/>
    </row>
    <row r="577" spans="3:3" ht="15.75" customHeight="1">
      <c r="C577" s="60"/>
    </row>
    <row r="578" spans="3:3" ht="15.75" customHeight="1">
      <c r="C578" s="60"/>
    </row>
    <row r="579" spans="3:3" ht="15.75" customHeight="1">
      <c r="C579" s="60"/>
    </row>
    <row r="580" spans="3:3" ht="15.75" customHeight="1">
      <c r="C580" s="60"/>
    </row>
    <row r="581" spans="3:3" ht="15.75" customHeight="1">
      <c r="C581" s="60"/>
    </row>
    <row r="582" spans="3:3" ht="15.75" customHeight="1">
      <c r="C582" s="60"/>
    </row>
    <row r="583" spans="3:3" ht="15.75" customHeight="1">
      <c r="C583" s="60"/>
    </row>
    <row r="584" spans="3:3" ht="15.75" customHeight="1">
      <c r="C584" s="60"/>
    </row>
    <row r="585" spans="3:3" ht="15.75" customHeight="1">
      <c r="C585" s="60"/>
    </row>
    <row r="586" spans="3:3" ht="15.75" customHeight="1">
      <c r="C586" s="60"/>
    </row>
    <row r="587" spans="3:3" ht="15.75" customHeight="1">
      <c r="C587" s="60"/>
    </row>
    <row r="588" spans="3:3" ht="15.75" customHeight="1">
      <c r="C588" s="60"/>
    </row>
    <row r="589" spans="3:3" ht="15.75" customHeight="1">
      <c r="C589" s="60"/>
    </row>
    <row r="590" spans="3:3" ht="15.75" customHeight="1">
      <c r="C590" s="60"/>
    </row>
    <row r="591" spans="3:3" ht="15.75" customHeight="1">
      <c r="C591" s="60"/>
    </row>
    <row r="592" spans="3:3" ht="15.75" customHeight="1">
      <c r="C592" s="60"/>
    </row>
    <row r="593" spans="3:3" ht="15.75" customHeight="1">
      <c r="C593" s="60"/>
    </row>
    <row r="594" spans="3:3" ht="15.75" customHeight="1">
      <c r="C594" s="60"/>
    </row>
    <row r="595" spans="3:3" ht="15.75" customHeight="1">
      <c r="C595" s="60"/>
    </row>
    <row r="596" spans="3:3" ht="15.75" customHeight="1">
      <c r="C596" s="60"/>
    </row>
    <row r="597" spans="3:3" ht="15.75" customHeight="1">
      <c r="C597" s="60"/>
    </row>
    <row r="598" spans="3:3" ht="15.75" customHeight="1">
      <c r="C598" s="60"/>
    </row>
    <row r="599" spans="3:3" ht="15.75" customHeight="1">
      <c r="C599" s="60"/>
    </row>
    <row r="600" spans="3:3" ht="15.75" customHeight="1">
      <c r="C600" s="60"/>
    </row>
    <row r="601" spans="3:3" ht="15.75" customHeight="1">
      <c r="C601" s="60"/>
    </row>
    <row r="602" spans="3:3" ht="15.75" customHeight="1">
      <c r="C602" s="60"/>
    </row>
    <row r="603" spans="3:3" ht="15.75" customHeight="1">
      <c r="C603" s="60"/>
    </row>
    <row r="604" spans="3:3" ht="15.75" customHeight="1">
      <c r="C604" s="60"/>
    </row>
    <row r="605" spans="3:3" ht="15.75" customHeight="1">
      <c r="C605" s="60"/>
    </row>
    <row r="606" spans="3:3" ht="15.75" customHeight="1">
      <c r="C606" s="60"/>
    </row>
    <row r="607" spans="3:3" ht="15.75" customHeight="1">
      <c r="C607" s="60"/>
    </row>
    <row r="608" spans="3:3" ht="15.75" customHeight="1">
      <c r="C608" s="60"/>
    </row>
    <row r="609" spans="3:3" ht="15.75" customHeight="1">
      <c r="C609" s="60"/>
    </row>
    <row r="610" spans="3:3" ht="15.75" customHeight="1">
      <c r="C610" s="60"/>
    </row>
    <row r="611" spans="3:3" ht="15.75" customHeight="1">
      <c r="C611" s="60"/>
    </row>
    <row r="612" spans="3:3" ht="15.75" customHeight="1">
      <c r="C612" s="60"/>
    </row>
    <row r="613" spans="3:3" ht="15.75" customHeight="1">
      <c r="C613" s="60"/>
    </row>
    <row r="614" spans="3:3" ht="15.75" customHeight="1">
      <c r="C614" s="60"/>
    </row>
    <row r="615" spans="3:3" ht="15.75" customHeight="1">
      <c r="C615" s="60"/>
    </row>
    <row r="616" spans="3:3" ht="15.75" customHeight="1">
      <c r="C616" s="60"/>
    </row>
    <row r="617" spans="3:3" ht="15.75" customHeight="1">
      <c r="C617" s="60"/>
    </row>
    <row r="618" spans="3:3" ht="15.75" customHeight="1">
      <c r="C618" s="60"/>
    </row>
    <row r="619" spans="3:3" ht="15.75" customHeight="1">
      <c r="C619" s="60"/>
    </row>
    <row r="620" spans="3:3" ht="15.75" customHeight="1">
      <c r="C620" s="60"/>
    </row>
    <row r="621" spans="3:3" ht="15.75" customHeight="1">
      <c r="C621" s="60"/>
    </row>
    <row r="622" spans="3:3" ht="15.75" customHeight="1">
      <c r="C622" s="60"/>
    </row>
    <row r="623" spans="3:3" ht="15.75" customHeight="1">
      <c r="C623" s="60"/>
    </row>
    <row r="624" spans="3:3" ht="15.75" customHeight="1">
      <c r="C624" s="60"/>
    </row>
    <row r="625" spans="3:3" ht="15.75" customHeight="1">
      <c r="C625" s="60"/>
    </row>
    <row r="626" spans="3:3" ht="15.75" customHeight="1">
      <c r="C626" s="60"/>
    </row>
    <row r="627" spans="3:3" ht="15.75" customHeight="1">
      <c r="C627" s="60"/>
    </row>
    <row r="628" spans="3:3" ht="15.75" customHeight="1">
      <c r="C628" s="60"/>
    </row>
    <row r="629" spans="3:3" ht="15.75" customHeight="1">
      <c r="C629" s="60"/>
    </row>
    <row r="630" spans="3:3" ht="15.75" customHeight="1">
      <c r="C630" s="60"/>
    </row>
    <row r="631" spans="3:3" ht="15.75" customHeight="1">
      <c r="C631" s="60"/>
    </row>
    <row r="632" spans="3:3" ht="15.75" customHeight="1">
      <c r="C632" s="60"/>
    </row>
    <row r="633" spans="3:3" ht="15.75" customHeight="1">
      <c r="C633" s="60"/>
    </row>
    <row r="634" spans="3:3" ht="15.75" customHeight="1">
      <c r="C634" s="60"/>
    </row>
    <row r="635" spans="3:3" ht="15.75" customHeight="1">
      <c r="C635" s="60"/>
    </row>
    <row r="636" spans="3:3" ht="15.75" customHeight="1">
      <c r="C636" s="60"/>
    </row>
    <row r="637" spans="3:3" ht="15.75" customHeight="1">
      <c r="C637" s="60"/>
    </row>
    <row r="638" spans="3:3" ht="15.75" customHeight="1">
      <c r="C638" s="60"/>
    </row>
    <row r="639" spans="3:3" ht="15.75" customHeight="1">
      <c r="C639" s="60"/>
    </row>
    <row r="640" spans="3:3" ht="15.75" customHeight="1">
      <c r="C640" s="60"/>
    </row>
    <row r="641" spans="3:3" ht="15.75" customHeight="1">
      <c r="C641" s="60"/>
    </row>
    <row r="642" spans="3:3" ht="15.75" customHeight="1">
      <c r="C642" s="60"/>
    </row>
    <row r="643" spans="3:3" ht="15.75" customHeight="1">
      <c r="C643" s="60"/>
    </row>
    <row r="644" spans="3:3" ht="15.75" customHeight="1">
      <c r="C644" s="60"/>
    </row>
    <row r="645" spans="3:3" ht="15.75" customHeight="1">
      <c r="C645" s="60"/>
    </row>
    <row r="646" spans="3:3" ht="15.75" customHeight="1">
      <c r="C646" s="60"/>
    </row>
    <row r="647" spans="3:3" ht="15.75" customHeight="1">
      <c r="C647" s="60"/>
    </row>
    <row r="648" spans="3:3" ht="15.75" customHeight="1">
      <c r="C648" s="60"/>
    </row>
    <row r="649" spans="3:3" ht="15.75" customHeight="1">
      <c r="C649" s="60"/>
    </row>
    <row r="650" spans="3:3" ht="15.75" customHeight="1">
      <c r="C650" s="60"/>
    </row>
    <row r="651" spans="3:3" ht="15.75" customHeight="1">
      <c r="C651" s="60"/>
    </row>
    <row r="652" spans="3:3" ht="15.75" customHeight="1">
      <c r="C652" s="60"/>
    </row>
    <row r="653" spans="3:3" ht="15.75" customHeight="1">
      <c r="C653" s="60"/>
    </row>
    <row r="654" spans="3:3" ht="15.75" customHeight="1">
      <c r="C654" s="60"/>
    </row>
    <row r="655" spans="3:3" ht="15.75" customHeight="1">
      <c r="C655" s="60"/>
    </row>
    <row r="656" spans="3:3" ht="15.75" customHeight="1">
      <c r="C656" s="60"/>
    </row>
    <row r="657" spans="3:3" ht="15.75" customHeight="1">
      <c r="C657" s="60"/>
    </row>
    <row r="658" spans="3:3" ht="15.75" customHeight="1">
      <c r="C658" s="60"/>
    </row>
    <row r="659" spans="3:3" ht="15.75" customHeight="1">
      <c r="C659" s="60"/>
    </row>
    <row r="660" spans="3:3" ht="15.75" customHeight="1">
      <c r="C660" s="60"/>
    </row>
    <row r="661" spans="3:3" ht="15.75" customHeight="1">
      <c r="C661" s="60"/>
    </row>
    <row r="662" spans="3:3" ht="15.75" customHeight="1">
      <c r="C662" s="60"/>
    </row>
    <row r="663" spans="3:3" ht="15.75" customHeight="1">
      <c r="C663" s="60"/>
    </row>
    <row r="664" spans="3:3" ht="15.75" customHeight="1">
      <c r="C664" s="60"/>
    </row>
    <row r="665" spans="3:3" ht="15.75" customHeight="1">
      <c r="C665" s="60"/>
    </row>
    <row r="666" spans="3:3" ht="15.75" customHeight="1">
      <c r="C666" s="60"/>
    </row>
    <row r="667" spans="3:3" ht="15.75" customHeight="1">
      <c r="C667" s="60"/>
    </row>
    <row r="668" spans="3:3" ht="15.75" customHeight="1">
      <c r="C668" s="60"/>
    </row>
    <row r="669" spans="3:3" ht="15.75" customHeight="1">
      <c r="C669" s="60"/>
    </row>
    <row r="670" spans="3:3" ht="15.75" customHeight="1">
      <c r="C670" s="60"/>
    </row>
    <row r="671" spans="3:3" ht="15.75" customHeight="1">
      <c r="C671" s="60"/>
    </row>
    <row r="672" spans="3:3" ht="15.75" customHeight="1">
      <c r="C672" s="60"/>
    </row>
    <row r="673" spans="3:3" ht="15.75" customHeight="1">
      <c r="C673" s="60"/>
    </row>
    <row r="674" spans="3:3" ht="15.75" customHeight="1">
      <c r="C674" s="60"/>
    </row>
    <row r="675" spans="3:3" ht="15.75" customHeight="1">
      <c r="C675" s="60"/>
    </row>
    <row r="676" spans="3:3" ht="15.75" customHeight="1">
      <c r="C676" s="60"/>
    </row>
    <row r="677" spans="3:3" ht="15.75" customHeight="1">
      <c r="C677" s="60"/>
    </row>
    <row r="678" spans="3:3" ht="15.75" customHeight="1">
      <c r="C678" s="60"/>
    </row>
    <row r="679" spans="3:3" ht="15.75" customHeight="1">
      <c r="C679" s="60"/>
    </row>
    <row r="680" spans="3:3" ht="15.75" customHeight="1">
      <c r="C680" s="60"/>
    </row>
    <row r="681" spans="3:3" ht="15.75" customHeight="1">
      <c r="C681" s="60"/>
    </row>
    <row r="682" spans="3:3" ht="15.75" customHeight="1">
      <c r="C682" s="60"/>
    </row>
    <row r="683" spans="3:3" ht="15.75" customHeight="1">
      <c r="C683" s="60"/>
    </row>
    <row r="684" spans="3:3" ht="15.75" customHeight="1">
      <c r="C684" s="60"/>
    </row>
    <row r="685" spans="3:3" ht="15.75" customHeight="1">
      <c r="C685" s="60"/>
    </row>
    <row r="686" spans="3:3" ht="15.75" customHeight="1">
      <c r="C686" s="60"/>
    </row>
    <row r="687" spans="3:3" ht="15.75" customHeight="1">
      <c r="C687" s="60"/>
    </row>
    <row r="688" spans="3:3" ht="15.75" customHeight="1">
      <c r="C688" s="60"/>
    </row>
    <row r="689" spans="3:3" ht="15.75" customHeight="1">
      <c r="C689" s="60"/>
    </row>
    <row r="690" spans="3:3" ht="15.75" customHeight="1">
      <c r="C690" s="60"/>
    </row>
    <row r="691" spans="3:3" ht="15.75" customHeight="1">
      <c r="C691" s="60"/>
    </row>
    <row r="692" spans="3:3" ht="15.75" customHeight="1">
      <c r="C692" s="60"/>
    </row>
    <row r="693" spans="3:3" ht="15.75" customHeight="1">
      <c r="C693" s="60"/>
    </row>
    <row r="694" spans="3:3" ht="15.75" customHeight="1">
      <c r="C694" s="60"/>
    </row>
    <row r="695" spans="3:3" ht="15.75" customHeight="1">
      <c r="C695" s="60"/>
    </row>
    <row r="696" spans="3:3" ht="15.75" customHeight="1">
      <c r="C696" s="60"/>
    </row>
    <row r="697" spans="3:3" ht="15.75" customHeight="1">
      <c r="C697" s="60"/>
    </row>
    <row r="698" spans="3:3" ht="15.75" customHeight="1">
      <c r="C698" s="60"/>
    </row>
    <row r="699" spans="3:3" ht="15.75" customHeight="1">
      <c r="C699" s="60"/>
    </row>
    <row r="700" spans="3:3" ht="15.75" customHeight="1">
      <c r="C700" s="60"/>
    </row>
    <row r="701" spans="3:3" ht="15.75" customHeight="1">
      <c r="C701" s="60"/>
    </row>
    <row r="702" spans="3:3" ht="15.75" customHeight="1">
      <c r="C702" s="60"/>
    </row>
    <row r="703" spans="3:3" ht="15.75" customHeight="1">
      <c r="C703" s="60"/>
    </row>
    <row r="704" spans="3:3" ht="15.75" customHeight="1">
      <c r="C704" s="60"/>
    </row>
    <row r="705" spans="3:3" ht="15.75" customHeight="1">
      <c r="C705" s="60"/>
    </row>
    <row r="706" spans="3:3" ht="15.75" customHeight="1">
      <c r="C706" s="60"/>
    </row>
    <row r="707" spans="3:3" ht="15.75" customHeight="1">
      <c r="C707" s="60"/>
    </row>
    <row r="708" spans="3:3" ht="15.75" customHeight="1">
      <c r="C708" s="60"/>
    </row>
    <row r="709" spans="3:3" ht="15.75" customHeight="1">
      <c r="C709" s="60"/>
    </row>
    <row r="710" spans="3:3" ht="15.75" customHeight="1">
      <c r="C710" s="60"/>
    </row>
    <row r="711" spans="3:3" ht="15.75" customHeight="1">
      <c r="C711" s="60"/>
    </row>
    <row r="712" spans="3:3" ht="15.75" customHeight="1">
      <c r="C712" s="60"/>
    </row>
    <row r="713" spans="3:3" ht="15.75" customHeight="1">
      <c r="C713" s="60"/>
    </row>
    <row r="714" spans="3:3" ht="15.75" customHeight="1">
      <c r="C714" s="60"/>
    </row>
    <row r="715" spans="3:3" ht="15.75" customHeight="1">
      <c r="C715" s="60"/>
    </row>
    <row r="716" spans="3:3" ht="15.75" customHeight="1">
      <c r="C716" s="60"/>
    </row>
    <row r="717" spans="3:3" ht="15.75" customHeight="1">
      <c r="C717" s="60"/>
    </row>
    <row r="718" spans="3:3" ht="15.75" customHeight="1">
      <c r="C718" s="60"/>
    </row>
    <row r="719" spans="3:3" ht="15.75" customHeight="1">
      <c r="C719" s="60"/>
    </row>
    <row r="720" spans="3:3" ht="15.75" customHeight="1">
      <c r="C720" s="60"/>
    </row>
    <row r="721" spans="3:3" ht="15.75" customHeight="1">
      <c r="C721" s="60"/>
    </row>
    <row r="722" spans="3:3" ht="15.75" customHeight="1">
      <c r="C722" s="60"/>
    </row>
    <row r="723" spans="3:3" ht="15.75" customHeight="1">
      <c r="C723" s="60"/>
    </row>
    <row r="724" spans="3:3" ht="15.75" customHeight="1">
      <c r="C724" s="60"/>
    </row>
    <row r="725" spans="3:3" ht="15.75" customHeight="1">
      <c r="C725" s="60"/>
    </row>
    <row r="726" spans="3:3" ht="15.75" customHeight="1">
      <c r="C726" s="60"/>
    </row>
    <row r="727" spans="3:3" ht="15.75" customHeight="1">
      <c r="C727" s="60"/>
    </row>
    <row r="728" spans="3:3" ht="15.75" customHeight="1">
      <c r="C728" s="60"/>
    </row>
    <row r="729" spans="3:3" ht="15.75" customHeight="1">
      <c r="C729" s="60"/>
    </row>
    <row r="730" spans="3:3" ht="15.75" customHeight="1">
      <c r="C730" s="60"/>
    </row>
    <row r="731" spans="3:3" ht="15.75" customHeight="1">
      <c r="C731" s="60"/>
    </row>
    <row r="732" spans="3:3" ht="15.75" customHeight="1">
      <c r="C732" s="60"/>
    </row>
    <row r="733" spans="3:3" ht="15.75" customHeight="1">
      <c r="C733" s="60"/>
    </row>
    <row r="734" spans="3:3" ht="15.75" customHeight="1">
      <c r="C734" s="60"/>
    </row>
    <row r="735" spans="3:3" ht="15.75" customHeight="1">
      <c r="C735" s="60"/>
    </row>
    <row r="736" spans="3:3" ht="15.75" customHeight="1">
      <c r="C736" s="60"/>
    </row>
    <row r="737" spans="3:3" ht="15.75" customHeight="1">
      <c r="C737" s="60"/>
    </row>
    <row r="738" spans="3:3" ht="15.75" customHeight="1">
      <c r="C738" s="60"/>
    </row>
    <row r="739" spans="3:3" ht="15.75" customHeight="1">
      <c r="C739" s="60"/>
    </row>
    <row r="740" spans="3:3" ht="15.75" customHeight="1">
      <c r="C740" s="60"/>
    </row>
    <row r="741" spans="3:3" ht="15.75" customHeight="1">
      <c r="C741" s="60"/>
    </row>
    <row r="742" spans="3:3" ht="15.75" customHeight="1">
      <c r="C742" s="60"/>
    </row>
    <row r="743" spans="3:3" ht="15.75" customHeight="1">
      <c r="C743" s="60"/>
    </row>
    <row r="744" spans="3:3" ht="15.75" customHeight="1">
      <c r="C744" s="60"/>
    </row>
    <row r="745" spans="3:3" ht="15.75" customHeight="1">
      <c r="C745" s="60"/>
    </row>
    <row r="746" spans="3:3" ht="15.75" customHeight="1">
      <c r="C746" s="60"/>
    </row>
    <row r="747" spans="3:3" ht="15.75" customHeight="1">
      <c r="C747" s="60"/>
    </row>
    <row r="748" spans="3:3" ht="15.75" customHeight="1">
      <c r="C748" s="60"/>
    </row>
    <row r="749" spans="3:3" ht="15.75" customHeight="1">
      <c r="C749" s="60"/>
    </row>
    <row r="750" spans="3:3" ht="15.75" customHeight="1">
      <c r="C750" s="60"/>
    </row>
    <row r="751" spans="3:3" ht="15.75" customHeight="1">
      <c r="C751" s="60"/>
    </row>
    <row r="752" spans="3:3" ht="15.75" customHeight="1">
      <c r="C752" s="60"/>
    </row>
    <row r="753" spans="3:3" ht="15.75" customHeight="1">
      <c r="C753" s="60"/>
    </row>
    <row r="754" spans="3:3" ht="15.75" customHeight="1">
      <c r="C754" s="60"/>
    </row>
    <row r="755" spans="3:3" ht="15.75" customHeight="1">
      <c r="C755" s="60"/>
    </row>
    <row r="756" spans="3:3" ht="15.75" customHeight="1">
      <c r="C756" s="60"/>
    </row>
    <row r="757" spans="3:3" ht="15.75" customHeight="1">
      <c r="C757" s="60"/>
    </row>
    <row r="758" spans="3:3" ht="15.75" customHeight="1">
      <c r="C758" s="60"/>
    </row>
    <row r="759" spans="3:3" ht="15.75" customHeight="1">
      <c r="C759" s="60"/>
    </row>
    <row r="760" spans="3:3" ht="15.75" customHeight="1">
      <c r="C760" s="60"/>
    </row>
    <row r="761" spans="3:3" ht="15.75" customHeight="1">
      <c r="C761" s="60"/>
    </row>
    <row r="762" spans="3:3" ht="15.75" customHeight="1">
      <c r="C762" s="60"/>
    </row>
    <row r="763" spans="3:3" ht="15.75" customHeight="1">
      <c r="C763" s="60"/>
    </row>
    <row r="764" spans="3:3" ht="15.75" customHeight="1">
      <c r="C764" s="60"/>
    </row>
    <row r="765" spans="3:3" ht="15.75" customHeight="1">
      <c r="C765" s="60"/>
    </row>
    <row r="766" spans="3:3" ht="15.75" customHeight="1">
      <c r="C766" s="60"/>
    </row>
    <row r="767" spans="3:3" ht="15.75" customHeight="1">
      <c r="C767" s="60"/>
    </row>
    <row r="768" spans="3:3" ht="15.75" customHeight="1">
      <c r="C768" s="60"/>
    </row>
    <row r="769" spans="3:3" ht="15.75" customHeight="1">
      <c r="C769" s="60"/>
    </row>
    <row r="770" spans="3:3" ht="15.75" customHeight="1">
      <c r="C770" s="60"/>
    </row>
    <row r="771" spans="3:3" ht="15.75" customHeight="1">
      <c r="C771" s="60"/>
    </row>
    <row r="772" spans="3:3" ht="15.75" customHeight="1">
      <c r="C772" s="60"/>
    </row>
    <row r="773" spans="3:3" ht="15.75" customHeight="1">
      <c r="C773" s="60"/>
    </row>
    <row r="774" spans="3:3" ht="15.75" customHeight="1">
      <c r="C774" s="60"/>
    </row>
    <row r="775" spans="3:3" ht="15.75" customHeight="1">
      <c r="C775" s="60"/>
    </row>
    <row r="776" spans="3:3" ht="15.75" customHeight="1">
      <c r="C776" s="60"/>
    </row>
    <row r="777" spans="3:3" ht="15.75" customHeight="1">
      <c r="C777" s="60"/>
    </row>
    <row r="778" spans="3:3" ht="15.75" customHeight="1">
      <c r="C778" s="60"/>
    </row>
    <row r="779" spans="3:3" ht="15.75" customHeight="1">
      <c r="C779" s="60"/>
    </row>
    <row r="780" spans="3:3" ht="15.75" customHeight="1">
      <c r="C780" s="60"/>
    </row>
    <row r="781" spans="3:3" ht="15.75" customHeight="1">
      <c r="C781" s="60"/>
    </row>
    <row r="782" spans="3:3" ht="15.75" customHeight="1">
      <c r="C782" s="60"/>
    </row>
    <row r="783" spans="3:3" ht="15.75" customHeight="1">
      <c r="C783" s="60"/>
    </row>
    <row r="784" spans="3:3" ht="15.75" customHeight="1">
      <c r="C784" s="60"/>
    </row>
    <row r="785" spans="3:3" ht="15.75" customHeight="1">
      <c r="C785" s="60"/>
    </row>
    <row r="786" spans="3:3" ht="15.75" customHeight="1">
      <c r="C786" s="60"/>
    </row>
    <row r="787" spans="3:3" ht="15.75" customHeight="1">
      <c r="C787" s="60"/>
    </row>
    <row r="788" spans="3:3" ht="15.75" customHeight="1">
      <c r="C788" s="60"/>
    </row>
    <row r="789" spans="3:3" ht="15.75" customHeight="1">
      <c r="C789" s="60"/>
    </row>
    <row r="790" spans="3:3" ht="15.75" customHeight="1">
      <c r="C790" s="60"/>
    </row>
    <row r="791" spans="3:3" ht="15.75" customHeight="1">
      <c r="C791" s="60"/>
    </row>
    <row r="792" spans="3:3" ht="15.75" customHeight="1">
      <c r="C792" s="60"/>
    </row>
    <row r="793" spans="3:3" ht="15.75" customHeight="1">
      <c r="C793" s="60"/>
    </row>
    <row r="794" spans="3:3" ht="15.75" customHeight="1">
      <c r="C794" s="60"/>
    </row>
    <row r="795" spans="3:3" ht="15.75" customHeight="1">
      <c r="C795" s="60"/>
    </row>
    <row r="796" spans="3:3" ht="15.75" customHeight="1">
      <c r="C796" s="60"/>
    </row>
    <row r="797" spans="3:3" ht="15.75" customHeight="1">
      <c r="C797" s="60"/>
    </row>
    <row r="798" spans="3:3" ht="15.75" customHeight="1">
      <c r="C798" s="60"/>
    </row>
    <row r="799" spans="3:3" ht="15.75" customHeight="1">
      <c r="C799" s="60"/>
    </row>
    <row r="800" spans="3:3" ht="15.75" customHeight="1">
      <c r="C800" s="60"/>
    </row>
    <row r="801" spans="3:3" ht="15.75" customHeight="1">
      <c r="C801" s="60"/>
    </row>
    <row r="802" spans="3:3" ht="15.75" customHeight="1">
      <c r="C802" s="60"/>
    </row>
    <row r="803" spans="3:3" ht="15.75" customHeight="1">
      <c r="C803" s="60"/>
    </row>
    <row r="804" spans="3:3" ht="15.75" customHeight="1">
      <c r="C804" s="60"/>
    </row>
    <row r="805" spans="3:3" ht="15.75" customHeight="1">
      <c r="C805" s="60"/>
    </row>
    <row r="806" spans="3:3" ht="15.75" customHeight="1">
      <c r="C806" s="60"/>
    </row>
    <row r="807" spans="3:3" ht="15.75" customHeight="1">
      <c r="C807" s="60"/>
    </row>
    <row r="808" spans="3:3" ht="15.75" customHeight="1">
      <c r="C808" s="60"/>
    </row>
    <row r="809" spans="3:3" ht="15.75" customHeight="1">
      <c r="C809" s="60"/>
    </row>
    <row r="810" spans="3:3" ht="15.75" customHeight="1">
      <c r="C810" s="60"/>
    </row>
    <row r="811" spans="3:3" ht="15.75" customHeight="1">
      <c r="C811" s="60"/>
    </row>
    <row r="812" spans="3:3" ht="15.75" customHeight="1">
      <c r="C812" s="60"/>
    </row>
    <row r="813" spans="3:3" ht="15.75" customHeight="1">
      <c r="C813" s="60"/>
    </row>
    <row r="814" spans="3:3" ht="15.75" customHeight="1">
      <c r="C814" s="60"/>
    </row>
    <row r="815" spans="3:3" ht="15.75" customHeight="1">
      <c r="C815" s="60"/>
    </row>
    <row r="816" spans="3:3" ht="15.75" customHeight="1">
      <c r="C816" s="60"/>
    </row>
    <row r="817" spans="3:3" ht="15.75" customHeight="1">
      <c r="C817" s="60"/>
    </row>
    <row r="818" spans="3:3" ht="15.75" customHeight="1">
      <c r="C818" s="60"/>
    </row>
    <row r="819" spans="3:3" ht="15.75" customHeight="1">
      <c r="C819" s="60"/>
    </row>
    <row r="820" spans="3:3" ht="15.75" customHeight="1">
      <c r="C820" s="60"/>
    </row>
    <row r="821" spans="3:3" ht="15.75" customHeight="1">
      <c r="C821" s="60"/>
    </row>
    <row r="822" spans="3:3" ht="15.75" customHeight="1">
      <c r="C822" s="60"/>
    </row>
    <row r="823" spans="3:3" ht="15.75" customHeight="1">
      <c r="C823" s="60"/>
    </row>
    <row r="824" spans="3:3" ht="15.75" customHeight="1">
      <c r="C824" s="60"/>
    </row>
    <row r="825" spans="3:3" ht="15.75" customHeight="1">
      <c r="C825" s="60"/>
    </row>
    <row r="826" spans="3:3" ht="15.75" customHeight="1">
      <c r="C826" s="60"/>
    </row>
    <row r="827" spans="3:3" ht="15.75" customHeight="1">
      <c r="C827" s="60"/>
    </row>
    <row r="828" spans="3:3" ht="15.75" customHeight="1">
      <c r="C828" s="60"/>
    </row>
    <row r="829" spans="3:3" ht="15.75" customHeight="1">
      <c r="C829" s="60"/>
    </row>
    <row r="830" spans="3:3" ht="15.75" customHeight="1">
      <c r="C830" s="60"/>
    </row>
    <row r="831" spans="3:3" ht="15.75" customHeight="1">
      <c r="C831" s="60"/>
    </row>
    <row r="832" spans="3:3" ht="15.75" customHeight="1">
      <c r="C832" s="60"/>
    </row>
    <row r="833" spans="3:3" ht="15.75" customHeight="1">
      <c r="C833" s="60"/>
    </row>
    <row r="834" spans="3:3" ht="15.75" customHeight="1">
      <c r="C834" s="60"/>
    </row>
    <row r="835" spans="3:3" ht="15.75" customHeight="1">
      <c r="C835" s="60"/>
    </row>
    <row r="836" spans="3:3" ht="15.75" customHeight="1">
      <c r="C836" s="60"/>
    </row>
    <row r="837" spans="3:3" ht="15.75" customHeight="1">
      <c r="C837" s="60"/>
    </row>
    <row r="838" spans="3:3" ht="15.75" customHeight="1">
      <c r="C838" s="60"/>
    </row>
    <row r="839" spans="3:3" ht="15.75" customHeight="1">
      <c r="C839" s="60"/>
    </row>
    <row r="840" spans="3:3" ht="15.75" customHeight="1">
      <c r="C840" s="60"/>
    </row>
    <row r="841" spans="3:3" ht="15.75" customHeight="1">
      <c r="C841" s="60"/>
    </row>
    <row r="842" spans="3:3" ht="15.75" customHeight="1">
      <c r="C842" s="60"/>
    </row>
    <row r="843" spans="3:3" ht="15.75" customHeight="1">
      <c r="C843" s="60"/>
    </row>
    <row r="844" spans="3:3" ht="15.75" customHeight="1">
      <c r="C844" s="60"/>
    </row>
    <row r="845" spans="3:3" ht="15.75" customHeight="1">
      <c r="C845" s="60"/>
    </row>
    <row r="846" spans="3:3" ht="15.75" customHeight="1">
      <c r="C846" s="60"/>
    </row>
    <row r="847" spans="3:3" ht="15.75" customHeight="1">
      <c r="C847" s="60"/>
    </row>
    <row r="848" spans="3:3" ht="15.75" customHeight="1">
      <c r="C848" s="60"/>
    </row>
    <row r="849" spans="3:3" ht="15.75" customHeight="1">
      <c r="C849" s="60"/>
    </row>
    <row r="850" spans="3:3" ht="15.75" customHeight="1">
      <c r="C850" s="60"/>
    </row>
    <row r="851" spans="3:3" ht="15.75" customHeight="1">
      <c r="C851" s="60"/>
    </row>
    <row r="852" spans="3:3" ht="15.75" customHeight="1">
      <c r="C852" s="60"/>
    </row>
    <row r="853" spans="3:3" ht="15.75" customHeight="1">
      <c r="C853" s="60"/>
    </row>
    <row r="854" spans="3:3" ht="15.75" customHeight="1">
      <c r="C854" s="60"/>
    </row>
    <row r="855" spans="3:3" ht="15.75" customHeight="1">
      <c r="C855" s="60"/>
    </row>
    <row r="856" spans="3:3" ht="15.75" customHeight="1">
      <c r="C856" s="60"/>
    </row>
    <row r="857" spans="3:3" ht="15.75" customHeight="1">
      <c r="C857" s="60"/>
    </row>
    <row r="858" spans="3:3" ht="15.75" customHeight="1">
      <c r="C858" s="60"/>
    </row>
    <row r="859" spans="3:3" ht="15.75" customHeight="1">
      <c r="C859" s="60"/>
    </row>
    <row r="860" spans="3:3" ht="15.75" customHeight="1">
      <c r="C860" s="60"/>
    </row>
    <row r="861" spans="3:3" ht="15.75" customHeight="1">
      <c r="C861" s="60"/>
    </row>
    <row r="862" spans="3:3" ht="15.75" customHeight="1">
      <c r="C862" s="60"/>
    </row>
    <row r="863" spans="3:3" ht="15.75" customHeight="1">
      <c r="C863" s="60"/>
    </row>
    <row r="864" spans="3:3" ht="15.75" customHeight="1">
      <c r="C864" s="60"/>
    </row>
    <row r="865" spans="3:3" ht="15.75" customHeight="1">
      <c r="C865" s="60"/>
    </row>
    <row r="866" spans="3:3" ht="15.75" customHeight="1">
      <c r="C866" s="60"/>
    </row>
    <row r="867" spans="3:3" ht="15.75" customHeight="1">
      <c r="C867" s="60"/>
    </row>
    <row r="868" spans="3:3" ht="15.75" customHeight="1">
      <c r="C868" s="60"/>
    </row>
    <row r="869" spans="3:3" ht="15.75" customHeight="1">
      <c r="C869" s="60"/>
    </row>
    <row r="870" spans="3:3" ht="15.75" customHeight="1">
      <c r="C870" s="60"/>
    </row>
    <row r="871" spans="3:3" ht="15.75" customHeight="1">
      <c r="C871" s="60"/>
    </row>
    <row r="872" spans="3:3" ht="15.75" customHeight="1">
      <c r="C872" s="60"/>
    </row>
    <row r="873" spans="3:3" ht="15.75" customHeight="1">
      <c r="C873" s="60"/>
    </row>
    <row r="874" spans="3:3" ht="15.75" customHeight="1">
      <c r="C874" s="60"/>
    </row>
    <row r="875" spans="3:3" ht="15.75" customHeight="1">
      <c r="C875" s="60"/>
    </row>
    <row r="876" spans="3:3" ht="15.75" customHeight="1">
      <c r="C876" s="60"/>
    </row>
    <row r="877" spans="3:3" ht="15.75" customHeight="1">
      <c r="C877" s="60"/>
    </row>
    <row r="878" spans="3:3" ht="15.75" customHeight="1">
      <c r="C878" s="60"/>
    </row>
    <row r="879" spans="3:3" ht="15.75" customHeight="1">
      <c r="C879" s="60"/>
    </row>
    <row r="880" spans="3:3" ht="15.75" customHeight="1">
      <c r="C880" s="60"/>
    </row>
    <row r="881" spans="3:3" ht="15.75" customHeight="1">
      <c r="C881" s="60"/>
    </row>
    <row r="882" spans="3:3" ht="15.75" customHeight="1">
      <c r="C882" s="60"/>
    </row>
    <row r="883" spans="3:3" ht="15.75" customHeight="1">
      <c r="C883" s="60"/>
    </row>
    <row r="884" spans="3:3" ht="15.75" customHeight="1">
      <c r="C884" s="60"/>
    </row>
    <row r="885" spans="3:3" ht="15.75" customHeight="1">
      <c r="C885" s="60"/>
    </row>
    <row r="886" spans="3:3" ht="15.75" customHeight="1">
      <c r="C886" s="60"/>
    </row>
    <row r="887" spans="3:3" ht="15.75" customHeight="1">
      <c r="C887" s="60"/>
    </row>
    <row r="888" spans="3:3" ht="15.75" customHeight="1">
      <c r="C888" s="60"/>
    </row>
    <row r="889" spans="3:3" ht="15.75" customHeight="1">
      <c r="C889" s="60"/>
    </row>
    <row r="890" spans="3:3" ht="15.75" customHeight="1">
      <c r="C890" s="60"/>
    </row>
    <row r="891" spans="3:3" ht="15.75" customHeight="1">
      <c r="C891" s="60"/>
    </row>
    <row r="892" spans="3:3" ht="15.75" customHeight="1">
      <c r="C892" s="60"/>
    </row>
    <row r="893" spans="3:3" ht="15.75" customHeight="1">
      <c r="C893" s="60"/>
    </row>
    <row r="894" spans="3:3" ht="15.75" customHeight="1">
      <c r="C894" s="60"/>
    </row>
    <row r="895" spans="3:3" ht="15.75" customHeight="1">
      <c r="C895" s="60"/>
    </row>
    <row r="896" spans="3:3" ht="15.75" customHeight="1">
      <c r="C896" s="60"/>
    </row>
    <row r="897" spans="3:3" ht="15.75" customHeight="1">
      <c r="C897" s="60"/>
    </row>
    <row r="898" spans="3:3" ht="15.75" customHeight="1">
      <c r="C898" s="60"/>
    </row>
    <row r="899" spans="3:3" ht="15.75" customHeight="1">
      <c r="C899" s="60"/>
    </row>
    <row r="900" spans="3:3" ht="15.75" customHeight="1">
      <c r="C900" s="60"/>
    </row>
    <row r="901" spans="3:3" ht="15.75" customHeight="1">
      <c r="C901" s="60"/>
    </row>
    <row r="902" spans="3:3" ht="15.75" customHeight="1">
      <c r="C902" s="60"/>
    </row>
    <row r="903" spans="3:3" ht="15.75" customHeight="1">
      <c r="C903" s="60"/>
    </row>
    <row r="904" spans="3:3" ht="15.75" customHeight="1">
      <c r="C904" s="60"/>
    </row>
    <row r="905" spans="3:3" ht="15.75" customHeight="1">
      <c r="C905" s="60"/>
    </row>
    <row r="906" spans="3:3" ht="15.75" customHeight="1">
      <c r="C906" s="60"/>
    </row>
    <row r="907" spans="3:3" ht="15.75" customHeight="1">
      <c r="C907" s="60"/>
    </row>
    <row r="908" spans="3:3" ht="15.75" customHeight="1">
      <c r="C908" s="60"/>
    </row>
    <row r="909" spans="3:3" ht="15.75" customHeight="1">
      <c r="C909" s="60"/>
    </row>
    <row r="910" spans="3:3" ht="15.75" customHeight="1">
      <c r="C910" s="60"/>
    </row>
    <row r="911" spans="3:3" ht="15.75" customHeight="1">
      <c r="C911" s="60"/>
    </row>
    <row r="912" spans="3:3" ht="15.75" customHeight="1">
      <c r="C912" s="60"/>
    </row>
    <row r="913" spans="3:3" ht="15.75" customHeight="1">
      <c r="C913" s="60"/>
    </row>
    <row r="914" spans="3:3" ht="15.75" customHeight="1">
      <c r="C914" s="60"/>
    </row>
    <row r="915" spans="3:3" ht="15.75" customHeight="1">
      <c r="C915" s="60"/>
    </row>
    <row r="916" spans="3:3" ht="15.75" customHeight="1">
      <c r="C916" s="60"/>
    </row>
    <row r="917" spans="3:3" ht="15.75" customHeight="1">
      <c r="C917" s="60"/>
    </row>
    <row r="918" spans="3:3" ht="15.75" customHeight="1">
      <c r="C918" s="60"/>
    </row>
    <row r="919" spans="3:3" ht="15.75" customHeight="1">
      <c r="C919" s="60"/>
    </row>
    <row r="920" spans="3:3" ht="15.75" customHeight="1">
      <c r="C920" s="60"/>
    </row>
    <row r="921" spans="3:3" ht="15.75" customHeight="1">
      <c r="C921" s="60"/>
    </row>
    <row r="922" spans="3:3" ht="15.75" customHeight="1">
      <c r="C922" s="60"/>
    </row>
    <row r="923" spans="3:3" ht="15.75" customHeight="1">
      <c r="C923" s="60"/>
    </row>
    <row r="924" spans="3:3" ht="15.75" customHeight="1">
      <c r="C924" s="60"/>
    </row>
    <row r="925" spans="3:3" ht="15.75" customHeight="1">
      <c r="C925" s="60"/>
    </row>
    <row r="926" spans="3:3" ht="15.75" customHeight="1">
      <c r="C926" s="60"/>
    </row>
    <row r="927" spans="3:3" ht="15.75" customHeight="1">
      <c r="C927" s="60"/>
    </row>
    <row r="928" spans="3:3" ht="15.75" customHeight="1">
      <c r="C928" s="60"/>
    </row>
    <row r="929" spans="3:3" ht="15.75" customHeight="1">
      <c r="C929" s="60"/>
    </row>
    <row r="930" spans="3:3" ht="15.75" customHeight="1">
      <c r="C930" s="60"/>
    </row>
    <row r="931" spans="3:3" ht="15.75" customHeight="1">
      <c r="C931" s="60"/>
    </row>
    <row r="932" spans="3:3" ht="15.75" customHeight="1">
      <c r="C932" s="60"/>
    </row>
    <row r="933" spans="3:3" ht="15.75" customHeight="1">
      <c r="C933" s="60"/>
    </row>
    <row r="934" spans="3:3" ht="15.75" customHeight="1">
      <c r="C934" s="60"/>
    </row>
    <row r="935" spans="3:3" ht="15.75" customHeight="1">
      <c r="C935" s="60"/>
    </row>
    <row r="936" spans="3:3" ht="15.75" customHeight="1">
      <c r="C936" s="60"/>
    </row>
    <row r="937" spans="3:3" ht="15.75" customHeight="1">
      <c r="C937" s="60"/>
    </row>
    <row r="938" spans="3:3" ht="15.75" customHeight="1">
      <c r="C938" s="60"/>
    </row>
    <row r="939" spans="3:3" ht="15.75" customHeight="1">
      <c r="C939" s="60"/>
    </row>
    <row r="940" spans="3:3" ht="15.75" customHeight="1">
      <c r="C940" s="60"/>
    </row>
    <row r="941" spans="3:3" ht="15.75" customHeight="1">
      <c r="C941" s="60"/>
    </row>
    <row r="942" spans="3:3" ht="15.75" customHeight="1">
      <c r="C942" s="60"/>
    </row>
    <row r="943" spans="3:3" ht="15.75" customHeight="1">
      <c r="C943" s="60"/>
    </row>
    <row r="944" spans="3:3" ht="15.75" customHeight="1">
      <c r="C944" s="60"/>
    </row>
    <row r="945" spans="3:3" ht="15.75" customHeight="1">
      <c r="C945" s="60"/>
    </row>
    <row r="946" spans="3:3" ht="15.75" customHeight="1">
      <c r="C946" s="60"/>
    </row>
    <row r="947" spans="3:3" ht="15.75" customHeight="1">
      <c r="C947" s="60"/>
    </row>
    <row r="948" spans="3:3" ht="15.75" customHeight="1">
      <c r="C948" s="60"/>
    </row>
    <row r="949" spans="3:3" ht="15.75" customHeight="1">
      <c r="C949" s="60"/>
    </row>
    <row r="950" spans="3:3" ht="15.75" customHeight="1">
      <c r="C950" s="60"/>
    </row>
    <row r="951" spans="3:3" ht="15.75" customHeight="1">
      <c r="C951" s="60"/>
    </row>
    <row r="952" spans="3:3" ht="15.75" customHeight="1">
      <c r="C952" s="60"/>
    </row>
    <row r="953" spans="3:3" ht="15.75" customHeight="1">
      <c r="C953" s="60"/>
    </row>
    <row r="954" spans="3:3" ht="15.75" customHeight="1">
      <c r="C954" s="60"/>
    </row>
    <row r="955" spans="3:3" ht="15.75" customHeight="1">
      <c r="C955" s="60"/>
    </row>
    <row r="956" spans="3:3" ht="15.75" customHeight="1">
      <c r="C956" s="60"/>
    </row>
    <row r="957" spans="3:3" ht="15.75" customHeight="1">
      <c r="C957" s="60"/>
    </row>
    <row r="958" spans="3:3" ht="15.75" customHeight="1">
      <c r="C958" s="60"/>
    </row>
    <row r="959" spans="3:3" ht="15.75" customHeight="1">
      <c r="C959" s="60"/>
    </row>
    <row r="960" spans="3:3" ht="15.75" customHeight="1">
      <c r="C960" s="60"/>
    </row>
    <row r="961" spans="3:3" ht="15.75" customHeight="1">
      <c r="C961" s="60"/>
    </row>
    <row r="962" spans="3:3" ht="15.75" customHeight="1">
      <c r="C962" s="60"/>
    </row>
    <row r="963" spans="3:3" ht="15.75" customHeight="1">
      <c r="C963" s="60"/>
    </row>
    <row r="964" spans="3:3" ht="15.75" customHeight="1">
      <c r="C964" s="60"/>
    </row>
    <row r="965" spans="3:3" ht="15.75" customHeight="1">
      <c r="C965" s="60"/>
    </row>
    <row r="966" spans="3:3" ht="15.75" customHeight="1">
      <c r="C966" s="60"/>
    </row>
    <row r="967" spans="3:3" ht="15.75" customHeight="1">
      <c r="C967" s="60"/>
    </row>
    <row r="968" spans="3:3" ht="15.75" customHeight="1">
      <c r="C968" s="60"/>
    </row>
    <row r="969" spans="3:3" ht="15.75" customHeight="1">
      <c r="C969" s="60"/>
    </row>
    <row r="970" spans="3:3" ht="15.75" customHeight="1">
      <c r="C970" s="60"/>
    </row>
    <row r="971" spans="3:3" ht="15.75" customHeight="1">
      <c r="C971" s="60"/>
    </row>
    <row r="972" spans="3:3" ht="15.75" customHeight="1">
      <c r="C972" s="60"/>
    </row>
    <row r="973" spans="3:3" ht="15.75" customHeight="1">
      <c r="C973" s="60"/>
    </row>
    <row r="974" spans="3:3" ht="15.75" customHeight="1">
      <c r="C974" s="60"/>
    </row>
    <row r="975" spans="3:3" ht="15.75" customHeight="1">
      <c r="C975" s="60"/>
    </row>
    <row r="976" spans="3:3" ht="15.75" customHeight="1">
      <c r="C976" s="60"/>
    </row>
    <row r="977" spans="3:3" ht="15.75" customHeight="1">
      <c r="C977" s="60"/>
    </row>
    <row r="978" spans="3:3" ht="15.75" customHeight="1">
      <c r="C978" s="60"/>
    </row>
    <row r="979" spans="3:3" ht="15.75" customHeight="1">
      <c r="C979" s="60"/>
    </row>
    <row r="980" spans="3:3" ht="15.75" customHeight="1">
      <c r="C980" s="60"/>
    </row>
    <row r="981" spans="3:3" ht="15.75" customHeight="1">
      <c r="C981" s="60"/>
    </row>
    <row r="982" spans="3:3" ht="15.75" customHeight="1">
      <c r="C982" s="60"/>
    </row>
    <row r="983" spans="3:3" ht="15.75" customHeight="1">
      <c r="C983" s="60"/>
    </row>
    <row r="984" spans="3:3" ht="15.75" customHeight="1">
      <c r="C984" s="60"/>
    </row>
    <row r="985" spans="3:3" ht="15.75" customHeight="1">
      <c r="C985" s="60"/>
    </row>
    <row r="986" spans="3:3" ht="15.75" customHeight="1">
      <c r="C986" s="60"/>
    </row>
    <row r="987" spans="3:3" ht="15.75" customHeight="1">
      <c r="C987" s="60"/>
    </row>
    <row r="988" spans="3:3" ht="15.75" customHeight="1">
      <c r="C988" s="60"/>
    </row>
    <row r="989" spans="3:3" ht="15.75" customHeight="1">
      <c r="C989" s="60"/>
    </row>
    <row r="990" spans="3:3" ht="15.75" customHeight="1">
      <c r="C990" s="60"/>
    </row>
    <row r="991" spans="3:3" ht="15.75" customHeight="1">
      <c r="C991" s="60"/>
    </row>
    <row r="992" spans="3:3" ht="15.75" customHeight="1">
      <c r="C992" s="60"/>
    </row>
    <row r="993" spans="3:3" ht="15.75" customHeight="1">
      <c r="C993" s="60"/>
    </row>
    <row r="994" spans="3:3" ht="15.75" customHeight="1">
      <c r="C994" s="60"/>
    </row>
    <row r="995" spans="3:3" ht="15.75" customHeight="1">
      <c r="C995" s="60"/>
    </row>
    <row r="996" spans="3:3" ht="15.75" customHeight="1">
      <c r="C996" s="60"/>
    </row>
    <row r="997" spans="3:3" ht="15.75" customHeight="1">
      <c r="C997" s="60"/>
    </row>
    <row r="998" spans="3:3" ht="15.75" customHeight="1">
      <c r="C998" s="60"/>
    </row>
    <row r="999" spans="3:3" ht="15.75" customHeight="1">
      <c r="C999" s="60"/>
    </row>
    <row r="1000" spans="3:3" ht="15.75" customHeight="1">
      <c r="C1000" s="60"/>
    </row>
  </sheetData>
  <pageMargins left="0.511811024" right="0.511811024" top="0.78740157499999996" bottom="0.78740157499999996" header="0" footer="0"/>
  <pageSetup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1000"/>
  <sheetViews>
    <sheetView showGridLines="0" topLeftCell="A9" workbookViewId="0">
      <selection activeCell="C9" sqref="C9"/>
    </sheetView>
  </sheetViews>
  <sheetFormatPr defaultColWidth="12.625" defaultRowHeight="15" customHeight="1"/>
  <cols>
    <col min="1" max="3" width="20" customWidth="1"/>
    <col min="4" max="4" width="23.125" customWidth="1"/>
    <col min="5" max="26" width="7.625" customWidth="1"/>
  </cols>
  <sheetData>
    <row r="1" spans="1:4" ht="57.6">
      <c r="A1" s="448" t="s">
        <v>869</v>
      </c>
      <c r="B1" s="448" t="s">
        <v>870</v>
      </c>
      <c r="C1" s="448" t="s">
        <v>871</v>
      </c>
      <c r="D1" s="449" t="s">
        <v>898</v>
      </c>
    </row>
    <row r="2" spans="1:4" ht="43.15">
      <c r="A2" s="55" t="s">
        <v>899</v>
      </c>
      <c r="B2" s="55"/>
      <c r="C2" s="56" t="s">
        <v>900</v>
      </c>
      <c r="D2" s="3" t="s">
        <v>901</v>
      </c>
    </row>
    <row r="3" spans="1:4" ht="86.45">
      <c r="A3" s="55" t="s">
        <v>899</v>
      </c>
      <c r="B3" s="55"/>
      <c r="C3" s="56" t="s">
        <v>902</v>
      </c>
      <c r="D3" s="3" t="s">
        <v>903</v>
      </c>
    </row>
    <row r="4" spans="1:4" ht="57.6">
      <c r="A4" s="55" t="s">
        <v>899</v>
      </c>
      <c r="B4" s="55"/>
      <c r="C4" s="56" t="s">
        <v>904</v>
      </c>
      <c r="D4" s="3" t="s">
        <v>905</v>
      </c>
    </row>
    <row r="5" spans="1:4" ht="57.6">
      <c r="A5" s="55" t="s">
        <v>899</v>
      </c>
      <c r="B5" s="55"/>
      <c r="C5" s="56" t="s">
        <v>906</v>
      </c>
      <c r="D5" s="3" t="s">
        <v>907</v>
      </c>
    </row>
    <row r="6" spans="1:4" ht="100.9">
      <c r="A6" s="55" t="s">
        <v>908</v>
      </c>
      <c r="B6" s="55"/>
      <c r="C6" s="56" t="s">
        <v>909</v>
      </c>
      <c r="D6" s="3" t="s">
        <v>910</v>
      </c>
    </row>
    <row r="7" spans="1:4" ht="72">
      <c r="A7" s="55" t="s">
        <v>908</v>
      </c>
      <c r="B7" s="55"/>
      <c r="C7" s="56" t="s">
        <v>911</v>
      </c>
      <c r="D7" s="3" t="s">
        <v>912</v>
      </c>
    </row>
    <row r="8" spans="1:4" ht="158.44999999999999">
      <c r="A8" s="55" t="s">
        <v>913</v>
      </c>
      <c r="B8" s="55"/>
      <c r="C8" s="56" t="s">
        <v>914</v>
      </c>
      <c r="D8" s="3" t="s">
        <v>915</v>
      </c>
    </row>
    <row r="9" spans="1:4" ht="72">
      <c r="A9" s="55" t="s">
        <v>916</v>
      </c>
      <c r="B9" s="55"/>
      <c r="C9" s="56" t="s">
        <v>917</v>
      </c>
      <c r="D9" s="3" t="s">
        <v>918</v>
      </c>
    </row>
    <row r="10" spans="1:4" ht="288">
      <c r="A10" s="55" t="s">
        <v>919</v>
      </c>
      <c r="B10" s="55"/>
      <c r="C10" s="56" t="s">
        <v>920</v>
      </c>
      <c r="D10" s="3" t="s">
        <v>921</v>
      </c>
    </row>
    <row r="11" spans="1:4" ht="100.9">
      <c r="A11" s="55" t="s">
        <v>922</v>
      </c>
      <c r="B11" s="55"/>
      <c r="C11" s="56" t="s">
        <v>923</v>
      </c>
      <c r="D11" s="3" t="s">
        <v>924</v>
      </c>
    </row>
    <row r="12" spans="1:4" ht="57.6">
      <c r="A12" s="55" t="s">
        <v>925</v>
      </c>
      <c r="B12" s="55"/>
      <c r="C12" s="56" t="s">
        <v>926</v>
      </c>
      <c r="D12" s="3" t="s">
        <v>927</v>
      </c>
    </row>
    <row r="13" spans="1:4" ht="100.9">
      <c r="A13" s="55" t="s">
        <v>925</v>
      </c>
      <c r="B13" s="55"/>
      <c r="C13" s="56" t="s">
        <v>928</v>
      </c>
      <c r="D13" s="3" t="s">
        <v>929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499999996" bottom="0.78740157499999996"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1000"/>
  <sheetViews>
    <sheetView topLeftCell="A7" workbookViewId="0">
      <selection sqref="A1:D1"/>
    </sheetView>
  </sheetViews>
  <sheetFormatPr defaultColWidth="12.625" defaultRowHeight="15" customHeight="1"/>
  <cols>
    <col min="1" max="4" width="18.625" customWidth="1"/>
    <col min="5" max="26" width="7.625" customWidth="1"/>
  </cols>
  <sheetData>
    <row r="1" spans="1:4" ht="28.5" customHeight="1">
      <c r="A1" s="450" t="s">
        <v>930</v>
      </c>
      <c r="B1" s="408"/>
      <c r="C1" s="408"/>
      <c r="D1" s="408"/>
    </row>
    <row r="2" spans="1:4" ht="28.9">
      <c r="C2" s="61" t="s">
        <v>931</v>
      </c>
      <c r="D2" s="61" t="s">
        <v>932</v>
      </c>
    </row>
    <row r="3" spans="1:4" ht="14.45">
      <c r="A3" s="451" t="s">
        <v>930</v>
      </c>
      <c r="B3" s="451" t="s">
        <v>24</v>
      </c>
      <c r="C3" s="452" t="s">
        <v>933</v>
      </c>
      <c r="D3" s="453"/>
    </row>
    <row r="4" spans="1:4" ht="172.9">
      <c r="A4" s="55" t="s">
        <v>930</v>
      </c>
      <c r="B4" s="55" t="s">
        <v>24</v>
      </c>
      <c r="C4" s="3" t="s">
        <v>934</v>
      </c>
      <c r="D4" s="59" t="s">
        <v>935</v>
      </c>
    </row>
    <row r="5" spans="1:4" ht="43.15">
      <c r="A5" s="451" t="s">
        <v>930</v>
      </c>
      <c r="B5" s="451" t="s">
        <v>24</v>
      </c>
      <c r="C5" s="454" t="s">
        <v>936</v>
      </c>
      <c r="D5" s="453"/>
    </row>
    <row r="6" spans="1:4" ht="72">
      <c r="A6" s="55" t="s">
        <v>930</v>
      </c>
      <c r="B6" s="55" t="s">
        <v>24</v>
      </c>
      <c r="C6" s="3" t="s">
        <v>937</v>
      </c>
      <c r="D6" s="59" t="s">
        <v>938</v>
      </c>
    </row>
    <row r="7" spans="1:4" ht="201.6">
      <c r="A7" s="55" t="s">
        <v>930</v>
      </c>
      <c r="B7" s="55" t="s">
        <v>24</v>
      </c>
      <c r="C7" s="3" t="s">
        <v>939</v>
      </c>
      <c r="D7" s="59" t="s">
        <v>940</v>
      </c>
    </row>
    <row r="8" spans="1:4" ht="14.45">
      <c r="B8" s="9" t="s">
        <v>24</v>
      </c>
      <c r="C8" s="6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Luiz Viana</dc:creator>
  <cp:keywords/>
  <dc:description/>
  <cp:lastModifiedBy>Iorana Alves</cp:lastModifiedBy>
  <cp:revision/>
  <dcterms:created xsi:type="dcterms:W3CDTF">2020-11-04T19:56:37Z</dcterms:created>
  <dcterms:modified xsi:type="dcterms:W3CDTF">2024-08-23T14:39:23Z</dcterms:modified>
  <cp:category/>
  <cp:contentStatus/>
</cp:coreProperties>
</file>